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agister Analitica Negocio/Aplicaciones Financieras con Machine Learning/Clase 4/1. Asset Pricing/"/>
    </mc:Choice>
  </mc:AlternateContent>
  <xr:revisionPtr revIDLastSave="0" documentId="13_ncr:1_{4D4F7C39-02A6-4247-94E2-A08D63B2D513}" xr6:coauthVersionLast="47" xr6:coauthVersionMax="47" xr10:uidLastSave="{00000000-0000-0000-0000-000000000000}"/>
  <bookViews>
    <workbookView xWindow="0" yWindow="500" windowWidth="38400" windowHeight="19680" activeTab="2" xr2:uid="{DA4AAEBE-900B-4DB4-9E51-7DE29FB99F42}"/>
  </bookViews>
  <sheets>
    <sheet name="Base de Datos" sheetId="1" r:id="rId1"/>
    <sheet name="Cálculos" sheetId="2" r:id="rId2"/>
    <sheet name="Gráfico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4" l="1"/>
  <c r="G1" i="4"/>
  <c r="E1" i="4"/>
  <c r="C1" i="4"/>
  <c r="D1" i="4"/>
  <c r="B1" i="4"/>
  <c r="A18" i="4"/>
  <c r="A19" i="4"/>
  <c r="A20" i="4"/>
  <c r="A21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2" i="4"/>
  <c r="A1" i="4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3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4" i="2"/>
  <c r="B3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4" i="2"/>
  <c r="C3" i="2"/>
  <c r="L3" i="2" l="1"/>
  <c r="G4" i="2"/>
  <c r="G72" i="2"/>
  <c r="G68" i="2"/>
  <c r="G64" i="2"/>
  <c r="G60" i="2"/>
  <c r="G56" i="2"/>
  <c r="H56" i="2" s="1"/>
  <c r="G52" i="2"/>
  <c r="G48" i="2"/>
  <c r="G44" i="2"/>
  <c r="G40" i="2"/>
  <c r="G36" i="2"/>
  <c r="G32" i="2"/>
  <c r="G28" i="2"/>
  <c r="G24" i="2"/>
  <c r="G20" i="2"/>
  <c r="G16" i="2"/>
  <c r="G12" i="2"/>
  <c r="G8" i="2"/>
  <c r="L72" i="2"/>
  <c r="L68" i="2"/>
  <c r="L64" i="2"/>
  <c r="L60" i="2"/>
  <c r="L56" i="2"/>
  <c r="M56" i="2" s="1"/>
  <c r="L52" i="2"/>
  <c r="L48" i="2"/>
  <c r="L44" i="2"/>
  <c r="L40" i="2"/>
  <c r="L36" i="2"/>
  <c r="L32" i="2"/>
  <c r="L28" i="2"/>
  <c r="L24" i="2"/>
  <c r="L20" i="2"/>
  <c r="L16" i="2"/>
  <c r="L12" i="2"/>
  <c r="L8" i="2"/>
  <c r="L4" i="2"/>
  <c r="G75" i="2"/>
  <c r="G71" i="2"/>
  <c r="G67" i="2"/>
  <c r="G63" i="2"/>
  <c r="G59" i="2"/>
  <c r="G55" i="2"/>
  <c r="G51" i="2"/>
  <c r="G47" i="2"/>
  <c r="G43" i="2"/>
  <c r="G39" i="2"/>
  <c r="G35" i="2"/>
  <c r="G31" i="2"/>
  <c r="G27" i="2"/>
  <c r="G23" i="2"/>
  <c r="G19" i="2"/>
  <c r="G15" i="2"/>
  <c r="G11" i="2"/>
  <c r="G7" i="2"/>
  <c r="L75" i="2"/>
  <c r="L71" i="2"/>
  <c r="L67" i="2"/>
  <c r="L63" i="2"/>
  <c r="L59" i="2"/>
  <c r="L55" i="2"/>
  <c r="L51" i="2"/>
  <c r="L47" i="2"/>
  <c r="L43" i="2"/>
  <c r="L39" i="2"/>
  <c r="L35" i="2"/>
  <c r="L31" i="2"/>
  <c r="L27" i="2"/>
  <c r="L23" i="2"/>
  <c r="L19" i="2"/>
  <c r="L15" i="2"/>
  <c r="L11" i="2"/>
  <c r="L7" i="2"/>
  <c r="G74" i="2"/>
  <c r="G70" i="2"/>
  <c r="G66" i="2"/>
  <c r="G62" i="2"/>
  <c r="G58" i="2"/>
  <c r="G54" i="2"/>
  <c r="G50" i="2"/>
  <c r="G46" i="2"/>
  <c r="G42" i="2"/>
  <c r="G38" i="2"/>
  <c r="G34" i="2"/>
  <c r="G30" i="2"/>
  <c r="G26" i="2"/>
  <c r="G22" i="2"/>
  <c r="G18" i="2"/>
  <c r="G14" i="2"/>
  <c r="G10" i="2"/>
  <c r="G6" i="2"/>
  <c r="L74" i="2"/>
  <c r="L70" i="2"/>
  <c r="L66" i="2"/>
  <c r="L62" i="2"/>
  <c r="L58" i="2"/>
  <c r="L54" i="2"/>
  <c r="L50" i="2"/>
  <c r="L46" i="2"/>
  <c r="L42" i="2"/>
  <c r="L38" i="2"/>
  <c r="L34" i="2"/>
  <c r="L30" i="2"/>
  <c r="L26" i="2"/>
  <c r="L22" i="2"/>
  <c r="L18" i="2"/>
  <c r="L14" i="2"/>
  <c r="L10" i="2"/>
  <c r="L6" i="2"/>
  <c r="G3" i="2"/>
  <c r="G73" i="2"/>
  <c r="G69" i="2"/>
  <c r="G65" i="2"/>
  <c r="G61" i="2"/>
  <c r="G57" i="2"/>
  <c r="G53" i="2"/>
  <c r="G49" i="2"/>
  <c r="G45" i="2"/>
  <c r="G41" i="2"/>
  <c r="G37" i="2"/>
  <c r="G33" i="2"/>
  <c r="G29" i="2"/>
  <c r="G25" i="2"/>
  <c r="G21" i="2"/>
  <c r="G17" i="2"/>
  <c r="G13" i="2"/>
  <c r="G9" i="2"/>
  <c r="G5" i="2"/>
  <c r="L73" i="2"/>
  <c r="L69" i="2"/>
  <c r="L65" i="2"/>
  <c r="L61" i="2"/>
  <c r="L57" i="2"/>
  <c r="L53" i="2"/>
  <c r="L49" i="2"/>
  <c r="L45" i="2"/>
  <c r="L41" i="2"/>
  <c r="L37" i="2"/>
  <c r="L33" i="2"/>
  <c r="L29" i="2"/>
  <c r="L25" i="2"/>
  <c r="L21" i="2"/>
  <c r="L17" i="2"/>
  <c r="L13" i="2"/>
  <c r="L9" i="2"/>
  <c r="L5" i="2"/>
  <c r="E2" i="4" l="1"/>
  <c r="B2" i="4"/>
  <c r="M57" i="2"/>
  <c r="H57" i="2"/>
  <c r="E3" i="4" l="1"/>
  <c r="B3" i="4"/>
  <c r="M58" i="2"/>
  <c r="H58" i="2"/>
  <c r="B4" i="4" l="1"/>
  <c r="E4" i="4"/>
  <c r="H59" i="2"/>
  <c r="M59" i="2"/>
  <c r="B5" i="4" l="1"/>
  <c r="E5" i="4"/>
  <c r="M60" i="2"/>
  <c r="H60" i="2"/>
  <c r="B6" i="4" l="1"/>
  <c r="E6" i="4"/>
  <c r="H61" i="2"/>
  <c r="M61" i="2"/>
  <c r="B7" i="4" l="1"/>
  <c r="E7" i="4"/>
  <c r="M62" i="2"/>
  <c r="H62" i="2"/>
  <c r="B8" i="4" l="1"/>
  <c r="E8" i="4"/>
  <c r="M63" i="2"/>
  <c r="H63" i="2"/>
  <c r="B9" i="4" l="1"/>
  <c r="E9" i="4"/>
  <c r="H64" i="2"/>
  <c r="M64" i="2"/>
  <c r="B10" i="4" l="1"/>
  <c r="E10" i="4"/>
  <c r="M65" i="2"/>
  <c r="H65" i="2"/>
  <c r="B11" i="4" l="1"/>
  <c r="E11" i="4"/>
  <c r="M66" i="2"/>
  <c r="H66" i="2"/>
  <c r="B12" i="4" l="1"/>
  <c r="E12" i="4"/>
  <c r="H67" i="2"/>
  <c r="M67" i="2"/>
  <c r="E13" i="4" l="1"/>
  <c r="B13" i="4"/>
  <c r="H68" i="2"/>
  <c r="M68" i="2"/>
  <c r="B14" i="4" l="1"/>
  <c r="E14" i="4"/>
  <c r="M69" i="2"/>
  <c r="H69" i="2"/>
  <c r="E15" i="4" l="1"/>
  <c r="B15" i="4"/>
  <c r="H70" i="2"/>
  <c r="M70" i="2"/>
  <c r="E16" i="4" l="1"/>
  <c r="B16" i="4"/>
  <c r="M71" i="2"/>
  <c r="H71" i="2"/>
  <c r="B17" i="4" l="1"/>
  <c r="E17" i="4"/>
  <c r="H72" i="2"/>
  <c r="M72" i="2"/>
  <c r="B18" i="4" l="1"/>
  <c r="E18" i="4"/>
  <c r="H73" i="2"/>
  <c r="M73" i="2"/>
  <c r="E19" i="4" l="1"/>
  <c r="B19" i="4"/>
  <c r="M74" i="2"/>
  <c r="H74" i="2"/>
  <c r="B20" i="4" l="1"/>
  <c r="E20" i="4"/>
  <c r="H75" i="2"/>
  <c r="J74" i="2" s="1"/>
  <c r="D20" i="4" s="1"/>
  <c r="M75" i="2"/>
  <c r="O71" i="2" s="1"/>
  <c r="N69" i="2" l="1"/>
  <c r="F15" i="4" s="1"/>
  <c r="N74" i="2"/>
  <c r="F20" i="4" s="1"/>
  <c r="J71" i="2"/>
  <c r="D17" i="4" s="1"/>
  <c r="N71" i="2"/>
  <c r="F17" i="4" s="1"/>
  <c r="N73" i="2"/>
  <c r="F19" i="4" s="1"/>
  <c r="N66" i="2"/>
  <c r="F12" i="4" s="1"/>
  <c r="O69" i="2"/>
  <c r="I69" i="2"/>
  <c r="C15" i="4" s="1"/>
  <c r="N72" i="2"/>
  <c r="F18" i="4" s="1"/>
  <c r="N70" i="2"/>
  <c r="F16" i="4" s="1"/>
  <c r="J70" i="2"/>
  <c r="D16" i="4" s="1"/>
  <c r="I72" i="2"/>
  <c r="C18" i="4" s="1"/>
  <c r="B21" i="4"/>
  <c r="I75" i="2"/>
  <c r="C21" i="4" s="1"/>
  <c r="J75" i="2"/>
  <c r="D21" i="4" s="1"/>
  <c r="I56" i="2"/>
  <c r="C2" i="4" s="1"/>
  <c r="J56" i="2"/>
  <c r="D2" i="4" s="1"/>
  <c r="J57" i="2"/>
  <c r="D3" i="4" s="1"/>
  <c r="J58" i="2"/>
  <c r="D4" i="4" s="1"/>
  <c r="I57" i="2"/>
  <c r="C3" i="4" s="1"/>
  <c r="I58" i="2"/>
  <c r="C4" i="4" s="1"/>
  <c r="I59" i="2"/>
  <c r="C5" i="4" s="1"/>
  <c r="J60" i="2"/>
  <c r="D6" i="4" s="1"/>
  <c r="I60" i="2"/>
  <c r="C6" i="4" s="1"/>
  <c r="J59" i="2"/>
  <c r="D5" i="4" s="1"/>
  <c r="I61" i="2"/>
  <c r="C7" i="4" s="1"/>
  <c r="J61" i="2"/>
  <c r="D7" i="4" s="1"/>
  <c r="J62" i="2"/>
  <c r="D8" i="4" s="1"/>
  <c r="I62" i="2"/>
  <c r="C8" i="4" s="1"/>
  <c r="J64" i="2"/>
  <c r="D10" i="4" s="1"/>
  <c r="J63" i="2"/>
  <c r="D9" i="4" s="1"/>
  <c r="I66" i="2"/>
  <c r="C12" i="4" s="1"/>
  <c r="I64" i="2"/>
  <c r="C10" i="4" s="1"/>
  <c r="I65" i="2"/>
  <c r="C11" i="4" s="1"/>
  <c r="I63" i="2"/>
  <c r="C9" i="4" s="1"/>
  <c r="J67" i="2"/>
  <c r="D13" i="4" s="1"/>
  <c r="J68" i="2"/>
  <c r="D14" i="4" s="1"/>
  <c r="I67" i="2"/>
  <c r="C13" i="4" s="1"/>
  <c r="J65" i="2"/>
  <c r="D11" i="4" s="1"/>
  <c r="J66" i="2"/>
  <c r="D12" i="4" s="1"/>
  <c r="J73" i="2"/>
  <c r="D19" i="4" s="1"/>
  <c r="J69" i="2"/>
  <c r="D15" i="4" s="1"/>
  <c r="I73" i="2"/>
  <c r="C19" i="4" s="1"/>
  <c r="J72" i="2"/>
  <c r="D18" i="4" s="1"/>
  <c r="I68" i="2"/>
  <c r="C14" i="4" s="1"/>
  <c r="E21" i="4"/>
  <c r="N75" i="2"/>
  <c r="F21" i="4" s="1"/>
  <c r="O75" i="2"/>
  <c r="N56" i="2"/>
  <c r="F2" i="4" s="1"/>
  <c r="O56" i="2"/>
  <c r="O58" i="2"/>
  <c r="N57" i="2"/>
  <c r="F3" i="4" s="1"/>
  <c r="N58" i="2"/>
  <c r="F4" i="4" s="1"/>
  <c r="N60" i="2"/>
  <c r="F6" i="4" s="1"/>
  <c r="O59" i="2"/>
  <c r="N59" i="2"/>
  <c r="F5" i="4" s="1"/>
  <c r="O60" i="2"/>
  <c r="O57" i="2"/>
  <c r="N62" i="2"/>
  <c r="F8" i="4" s="1"/>
  <c r="O63" i="2"/>
  <c r="O61" i="2"/>
  <c r="N63" i="2"/>
  <c r="F9" i="4" s="1"/>
  <c r="N61" i="2"/>
  <c r="F7" i="4" s="1"/>
  <c r="N64" i="2"/>
  <c r="F10" i="4" s="1"/>
  <c r="O62" i="2"/>
  <c r="O64" i="2"/>
  <c r="O66" i="2"/>
  <c r="O67" i="2"/>
  <c r="N65" i="2"/>
  <c r="F11" i="4" s="1"/>
  <c r="N68" i="2"/>
  <c r="F14" i="4" s="1"/>
  <c r="O65" i="2"/>
  <c r="O70" i="2"/>
  <c r="N67" i="2"/>
  <c r="F13" i="4" s="1"/>
  <c r="O68" i="2"/>
  <c r="G14" i="4" s="1"/>
  <c r="O72" i="2"/>
  <c r="O74" i="2"/>
  <c r="I71" i="2"/>
  <c r="C17" i="4" s="1"/>
  <c r="I70" i="2"/>
  <c r="C16" i="4" s="1"/>
  <c r="I74" i="2"/>
  <c r="C20" i="4" s="1"/>
  <c r="O73" i="2"/>
  <c r="G17" i="4" l="1"/>
  <c r="G11" i="4"/>
  <c r="G10" i="4"/>
  <c r="G3" i="4"/>
  <c r="G15" i="4"/>
  <c r="G16" i="4"/>
  <c r="G20" i="4"/>
  <c r="G7" i="4"/>
  <c r="G18" i="4"/>
  <c r="G12" i="4"/>
  <c r="G13" i="4"/>
  <c r="G6" i="4"/>
  <c r="G4" i="4"/>
  <c r="G2" i="4"/>
  <c r="G9" i="4"/>
  <c r="G5" i="4"/>
  <c r="G8" i="4"/>
  <c r="G19" i="4"/>
  <c r="G21" i="4"/>
</calcChain>
</file>

<file path=xl/sharedStrings.xml><?xml version="1.0" encoding="utf-8"?>
<sst xmlns="http://schemas.openxmlformats.org/spreadsheetml/2006/main" count="6885" uniqueCount="115">
  <si>
    <t>accion</t>
  </si>
  <si>
    <t>fecha</t>
  </si>
  <si>
    <t>retorno</t>
  </si>
  <si>
    <t>presion3</t>
  </si>
  <si>
    <t>const</t>
  </si>
  <si>
    <t>prediccion</t>
  </si>
  <si>
    <t>id1</t>
  </si>
  <si>
    <t>AESGENER</t>
  </si>
  <si>
    <t>AGUASA</t>
  </si>
  <si>
    <t>AGUNSA</t>
  </si>
  <si>
    <t>ALMENDRAL</t>
  </si>
  <si>
    <t>ANDINAA</t>
  </si>
  <si>
    <t>ANDINAB</t>
  </si>
  <si>
    <t>ANDROMACO</t>
  </si>
  <si>
    <t>ANTARCHILE</t>
  </si>
  <si>
    <t>BANMEDICA</t>
  </si>
  <si>
    <t>BANVIDA</t>
  </si>
  <si>
    <t>BBVACL</t>
  </si>
  <si>
    <t>BCI</t>
  </si>
  <si>
    <t>BESALCO</t>
  </si>
  <si>
    <t>BICECORP</t>
  </si>
  <si>
    <t>BSANTANDER</t>
  </si>
  <si>
    <t>CALICHERAA</t>
  </si>
  <si>
    <t>CALICHERAB</t>
  </si>
  <si>
    <t>CAMPOS</t>
  </si>
  <si>
    <t>CAP</t>
  </si>
  <si>
    <t>CCU</t>
  </si>
  <si>
    <t>CEM</t>
  </si>
  <si>
    <t>CEMENTOS</t>
  </si>
  <si>
    <t>CENCOSUD</t>
  </si>
  <si>
    <t>CHILE</t>
  </si>
  <si>
    <t>CINTAC</t>
  </si>
  <si>
    <t>CMPC</t>
  </si>
  <si>
    <t>COLBUN</t>
  </si>
  <si>
    <t>COLOSO</t>
  </si>
  <si>
    <t>CONCHATORO</t>
  </si>
  <si>
    <t>COPEC</t>
  </si>
  <si>
    <t>CRISTALES</t>
  </si>
  <si>
    <t>CTC</t>
  </si>
  <si>
    <t>EDELMAG</t>
  </si>
  <si>
    <t>EDELPA</t>
  </si>
  <si>
    <t>ELECMETAL</t>
  </si>
  <si>
    <t>EMBONORB</t>
  </si>
  <si>
    <t>EMILIANA</t>
  </si>
  <si>
    <t>ENAEX</t>
  </si>
  <si>
    <t>ENELGXCH</t>
  </si>
  <si>
    <t>ENTEL</t>
  </si>
  <si>
    <t>EPERVA</t>
  </si>
  <si>
    <t>EXCGE</t>
  </si>
  <si>
    <t>EXESVALA</t>
  </si>
  <si>
    <t>EXWMTCL</t>
  </si>
  <si>
    <t>FALABELLA</t>
  </si>
  <si>
    <t>FASA</t>
  </si>
  <si>
    <t>FORUS</t>
  </si>
  <si>
    <t>FOSFOROS</t>
  </si>
  <si>
    <t>GASCO</t>
  </si>
  <si>
    <t>IAM</t>
  </si>
  <si>
    <t>IANSA</t>
  </si>
  <si>
    <t>INTASA</t>
  </si>
  <si>
    <t>INTEROCEAN</t>
  </si>
  <si>
    <t>INVERCAP</t>
  </si>
  <si>
    <t>INVERMAR</t>
  </si>
  <si>
    <t>INVEXANS</t>
  </si>
  <si>
    <t>ISANPA</t>
  </si>
  <si>
    <t>ITAUCORP</t>
  </si>
  <si>
    <t>LTM</t>
  </si>
  <si>
    <t>MARINSA</t>
  </si>
  <si>
    <t>MASISA</t>
  </si>
  <si>
    <t>MULTIFOODS</t>
  </si>
  <si>
    <t>NAVARINO</t>
  </si>
  <si>
    <t>NAVIERA</t>
  </si>
  <si>
    <t>NORTEGRAN</t>
  </si>
  <si>
    <t>NUEVAPOLAR</t>
  </si>
  <si>
    <t>OROBLANCO</t>
  </si>
  <si>
    <t>PARAUCO</t>
  </si>
  <si>
    <t>PASUR</t>
  </si>
  <si>
    <t>PAZ</t>
  </si>
  <si>
    <t>POLPAICO</t>
  </si>
  <si>
    <t>PUCOBRE</t>
  </si>
  <si>
    <t>QUEMCHI</t>
  </si>
  <si>
    <t>QUINENCO</t>
  </si>
  <si>
    <t>RIPLEY</t>
  </si>
  <si>
    <t>SALFACORP</t>
  </si>
  <si>
    <t>SANTARITA</t>
  </si>
  <si>
    <t>SECURITY</t>
  </si>
  <si>
    <t>SIEMEL</t>
  </si>
  <si>
    <t>SIPSA</t>
  </si>
  <si>
    <t>SK</t>
  </si>
  <si>
    <t>SMCHILEB</t>
  </si>
  <si>
    <t>SMCHILEE</t>
  </si>
  <si>
    <t>SOCOVESA</t>
  </si>
  <si>
    <t>SONDA</t>
  </si>
  <si>
    <t>SOQUICOM</t>
  </si>
  <si>
    <t>SQMA</t>
  </si>
  <si>
    <t>SQMB</t>
  </si>
  <si>
    <t>VAPORES</t>
  </si>
  <si>
    <t>VENTANAS</t>
  </si>
  <si>
    <t>VOLCAN</t>
  </si>
  <si>
    <t>VSPT</t>
  </si>
  <si>
    <t>WATTS</t>
  </si>
  <si>
    <t>ZOFRI</t>
  </si>
  <si>
    <t>Retorno_1</t>
  </si>
  <si>
    <t>Retorno_2</t>
  </si>
  <si>
    <t>Predicción_1</t>
  </si>
  <si>
    <t>Predicción_2</t>
  </si>
  <si>
    <t>Spread</t>
  </si>
  <si>
    <t>Retornos Brutos</t>
  </si>
  <si>
    <t>SpreadRA</t>
  </si>
  <si>
    <t>SpreadCUM</t>
  </si>
  <si>
    <t>Retornos Anormales</t>
  </si>
  <si>
    <t>INN</t>
  </si>
  <si>
    <t>INP</t>
  </si>
  <si>
    <t>INNRA</t>
  </si>
  <si>
    <t>INPRA</t>
  </si>
  <si>
    <t>Transformación Panel a Serie de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</si>
</sst>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33" borderId="10" xfId="0" applyNumberFormat="1" applyFill="1" applyBorder="1" applyAlignment="1">
      <alignment horizontal="center"/>
    </xf>
    <xf numFmtId="0" fontId="0" fillId="33" borderId="0" xfId="0" applyFill="1" applyAlignment="1">
      <alignment horizontal="center"/>
    </xf>
    <xf numFmtId="165" fontId="0" fillId="33" borderId="10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18" fillId="0" borderId="0" xfId="0" applyFont="1"/>
    <xf numFmtId="1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CAAR</a:t>
            </a:r>
            <a:r>
              <a:rPr lang="es-ES" baseline="0"/>
              <a:t> &amp; CARR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SpreadCUM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Gráficos!$A$2:$A$21</c:f>
              <c:numCache>
                <c:formatCode>m/d/yy</c:formatCode>
                <c:ptCount val="20"/>
                <c:pt idx="0">
                  <c:v>39203</c:v>
                </c:pt>
                <c:pt idx="1">
                  <c:v>39234</c:v>
                </c:pt>
                <c:pt idx="2">
                  <c:v>39264</c:v>
                </c:pt>
                <c:pt idx="3">
                  <c:v>39295</c:v>
                </c:pt>
                <c:pt idx="4">
                  <c:v>39326</c:v>
                </c:pt>
                <c:pt idx="5">
                  <c:v>39356</c:v>
                </c:pt>
                <c:pt idx="6">
                  <c:v>39387</c:v>
                </c:pt>
                <c:pt idx="7">
                  <c:v>39417</c:v>
                </c:pt>
                <c:pt idx="8">
                  <c:v>39448</c:v>
                </c:pt>
                <c:pt idx="9">
                  <c:v>39479</c:v>
                </c:pt>
                <c:pt idx="10">
                  <c:v>39508</c:v>
                </c:pt>
                <c:pt idx="11">
                  <c:v>39539</c:v>
                </c:pt>
                <c:pt idx="12">
                  <c:v>39569</c:v>
                </c:pt>
                <c:pt idx="13">
                  <c:v>39600</c:v>
                </c:pt>
                <c:pt idx="14">
                  <c:v>39630</c:v>
                </c:pt>
                <c:pt idx="15">
                  <c:v>39661</c:v>
                </c:pt>
                <c:pt idx="16">
                  <c:v>39692</c:v>
                </c:pt>
                <c:pt idx="17">
                  <c:v>39722</c:v>
                </c:pt>
                <c:pt idx="18">
                  <c:v>39753</c:v>
                </c:pt>
                <c:pt idx="19">
                  <c:v>39783</c:v>
                </c:pt>
              </c:numCache>
            </c:numRef>
          </c:cat>
          <c:val>
            <c:numRef>
              <c:f>Gráficos!$B$2:$B$21</c:f>
              <c:numCache>
                <c:formatCode>0.00000</c:formatCode>
                <c:ptCount val="20"/>
                <c:pt idx="0">
                  <c:v>-5.1993925260795174E-3</c:v>
                </c:pt>
                <c:pt idx="1">
                  <c:v>1.5554466449586524E-2</c:v>
                </c:pt>
                <c:pt idx="2">
                  <c:v>-1.0103980949907502E-2</c:v>
                </c:pt>
                <c:pt idx="3">
                  <c:v>-2.5040722851233405E-2</c:v>
                </c:pt>
                <c:pt idx="4">
                  <c:v>-4.9128645354341915E-2</c:v>
                </c:pt>
                <c:pt idx="5">
                  <c:v>-4.4117100145793162E-2</c:v>
                </c:pt>
                <c:pt idx="6">
                  <c:v>-8.304972499058863E-2</c:v>
                </c:pt>
                <c:pt idx="7">
                  <c:v>-9.0156641978640428E-2</c:v>
                </c:pt>
                <c:pt idx="8">
                  <c:v>-8.7033938584442735E-2</c:v>
                </c:pt>
                <c:pt idx="9">
                  <c:v>-8.4558422650079776E-2</c:v>
                </c:pt>
                <c:pt idx="10">
                  <c:v>-5.2392166440138756E-2</c:v>
                </c:pt>
                <c:pt idx="11">
                  <c:v>-2.7182685207687809E-2</c:v>
                </c:pt>
                <c:pt idx="12">
                  <c:v>4.3018250239924768E-3</c:v>
                </c:pt>
                <c:pt idx="13">
                  <c:v>-2.2468894614509759E-2</c:v>
                </c:pt>
                <c:pt idx="14">
                  <c:v>-1.5485033854854263E-2</c:v>
                </c:pt>
                <c:pt idx="15">
                  <c:v>4.4642903321205595E-3</c:v>
                </c:pt>
                <c:pt idx="16">
                  <c:v>-1.0807332803094125E-2</c:v>
                </c:pt>
                <c:pt idx="17">
                  <c:v>-2.6188513532376129E-2</c:v>
                </c:pt>
                <c:pt idx="18">
                  <c:v>-2.9830835267319739E-2</c:v>
                </c:pt>
                <c:pt idx="19">
                  <c:v>-2.1983752000119573E-2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9-4303-A1B3-3BD28FADF0B2}"/>
            </c:ext>
          </c:extLst>
        </c:ser>
        <c:ser>
          <c:idx val="1"/>
          <c:order val="1"/>
          <c:tx>
            <c:strRef>
              <c:f>Gráficos!$C$1</c:f>
              <c:strCache>
                <c:ptCount val="1"/>
                <c:pt idx="0">
                  <c:v>INN</c:v>
                </c:pt>
              </c:strCache>
            </c:strRef>
          </c:tx>
          <c:spPr>
            <a:ln w="952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Gráficos!$A$2:$A$21</c:f>
              <c:numCache>
                <c:formatCode>m/d/yy</c:formatCode>
                <c:ptCount val="20"/>
                <c:pt idx="0">
                  <c:v>39203</c:v>
                </c:pt>
                <c:pt idx="1">
                  <c:v>39234</c:v>
                </c:pt>
                <c:pt idx="2">
                  <c:v>39264</c:v>
                </c:pt>
                <c:pt idx="3">
                  <c:v>39295</c:v>
                </c:pt>
                <c:pt idx="4">
                  <c:v>39326</c:v>
                </c:pt>
                <c:pt idx="5">
                  <c:v>39356</c:v>
                </c:pt>
                <c:pt idx="6">
                  <c:v>39387</c:v>
                </c:pt>
                <c:pt idx="7">
                  <c:v>39417</c:v>
                </c:pt>
                <c:pt idx="8">
                  <c:v>39448</c:v>
                </c:pt>
                <c:pt idx="9">
                  <c:v>39479</c:v>
                </c:pt>
                <c:pt idx="10">
                  <c:v>39508</c:v>
                </c:pt>
                <c:pt idx="11">
                  <c:v>39539</c:v>
                </c:pt>
                <c:pt idx="12">
                  <c:v>39569</c:v>
                </c:pt>
                <c:pt idx="13">
                  <c:v>39600</c:v>
                </c:pt>
                <c:pt idx="14">
                  <c:v>39630</c:v>
                </c:pt>
                <c:pt idx="15">
                  <c:v>39661</c:v>
                </c:pt>
                <c:pt idx="16">
                  <c:v>39692</c:v>
                </c:pt>
                <c:pt idx="17">
                  <c:v>39722</c:v>
                </c:pt>
                <c:pt idx="18">
                  <c:v>39753</c:v>
                </c:pt>
                <c:pt idx="19">
                  <c:v>39783</c:v>
                </c:pt>
              </c:numCache>
            </c:numRef>
          </c:cat>
          <c:val>
            <c:numRef>
              <c:f>Gráficos!$C$2:$C$21</c:f>
              <c:numCache>
                <c:formatCode>0.00000</c:formatCode>
                <c:ptCount val="20"/>
                <c:pt idx="0">
                  <c:v>-1.932756743881445E-2</c:v>
                </c:pt>
                <c:pt idx="1">
                  <c:v>1.4262915368515906E-3</c:v>
                </c:pt>
                <c:pt idx="2">
                  <c:v>-2.4232155862642435E-2</c:v>
                </c:pt>
                <c:pt idx="3">
                  <c:v>-3.9168897763968341E-2</c:v>
                </c:pt>
                <c:pt idx="4">
                  <c:v>-6.3256820267076852E-2</c:v>
                </c:pt>
                <c:pt idx="5">
                  <c:v>-5.8245275058528098E-2</c:v>
                </c:pt>
                <c:pt idx="6">
                  <c:v>-9.7177899903323567E-2</c:v>
                </c:pt>
                <c:pt idx="7">
                  <c:v>-0.10428481689137536</c:v>
                </c:pt>
                <c:pt idx="8">
                  <c:v>-0.10116211349717767</c:v>
                </c:pt>
                <c:pt idx="9">
                  <c:v>-9.8686597562814712E-2</c:v>
                </c:pt>
                <c:pt idx="10">
                  <c:v>-6.6520341352873685E-2</c:v>
                </c:pt>
                <c:pt idx="11">
                  <c:v>-4.1310860120422746E-2</c:v>
                </c:pt>
                <c:pt idx="12">
                  <c:v>-9.8263498887424562E-3</c:v>
                </c:pt>
                <c:pt idx="13">
                  <c:v>-3.6597069527244688E-2</c:v>
                </c:pt>
                <c:pt idx="14">
                  <c:v>-2.9613208767589196E-2</c:v>
                </c:pt>
                <c:pt idx="15">
                  <c:v>-9.6638845806143736E-3</c:v>
                </c:pt>
                <c:pt idx="16">
                  <c:v>-2.4935507715829058E-2</c:v>
                </c:pt>
                <c:pt idx="17">
                  <c:v>-4.0316688445111062E-2</c:v>
                </c:pt>
                <c:pt idx="18">
                  <c:v>-4.3959010180054672E-2</c:v>
                </c:pt>
                <c:pt idx="19">
                  <c:v>-3.6111926912854503E-2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39-4303-A1B3-3BD28FADF0B2}"/>
            </c:ext>
          </c:extLst>
        </c:ser>
        <c:ser>
          <c:idx val="2"/>
          <c:order val="2"/>
          <c:tx>
            <c:strRef>
              <c:f>Gráficos!$D$1</c:f>
              <c:strCache>
                <c:ptCount val="1"/>
                <c:pt idx="0">
                  <c:v>INP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Gráficos!$A$2:$A$21</c:f>
              <c:numCache>
                <c:formatCode>m/d/yy</c:formatCode>
                <c:ptCount val="20"/>
                <c:pt idx="0">
                  <c:v>39203</c:v>
                </c:pt>
                <c:pt idx="1">
                  <c:v>39234</c:v>
                </c:pt>
                <c:pt idx="2">
                  <c:v>39264</c:v>
                </c:pt>
                <c:pt idx="3">
                  <c:v>39295</c:v>
                </c:pt>
                <c:pt idx="4">
                  <c:v>39326</c:v>
                </c:pt>
                <c:pt idx="5">
                  <c:v>39356</c:v>
                </c:pt>
                <c:pt idx="6">
                  <c:v>39387</c:v>
                </c:pt>
                <c:pt idx="7">
                  <c:v>39417</c:v>
                </c:pt>
                <c:pt idx="8">
                  <c:v>39448</c:v>
                </c:pt>
                <c:pt idx="9">
                  <c:v>39479</c:v>
                </c:pt>
                <c:pt idx="10">
                  <c:v>39508</c:v>
                </c:pt>
                <c:pt idx="11">
                  <c:v>39539</c:v>
                </c:pt>
                <c:pt idx="12">
                  <c:v>39569</c:v>
                </c:pt>
                <c:pt idx="13">
                  <c:v>39600</c:v>
                </c:pt>
                <c:pt idx="14">
                  <c:v>39630</c:v>
                </c:pt>
                <c:pt idx="15">
                  <c:v>39661</c:v>
                </c:pt>
                <c:pt idx="16">
                  <c:v>39692</c:v>
                </c:pt>
                <c:pt idx="17">
                  <c:v>39722</c:v>
                </c:pt>
                <c:pt idx="18">
                  <c:v>39753</c:v>
                </c:pt>
                <c:pt idx="19">
                  <c:v>39783</c:v>
                </c:pt>
              </c:numCache>
            </c:numRef>
          </c:cat>
          <c:val>
            <c:numRef>
              <c:f>Gráficos!$D$2:$D$21</c:f>
              <c:numCache>
                <c:formatCode>0.00000</c:formatCode>
                <c:ptCount val="20"/>
                <c:pt idx="0">
                  <c:v>8.9287823866554157E-3</c:v>
                </c:pt>
                <c:pt idx="1">
                  <c:v>2.9682641362321457E-2</c:v>
                </c:pt>
                <c:pt idx="2">
                  <c:v>4.0241939628274312E-3</c:v>
                </c:pt>
                <c:pt idx="3">
                  <c:v>-1.0912547938498472E-2</c:v>
                </c:pt>
                <c:pt idx="4">
                  <c:v>-3.5000470441606979E-2</c:v>
                </c:pt>
                <c:pt idx="5">
                  <c:v>-2.9988925233058229E-2</c:v>
                </c:pt>
                <c:pt idx="6">
                  <c:v>-6.8921550077853694E-2</c:v>
                </c:pt>
                <c:pt idx="7">
                  <c:v>-7.6028467065905492E-2</c:v>
                </c:pt>
                <c:pt idx="8">
                  <c:v>-7.2905763671707799E-2</c:v>
                </c:pt>
                <c:pt idx="9">
                  <c:v>-7.0430247737344839E-2</c:v>
                </c:pt>
                <c:pt idx="10">
                  <c:v>-3.8263991527403826E-2</c:v>
                </c:pt>
                <c:pt idx="11">
                  <c:v>-1.3054510294952876E-2</c:v>
                </c:pt>
                <c:pt idx="12">
                  <c:v>1.842999993672741E-2</c:v>
                </c:pt>
                <c:pt idx="13">
                  <c:v>-8.3407197017748257E-3</c:v>
                </c:pt>
                <c:pt idx="14">
                  <c:v>-1.3568589421193294E-3</c:v>
                </c:pt>
                <c:pt idx="15">
                  <c:v>1.8592465244855493E-2</c:v>
                </c:pt>
                <c:pt idx="16">
                  <c:v>3.3208421096408078E-3</c:v>
                </c:pt>
                <c:pt idx="17">
                  <c:v>-1.2060338619641196E-2</c:v>
                </c:pt>
                <c:pt idx="18">
                  <c:v>-1.5702660354584806E-2</c:v>
                </c:pt>
                <c:pt idx="19">
                  <c:v>-7.8555770873846402E-3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39-4303-A1B3-3BD28FADF0B2}"/>
            </c:ext>
          </c:extLst>
        </c:ser>
        <c:ser>
          <c:idx val="3"/>
          <c:order val="3"/>
          <c:tx>
            <c:strRef>
              <c:f>Gráficos!$E$1</c:f>
              <c:strCache>
                <c:ptCount val="1"/>
                <c:pt idx="0">
                  <c:v>SpreadRA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Gráficos!$A$2:$A$21</c:f>
              <c:numCache>
                <c:formatCode>m/d/yy</c:formatCode>
                <c:ptCount val="20"/>
                <c:pt idx="0">
                  <c:v>39203</c:v>
                </c:pt>
                <c:pt idx="1">
                  <c:v>39234</c:v>
                </c:pt>
                <c:pt idx="2">
                  <c:v>39264</c:v>
                </c:pt>
                <c:pt idx="3">
                  <c:v>39295</c:v>
                </c:pt>
                <c:pt idx="4">
                  <c:v>39326</c:v>
                </c:pt>
                <c:pt idx="5">
                  <c:v>39356</c:v>
                </c:pt>
                <c:pt idx="6">
                  <c:v>39387</c:v>
                </c:pt>
                <c:pt idx="7">
                  <c:v>39417</c:v>
                </c:pt>
                <c:pt idx="8">
                  <c:v>39448</c:v>
                </c:pt>
                <c:pt idx="9">
                  <c:v>39479</c:v>
                </c:pt>
                <c:pt idx="10">
                  <c:v>39508</c:v>
                </c:pt>
                <c:pt idx="11">
                  <c:v>39539</c:v>
                </c:pt>
                <c:pt idx="12">
                  <c:v>39569</c:v>
                </c:pt>
                <c:pt idx="13">
                  <c:v>39600</c:v>
                </c:pt>
                <c:pt idx="14">
                  <c:v>39630</c:v>
                </c:pt>
                <c:pt idx="15">
                  <c:v>39661</c:v>
                </c:pt>
                <c:pt idx="16">
                  <c:v>39692</c:v>
                </c:pt>
                <c:pt idx="17">
                  <c:v>39722</c:v>
                </c:pt>
                <c:pt idx="18">
                  <c:v>39753</c:v>
                </c:pt>
                <c:pt idx="19">
                  <c:v>39783</c:v>
                </c:pt>
              </c:numCache>
            </c:numRef>
          </c:cat>
          <c:val>
            <c:numRef>
              <c:f>Gráficos!$E$2:$E$21</c:f>
              <c:numCache>
                <c:formatCode>0.0000</c:formatCode>
                <c:ptCount val="20"/>
                <c:pt idx="0">
                  <c:v>-2.3029678940046025E-3</c:v>
                </c:pt>
                <c:pt idx="1">
                  <c:v>2.3338561972155218E-2</c:v>
                </c:pt>
                <c:pt idx="2">
                  <c:v>1.4128793730266848E-3</c:v>
                </c:pt>
                <c:pt idx="3">
                  <c:v>-8.7480295374482674E-3</c:v>
                </c:pt>
                <c:pt idx="4">
                  <c:v>-2.7249623268152005E-2</c:v>
                </c:pt>
                <c:pt idx="5">
                  <c:v>-1.6837318286667308E-2</c:v>
                </c:pt>
                <c:pt idx="6">
                  <c:v>-4.9527764656397355E-2</c:v>
                </c:pt>
                <c:pt idx="7">
                  <c:v>-5.0014747397239379E-2</c:v>
                </c:pt>
                <c:pt idx="8">
                  <c:v>-4.0214212947234151E-2</c:v>
                </c:pt>
                <c:pt idx="9">
                  <c:v>-3.0850027689492656E-2</c:v>
                </c:pt>
                <c:pt idx="10">
                  <c:v>7.5442043740934876E-3</c:v>
                </c:pt>
                <c:pt idx="11">
                  <c:v>3.6946721298333846E-2</c:v>
                </c:pt>
                <c:pt idx="12">
                  <c:v>7.2308073275835702E-2</c:v>
                </c:pt>
                <c:pt idx="13">
                  <c:v>4.7756147541873753E-2</c:v>
                </c:pt>
                <c:pt idx="14">
                  <c:v>5.8347554386766066E-2</c:v>
                </c:pt>
                <c:pt idx="15">
                  <c:v>7.9899266737284536E-2</c:v>
                </c:pt>
                <c:pt idx="16">
                  <c:v>6.5399592968199582E-2</c:v>
                </c:pt>
                <c:pt idx="17">
                  <c:v>5.2840246698793572E-2</c:v>
                </c:pt>
                <c:pt idx="18">
                  <c:v>5.2515996785720831E-2</c:v>
                </c:pt>
                <c:pt idx="19">
                  <c:v>6.4146433495066837E-2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39-4303-A1B3-3BD28FADF0B2}"/>
            </c:ext>
          </c:extLst>
        </c:ser>
        <c:ser>
          <c:idx val="4"/>
          <c:order val="4"/>
          <c:tx>
            <c:strRef>
              <c:f>Gráficos!$F$1</c:f>
              <c:strCache>
                <c:ptCount val="1"/>
                <c:pt idx="0">
                  <c:v>INNRA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Gráficos!$A$2:$A$21</c:f>
              <c:numCache>
                <c:formatCode>m/d/yy</c:formatCode>
                <c:ptCount val="20"/>
                <c:pt idx="0">
                  <c:v>39203</c:v>
                </c:pt>
                <c:pt idx="1">
                  <c:v>39234</c:v>
                </c:pt>
                <c:pt idx="2">
                  <c:v>39264</c:v>
                </c:pt>
                <c:pt idx="3">
                  <c:v>39295</c:v>
                </c:pt>
                <c:pt idx="4">
                  <c:v>39326</c:v>
                </c:pt>
                <c:pt idx="5">
                  <c:v>39356</c:v>
                </c:pt>
                <c:pt idx="6">
                  <c:v>39387</c:v>
                </c:pt>
                <c:pt idx="7">
                  <c:v>39417</c:v>
                </c:pt>
                <c:pt idx="8">
                  <c:v>39448</c:v>
                </c:pt>
                <c:pt idx="9">
                  <c:v>39479</c:v>
                </c:pt>
                <c:pt idx="10">
                  <c:v>39508</c:v>
                </c:pt>
                <c:pt idx="11">
                  <c:v>39539</c:v>
                </c:pt>
                <c:pt idx="12">
                  <c:v>39569</c:v>
                </c:pt>
                <c:pt idx="13">
                  <c:v>39600</c:v>
                </c:pt>
                <c:pt idx="14">
                  <c:v>39630</c:v>
                </c:pt>
                <c:pt idx="15">
                  <c:v>39661</c:v>
                </c:pt>
                <c:pt idx="16">
                  <c:v>39692</c:v>
                </c:pt>
                <c:pt idx="17">
                  <c:v>39722</c:v>
                </c:pt>
                <c:pt idx="18">
                  <c:v>39753</c:v>
                </c:pt>
                <c:pt idx="19">
                  <c:v>39783</c:v>
                </c:pt>
              </c:numCache>
            </c:numRef>
          </c:cat>
          <c:val>
            <c:numRef>
              <c:f>Gráficos!$F$2:$F$21</c:f>
              <c:numCache>
                <c:formatCode>0.0000</c:formatCode>
                <c:ptCount val="20"/>
                <c:pt idx="0">
                  <c:v>-2.1425336566157215E-2</c:v>
                </c:pt>
                <c:pt idx="1">
                  <c:v>4.2161933000026061E-3</c:v>
                </c:pt>
                <c:pt idx="2">
                  <c:v>-1.7709489299125927E-2</c:v>
                </c:pt>
                <c:pt idx="3">
                  <c:v>-2.7870398209600879E-2</c:v>
                </c:pt>
                <c:pt idx="4">
                  <c:v>-4.6371991940304613E-2</c:v>
                </c:pt>
                <c:pt idx="5">
                  <c:v>-3.5959686958819917E-2</c:v>
                </c:pt>
                <c:pt idx="6">
                  <c:v>-6.8650133328549967E-2</c:v>
                </c:pt>
                <c:pt idx="7">
                  <c:v>-6.9137116069391991E-2</c:v>
                </c:pt>
                <c:pt idx="8">
                  <c:v>-5.9336581619386763E-2</c:v>
                </c:pt>
                <c:pt idx="9">
                  <c:v>-4.9972396361645272E-2</c:v>
                </c:pt>
                <c:pt idx="10">
                  <c:v>-1.1578164298059124E-2</c:v>
                </c:pt>
                <c:pt idx="11">
                  <c:v>1.7824352626181234E-2</c:v>
                </c:pt>
                <c:pt idx="12">
                  <c:v>5.318570460368309E-2</c:v>
                </c:pt>
                <c:pt idx="13">
                  <c:v>2.8633778869721141E-2</c:v>
                </c:pt>
                <c:pt idx="14">
                  <c:v>3.9225185714613454E-2</c:v>
                </c:pt>
                <c:pt idx="15">
                  <c:v>6.0776898065131923E-2</c:v>
                </c:pt>
                <c:pt idx="16">
                  <c:v>4.627722429604697E-2</c:v>
                </c:pt>
                <c:pt idx="17">
                  <c:v>3.371787802664096E-2</c:v>
                </c:pt>
                <c:pt idx="18">
                  <c:v>3.3393628113568219E-2</c:v>
                </c:pt>
                <c:pt idx="19">
                  <c:v>4.5024064822914225E-2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39-4303-A1B3-3BD28FADF0B2}"/>
            </c:ext>
          </c:extLst>
        </c:ser>
        <c:ser>
          <c:idx val="5"/>
          <c:order val="5"/>
          <c:tx>
            <c:strRef>
              <c:f>Gráficos!$G$1</c:f>
              <c:strCache>
                <c:ptCount val="1"/>
                <c:pt idx="0">
                  <c:v>INPRA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Gráficos!$A$2:$A$21</c:f>
              <c:numCache>
                <c:formatCode>m/d/yy</c:formatCode>
                <c:ptCount val="20"/>
                <c:pt idx="0">
                  <c:v>39203</c:v>
                </c:pt>
                <c:pt idx="1">
                  <c:v>39234</c:v>
                </c:pt>
                <c:pt idx="2">
                  <c:v>39264</c:v>
                </c:pt>
                <c:pt idx="3">
                  <c:v>39295</c:v>
                </c:pt>
                <c:pt idx="4">
                  <c:v>39326</c:v>
                </c:pt>
                <c:pt idx="5">
                  <c:v>39356</c:v>
                </c:pt>
                <c:pt idx="6">
                  <c:v>39387</c:v>
                </c:pt>
                <c:pt idx="7">
                  <c:v>39417</c:v>
                </c:pt>
                <c:pt idx="8">
                  <c:v>39448</c:v>
                </c:pt>
                <c:pt idx="9">
                  <c:v>39479</c:v>
                </c:pt>
                <c:pt idx="10">
                  <c:v>39508</c:v>
                </c:pt>
                <c:pt idx="11">
                  <c:v>39539</c:v>
                </c:pt>
                <c:pt idx="12">
                  <c:v>39569</c:v>
                </c:pt>
                <c:pt idx="13">
                  <c:v>39600</c:v>
                </c:pt>
                <c:pt idx="14">
                  <c:v>39630</c:v>
                </c:pt>
                <c:pt idx="15">
                  <c:v>39661</c:v>
                </c:pt>
                <c:pt idx="16">
                  <c:v>39692</c:v>
                </c:pt>
                <c:pt idx="17">
                  <c:v>39722</c:v>
                </c:pt>
                <c:pt idx="18">
                  <c:v>39753</c:v>
                </c:pt>
                <c:pt idx="19">
                  <c:v>39783</c:v>
                </c:pt>
              </c:numCache>
            </c:numRef>
          </c:cat>
          <c:val>
            <c:numRef>
              <c:f>Gráficos!$G$2:$G$21</c:f>
              <c:numCache>
                <c:formatCode>0.0000</c:formatCode>
                <c:ptCount val="20"/>
                <c:pt idx="0">
                  <c:v>1.681940077814801E-2</c:v>
                </c:pt>
                <c:pt idx="1">
                  <c:v>4.246093064430783E-2</c:v>
                </c:pt>
                <c:pt idx="2">
                  <c:v>2.0535248045179297E-2</c:v>
                </c:pt>
                <c:pt idx="3">
                  <c:v>1.0374339134704345E-2</c:v>
                </c:pt>
                <c:pt idx="4">
                  <c:v>-8.1272545959993926E-3</c:v>
                </c:pt>
                <c:pt idx="5">
                  <c:v>2.2850503854853037E-3</c:v>
                </c:pt>
                <c:pt idx="6">
                  <c:v>-3.0405395984244743E-2</c:v>
                </c:pt>
                <c:pt idx="7">
                  <c:v>-3.0892378725086767E-2</c:v>
                </c:pt>
                <c:pt idx="8">
                  <c:v>-2.1091844275081539E-2</c:v>
                </c:pt>
                <c:pt idx="9">
                  <c:v>-1.1727659017340044E-2</c:v>
                </c:pt>
                <c:pt idx="10">
                  <c:v>2.66665730462461E-2</c:v>
                </c:pt>
                <c:pt idx="11">
                  <c:v>5.6069089970486458E-2</c:v>
                </c:pt>
                <c:pt idx="12">
                  <c:v>9.1430441947988314E-2</c:v>
                </c:pt>
                <c:pt idx="13">
                  <c:v>6.6878516214026365E-2</c:v>
                </c:pt>
                <c:pt idx="14">
                  <c:v>7.7469923058918672E-2</c:v>
                </c:pt>
                <c:pt idx="15">
                  <c:v>9.9021635409437148E-2</c:v>
                </c:pt>
                <c:pt idx="16">
                  <c:v>8.4521961640352195E-2</c:v>
                </c:pt>
                <c:pt idx="17">
                  <c:v>7.1962615370946184E-2</c:v>
                </c:pt>
                <c:pt idx="18">
                  <c:v>7.1638365457873443E-2</c:v>
                </c:pt>
                <c:pt idx="19">
                  <c:v>8.3268802167219449E-2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39-4303-A1B3-3BD28FADF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027616"/>
        <c:axId val="1159051136"/>
      </c:lineChart>
      <c:dateAx>
        <c:axId val="115902761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9051136"/>
        <c:crosses val="autoZero"/>
        <c:auto val="1"/>
        <c:lblOffset val="100"/>
        <c:baseTimeUnit val="months"/>
      </c:dateAx>
      <c:valAx>
        <c:axId val="115905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902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361949</xdr:colOff>
      <xdr:row>0</xdr:row>
      <xdr:rowOff>0</xdr:rowOff>
    </xdr:from>
    <xdr:to>
      <xdr:col>19</xdr:col>
      <xdr:colOff>47625</xdr:colOff>
      <xdr:row>28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878C0A-A5CF-4173-974B-C0D4C1C0B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85725</xdr:colOff>
      <xdr:row>1</xdr:row>
      <xdr:rowOff>152400</xdr:rowOff>
    </xdr:from>
    <xdr:to>
      <xdr:col>12</xdr:col>
      <xdr:colOff>133350</xdr:colOff>
      <xdr:row>26</xdr:row>
      <xdr:rowOff>161925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6BBBD78F-D962-2120-8F6B-773E45F0FE43}"/>
            </a:ext>
          </a:extLst>
        </xdr:cNvPr>
        <xdr:cNvCxnSpPr/>
      </xdr:nvCxnSpPr>
      <xdr:spPr>
        <a:xfrm>
          <a:off x="9401175" y="342900"/>
          <a:ext cx="47625" cy="4772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7CB0-E9E9-42C2-B43F-AF3D7B5999AF}">
  <dimension ref="A1:G6863"/>
  <sheetViews>
    <sheetView showGridLines="0" workbookViewId="0">
      <selection activeCell="F19" sqref="F19"/>
    </sheetView>
  </sheetViews>
  <sheetFormatPr baseColWidth="10" defaultRowHeight="15" x14ac:dyDescent="0.2"/>
  <cols>
    <col min="1" max="1" width="10.83203125" style="2"/>
    <col min="2" max="2" width="13.33203125" style="2" customWidth="1"/>
    <col min="3" max="7" width="10.83203125" style="2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2" t="s">
        <v>7</v>
      </c>
      <c r="B2" s="14">
        <v>37591</v>
      </c>
      <c r="C2" s="2">
        <v>-0.11538461538</v>
      </c>
      <c r="D2" s="2">
        <v>0</v>
      </c>
      <c r="E2" s="2">
        <v>1</v>
      </c>
      <c r="G2" s="2">
        <v>1</v>
      </c>
    </row>
    <row r="3" spans="1:7" x14ac:dyDescent="0.2">
      <c r="A3" s="2" t="s">
        <v>7</v>
      </c>
      <c r="B3" s="14">
        <v>37622</v>
      </c>
      <c r="C3" s="2">
        <v>-2.1739130435E-2</v>
      </c>
      <c r="D3" s="2">
        <v>0</v>
      </c>
      <c r="E3" s="2">
        <v>1</v>
      </c>
      <c r="G3" s="2">
        <v>1</v>
      </c>
    </row>
    <row r="4" spans="1:7" x14ac:dyDescent="0.2">
      <c r="A4" s="2" t="s">
        <v>7</v>
      </c>
      <c r="B4" s="14">
        <v>37653</v>
      </c>
      <c r="C4" s="2">
        <v>-4.4444444442999997E-2</v>
      </c>
      <c r="D4" s="2">
        <v>0</v>
      </c>
      <c r="E4" s="2">
        <v>1</v>
      </c>
      <c r="G4" s="2">
        <v>1</v>
      </c>
    </row>
    <row r="5" spans="1:7" x14ac:dyDescent="0.2">
      <c r="A5" s="2" t="s">
        <v>7</v>
      </c>
      <c r="B5" s="14">
        <v>37681</v>
      </c>
      <c r="C5" s="2">
        <v>-6.9767441861000007E-2</v>
      </c>
      <c r="D5" s="2">
        <v>0</v>
      </c>
      <c r="E5" s="2">
        <v>1</v>
      </c>
      <c r="G5" s="2">
        <v>1</v>
      </c>
    </row>
    <row r="6" spans="1:7" x14ac:dyDescent="0.2">
      <c r="A6" s="2" t="s">
        <v>7</v>
      </c>
      <c r="B6" s="14">
        <v>37712</v>
      </c>
      <c r="C6" s="2">
        <v>0.17499999999999999</v>
      </c>
      <c r="D6" s="2">
        <v>0</v>
      </c>
      <c r="E6" s="2">
        <v>1</v>
      </c>
      <c r="G6" s="2">
        <v>1</v>
      </c>
    </row>
    <row r="7" spans="1:7" x14ac:dyDescent="0.2">
      <c r="A7" s="2" t="s">
        <v>7</v>
      </c>
      <c r="B7" s="14">
        <v>37742</v>
      </c>
      <c r="C7" s="2">
        <v>0.444156345529999</v>
      </c>
      <c r="D7" s="2">
        <v>0</v>
      </c>
      <c r="E7" s="2">
        <v>1</v>
      </c>
      <c r="G7" s="2">
        <v>1</v>
      </c>
    </row>
    <row r="8" spans="1:7" x14ac:dyDescent="0.2">
      <c r="A8" s="2" t="s">
        <v>7</v>
      </c>
      <c r="B8" s="14">
        <v>37773</v>
      </c>
      <c r="C8" s="2">
        <v>3.0303030304E-2</v>
      </c>
      <c r="D8" s="2">
        <v>0</v>
      </c>
      <c r="E8" s="2">
        <v>1</v>
      </c>
      <c r="G8" s="2">
        <v>1</v>
      </c>
    </row>
    <row r="9" spans="1:7" x14ac:dyDescent="0.2">
      <c r="A9" s="2" t="s">
        <v>7</v>
      </c>
      <c r="B9" s="14">
        <v>37803</v>
      </c>
      <c r="C9" s="2">
        <v>8.9222165933999995E-3</v>
      </c>
      <c r="D9" s="2">
        <v>0</v>
      </c>
      <c r="E9" s="2">
        <v>1</v>
      </c>
      <c r="G9" s="2">
        <v>1</v>
      </c>
    </row>
    <row r="10" spans="1:7" x14ac:dyDescent="0.2">
      <c r="A10" s="2" t="s">
        <v>7</v>
      </c>
      <c r="B10" s="14">
        <v>37834</v>
      </c>
      <c r="C10" s="2">
        <v>0.23076923077</v>
      </c>
      <c r="D10" s="2">
        <v>0</v>
      </c>
      <c r="E10" s="2">
        <v>1</v>
      </c>
      <c r="F10" s="2">
        <v>6.5259507312328602E-2</v>
      </c>
      <c r="G10" s="2">
        <v>1</v>
      </c>
    </row>
    <row r="11" spans="1:7" x14ac:dyDescent="0.2">
      <c r="A11" s="2" t="s">
        <v>7</v>
      </c>
      <c r="B11" s="14">
        <v>37865</v>
      </c>
      <c r="C11" s="2">
        <v>0.12375</v>
      </c>
      <c r="D11" s="2">
        <v>0</v>
      </c>
      <c r="E11" s="2">
        <v>1</v>
      </c>
      <c r="F11" s="2">
        <v>7.2651968247410298E-2</v>
      </c>
      <c r="G11" s="2">
        <v>1</v>
      </c>
    </row>
    <row r="12" spans="1:7" x14ac:dyDescent="0.2">
      <c r="A12" s="2" t="s">
        <v>7</v>
      </c>
      <c r="B12" s="14">
        <v>37895</v>
      </c>
      <c r="C12" s="2">
        <v>0.18898776417999999</v>
      </c>
      <c r="D12" s="2">
        <v>0</v>
      </c>
      <c r="E12" s="2">
        <v>1</v>
      </c>
      <c r="F12" s="2">
        <v>7.7769071589302394E-2</v>
      </c>
      <c r="G12" s="2">
        <v>1</v>
      </c>
    </row>
    <row r="13" spans="1:7" x14ac:dyDescent="0.2">
      <c r="A13" s="2" t="s">
        <v>7</v>
      </c>
      <c r="B13" s="14">
        <v>37926</v>
      </c>
      <c r="C13" s="2">
        <v>2.9095331649000002E-2</v>
      </c>
      <c r="D13" s="2">
        <v>0</v>
      </c>
      <c r="E13" s="2">
        <v>1</v>
      </c>
      <c r="F13" s="2">
        <v>7.7651800645494998E-2</v>
      </c>
      <c r="G13" s="2">
        <v>1</v>
      </c>
    </row>
    <row r="14" spans="1:7" x14ac:dyDescent="0.2">
      <c r="A14" s="2" t="s">
        <v>7</v>
      </c>
      <c r="B14" s="14">
        <v>37956</v>
      </c>
      <c r="C14" s="2">
        <v>-2.2727272725999999E-2</v>
      </c>
      <c r="D14" s="19">
        <v>5.2884379999999998E-10</v>
      </c>
      <c r="E14" s="2">
        <v>1</v>
      </c>
      <c r="F14" s="2">
        <v>6.5476204210768704E-2</v>
      </c>
      <c r="G14" s="2">
        <v>1</v>
      </c>
    </row>
    <row r="15" spans="1:7" x14ac:dyDescent="0.2">
      <c r="A15" s="2" t="s">
        <v>7</v>
      </c>
      <c r="B15" s="14">
        <v>37987</v>
      </c>
      <c r="C15" s="2">
        <v>-0.13860465116000001</v>
      </c>
      <c r="E15" s="2">
        <v>1</v>
      </c>
      <c r="F15" s="2">
        <v>6.3942671583476704E-2</v>
      </c>
      <c r="G15" s="2">
        <v>1</v>
      </c>
    </row>
    <row r="16" spans="1:7" x14ac:dyDescent="0.2">
      <c r="A16" s="2" t="s">
        <v>7</v>
      </c>
      <c r="B16" s="14">
        <v>38018</v>
      </c>
      <c r="C16" s="2">
        <v>0.23557824464999999</v>
      </c>
      <c r="E16" s="2">
        <v>1</v>
      </c>
      <c r="F16" s="2">
        <v>6.02311734151635E-2</v>
      </c>
      <c r="G16" s="2">
        <v>1</v>
      </c>
    </row>
    <row r="17" spans="1:7" x14ac:dyDescent="0.2">
      <c r="A17" s="2" t="s">
        <v>7</v>
      </c>
      <c r="B17" s="14">
        <v>38047</v>
      </c>
      <c r="C17" s="2">
        <v>-0.18954996186</v>
      </c>
      <c r="D17" s="2">
        <v>0</v>
      </c>
      <c r="E17" s="2">
        <v>1</v>
      </c>
      <c r="F17" s="2">
        <v>6.0099467210259598E-2</v>
      </c>
      <c r="G17" s="2">
        <v>1</v>
      </c>
    </row>
    <row r="18" spans="1:7" x14ac:dyDescent="0.2">
      <c r="A18" s="2" t="s">
        <v>7</v>
      </c>
      <c r="B18" s="14">
        <v>38078</v>
      </c>
      <c r="C18" s="2">
        <v>-3.5294117647000002E-2</v>
      </c>
      <c r="D18" s="2">
        <v>0</v>
      </c>
      <c r="E18" s="2">
        <v>1</v>
      </c>
      <c r="F18" s="2">
        <v>5.18012082641802E-2</v>
      </c>
      <c r="G18" s="2">
        <v>1</v>
      </c>
    </row>
    <row r="19" spans="1:7" x14ac:dyDescent="0.2">
      <c r="A19" s="2" t="s">
        <v>7</v>
      </c>
      <c r="B19" s="14">
        <v>38108</v>
      </c>
      <c r="C19" s="2">
        <v>1.1248549070999999E-3</v>
      </c>
      <c r="D19" s="2">
        <v>0</v>
      </c>
      <c r="E19" s="2">
        <v>1</v>
      </c>
      <c r="F19" s="2">
        <v>4.5432344417864298E-2</v>
      </c>
      <c r="G19" s="2">
        <v>1</v>
      </c>
    </row>
    <row r="20" spans="1:7" x14ac:dyDescent="0.2">
      <c r="A20" s="2" t="s">
        <v>7</v>
      </c>
      <c r="B20" s="14">
        <v>38139</v>
      </c>
      <c r="C20" s="2">
        <v>7.3170731705999997E-2</v>
      </c>
      <c r="D20" s="2">
        <v>0</v>
      </c>
      <c r="E20" s="2">
        <v>1</v>
      </c>
      <c r="F20" s="2">
        <v>4.3555216937254101E-2</v>
      </c>
      <c r="G20" s="2">
        <v>1</v>
      </c>
    </row>
    <row r="21" spans="1:7" x14ac:dyDescent="0.2">
      <c r="A21" s="2" t="s">
        <v>7</v>
      </c>
      <c r="B21" s="14">
        <v>38169</v>
      </c>
      <c r="C21" s="2">
        <v>-1.4204545454E-2</v>
      </c>
      <c r="D21" s="2">
        <v>0</v>
      </c>
      <c r="E21" s="2">
        <v>1</v>
      </c>
      <c r="F21" s="2">
        <v>4.6171292233867699E-2</v>
      </c>
      <c r="G21" s="2">
        <v>1</v>
      </c>
    </row>
    <row r="22" spans="1:7" x14ac:dyDescent="0.2">
      <c r="A22" s="2" t="s">
        <v>7</v>
      </c>
      <c r="B22" s="14">
        <v>38200</v>
      </c>
      <c r="C22" s="2">
        <v>2.8818443806999999E-3</v>
      </c>
      <c r="D22" s="2">
        <v>0</v>
      </c>
      <c r="E22" s="2">
        <v>1</v>
      </c>
      <c r="F22" s="2">
        <v>3.3735980822648802E-2</v>
      </c>
      <c r="G22" s="2">
        <v>1</v>
      </c>
    </row>
    <row r="23" spans="1:7" x14ac:dyDescent="0.2">
      <c r="A23" s="2" t="s">
        <v>7</v>
      </c>
      <c r="B23" s="14">
        <v>38231</v>
      </c>
      <c r="C23" s="2">
        <v>9.1944023286000001E-2</v>
      </c>
      <c r="D23" s="2">
        <v>0</v>
      </c>
      <c r="E23" s="2">
        <v>1</v>
      </c>
      <c r="F23" s="2">
        <v>2.6747773853365901E-2</v>
      </c>
      <c r="G23" s="2">
        <v>1</v>
      </c>
    </row>
    <row r="24" spans="1:7" x14ac:dyDescent="0.2">
      <c r="A24" s="2" t="s">
        <v>7</v>
      </c>
      <c r="B24" s="14">
        <v>38261</v>
      </c>
      <c r="C24" s="2">
        <v>-3.2150537633999998E-2</v>
      </c>
      <c r="D24" s="2">
        <v>0</v>
      </c>
      <c r="E24" s="2">
        <v>1</v>
      </c>
      <c r="F24" s="2">
        <v>3.4689299881379303E-2</v>
      </c>
      <c r="G24" s="2">
        <v>1</v>
      </c>
    </row>
    <row r="25" spans="1:7" x14ac:dyDescent="0.2">
      <c r="A25" s="2" t="s">
        <v>7</v>
      </c>
      <c r="B25" s="14">
        <v>38292</v>
      </c>
      <c r="C25" s="2">
        <v>2.5441617598E-2</v>
      </c>
      <c r="D25" s="2">
        <v>0</v>
      </c>
      <c r="E25" s="2">
        <v>1</v>
      </c>
      <c r="F25" s="2">
        <v>3.4626303604564999E-2</v>
      </c>
      <c r="G25" s="2">
        <v>1</v>
      </c>
    </row>
    <row r="26" spans="1:7" x14ac:dyDescent="0.2">
      <c r="A26" s="2" t="s">
        <v>7</v>
      </c>
      <c r="B26" s="14">
        <v>38322</v>
      </c>
      <c r="C26" s="2">
        <v>0.12870193069999999</v>
      </c>
      <c r="D26" s="2">
        <v>0</v>
      </c>
      <c r="E26" s="2">
        <v>1</v>
      </c>
      <c r="F26" s="2">
        <v>3.5270101738567601E-2</v>
      </c>
      <c r="G26" s="2">
        <v>1</v>
      </c>
    </row>
    <row r="27" spans="1:7" x14ac:dyDescent="0.2">
      <c r="A27" s="2" t="s">
        <v>7</v>
      </c>
      <c r="B27" s="14">
        <v>38353</v>
      </c>
      <c r="C27" s="2">
        <v>-0.10891089108</v>
      </c>
      <c r="D27" s="2">
        <v>0</v>
      </c>
      <c r="E27" s="2">
        <v>1</v>
      </c>
      <c r="F27" s="2">
        <v>3.6778623404583398E-2</v>
      </c>
      <c r="G27" s="2">
        <v>1</v>
      </c>
    </row>
    <row r="28" spans="1:7" x14ac:dyDescent="0.2">
      <c r="A28" s="2" t="s">
        <v>7</v>
      </c>
      <c r="B28" s="14">
        <v>38384</v>
      </c>
      <c r="C28" s="2">
        <v>4.8888888888999997E-2</v>
      </c>
      <c r="D28" s="2">
        <v>0</v>
      </c>
      <c r="E28" s="2">
        <v>1</v>
      </c>
      <c r="F28" s="2">
        <v>3.4242806695244501E-2</v>
      </c>
      <c r="G28" s="2">
        <v>1</v>
      </c>
    </row>
    <row r="29" spans="1:7" x14ac:dyDescent="0.2">
      <c r="A29" s="2" t="s">
        <v>7</v>
      </c>
      <c r="B29" s="14">
        <v>38412</v>
      </c>
      <c r="C29" s="2">
        <v>-1.4724576273000001E-2</v>
      </c>
      <c r="D29" s="19">
        <v>-4.6971610000000001E-10</v>
      </c>
      <c r="E29" s="2">
        <v>1</v>
      </c>
      <c r="F29" s="2">
        <v>3.5028577275384699E-2</v>
      </c>
      <c r="G29" s="2">
        <v>1</v>
      </c>
    </row>
    <row r="30" spans="1:7" x14ac:dyDescent="0.2">
      <c r="A30" s="2" t="s">
        <v>7</v>
      </c>
      <c r="B30" s="14">
        <v>38443</v>
      </c>
      <c r="C30" s="2">
        <v>-0.10142051521999999</v>
      </c>
      <c r="D30" s="2">
        <v>0</v>
      </c>
      <c r="E30" s="2">
        <v>1</v>
      </c>
      <c r="F30" s="2">
        <v>3.1553417842427697E-2</v>
      </c>
      <c r="G30" s="2">
        <v>1</v>
      </c>
    </row>
    <row r="31" spans="1:7" x14ac:dyDescent="0.2">
      <c r="A31" s="2" t="s">
        <v>7</v>
      </c>
      <c r="B31" s="14">
        <v>38473</v>
      </c>
      <c r="C31" s="2">
        <v>0.12121212121</v>
      </c>
      <c r="D31" s="2">
        <v>0</v>
      </c>
      <c r="E31" s="2">
        <v>1</v>
      </c>
      <c r="F31" s="2">
        <v>2.9956772804816199E-2</v>
      </c>
      <c r="G31" s="2">
        <v>1</v>
      </c>
    </row>
    <row r="32" spans="1:7" x14ac:dyDescent="0.2">
      <c r="A32" s="2" t="s">
        <v>7</v>
      </c>
      <c r="B32" s="14">
        <v>38504</v>
      </c>
      <c r="C32" s="2">
        <v>-1.0810810807999999E-3</v>
      </c>
      <c r="D32" s="2">
        <v>0</v>
      </c>
      <c r="E32" s="2">
        <v>1</v>
      </c>
      <c r="F32" s="2">
        <v>3.25937654196247E-2</v>
      </c>
      <c r="G32" s="2">
        <v>1</v>
      </c>
    </row>
    <row r="33" spans="1:7" x14ac:dyDescent="0.2">
      <c r="A33" s="2" t="s">
        <v>7</v>
      </c>
      <c r="B33" s="14">
        <v>38534</v>
      </c>
      <c r="C33" s="2">
        <v>3.3549783548999998E-2</v>
      </c>
      <c r="D33" s="2">
        <v>0</v>
      </c>
      <c r="E33" s="2">
        <v>1</v>
      </c>
      <c r="F33" s="2">
        <v>2.8812858398922399E-2</v>
      </c>
      <c r="G33" s="2">
        <v>1</v>
      </c>
    </row>
    <row r="34" spans="1:7" x14ac:dyDescent="0.2">
      <c r="A34" s="2" t="s">
        <v>7</v>
      </c>
      <c r="B34" s="14">
        <v>38565</v>
      </c>
      <c r="C34" s="2">
        <v>-7.8534031412999999E-2</v>
      </c>
      <c r="D34" s="2">
        <v>0</v>
      </c>
      <c r="E34" s="2">
        <v>1</v>
      </c>
      <c r="F34" s="2">
        <v>3.20461042260815E-2</v>
      </c>
      <c r="G34" s="2">
        <v>1</v>
      </c>
    </row>
    <row r="35" spans="1:7" x14ac:dyDescent="0.2">
      <c r="A35" s="2" t="s">
        <v>7</v>
      </c>
      <c r="B35" s="14">
        <v>38596</v>
      </c>
      <c r="C35" s="2">
        <v>5.6818181820000001E-3</v>
      </c>
      <c r="D35" s="2">
        <v>0</v>
      </c>
      <c r="E35" s="2">
        <v>1</v>
      </c>
      <c r="F35" s="2">
        <v>2.8640012805654699E-2</v>
      </c>
      <c r="G35" s="2">
        <v>1</v>
      </c>
    </row>
    <row r="36" spans="1:7" x14ac:dyDescent="0.2">
      <c r="A36" s="2" t="s">
        <v>7</v>
      </c>
      <c r="B36" s="14">
        <v>38626</v>
      </c>
      <c r="C36" s="2">
        <v>7.3446327684000001E-2</v>
      </c>
      <c r="D36" s="2">
        <v>0</v>
      </c>
      <c r="E36" s="2">
        <v>1</v>
      </c>
      <c r="F36" s="2">
        <v>2.9136681510418101E-2</v>
      </c>
      <c r="G36" s="2">
        <v>1</v>
      </c>
    </row>
    <row r="37" spans="1:7" x14ac:dyDescent="0.2">
      <c r="A37" s="2" t="s">
        <v>7</v>
      </c>
      <c r="B37" s="14">
        <v>38657</v>
      </c>
      <c r="C37" s="2">
        <v>-7.3684210525999994E-2</v>
      </c>
      <c r="D37" s="2">
        <v>0</v>
      </c>
      <c r="E37" s="2">
        <v>1</v>
      </c>
      <c r="F37" s="2">
        <v>3.40599448963484E-2</v>
      </c>
      <c r="G37" s="2">
        <v>1</v>
      </c>
    </row>
    <row r="38" spans="1:7" x14ac:dyDescent="0.2">
      <c r="A38" s="2" t="s">
        <v>7</v>
      </c>
      <c r="B38" s="14">
        <v>38687</v>
      </c>
      <c r="C38" s="2">
        <v>6.9845828265999998E-2</v>
      </c>
      <c r="D38" s="2">
        <v>0</v>
      </c>
      <c r="E38" s="2">
        <v>1</v>
      </c>
      <c r="F38" s="2">
        <v>2.8668570496769699E-2</v>
      </c>
      <c r="G38" s="2">
        <v>1</v>
      </c>
    </row>
    <row r="39" spans="1:7" x14ac:dyDescent="0.2">
      <c r="A39" s="2" t="s">
        <v>7</v>
      </c>
      <c r="B39" s="14">
        <v>38718</v>
      </c>
      <c r="C39" s="2">
        <v>-5.4347826086999999E-2</v>
      </c>
      <c r="D39" s="2">
        <v>0</v>
      </c>
      <c r="E39" s="2">
        <v>1</v>
      </c>
      <c r="F39" s="2">
        <v>3.04904858274965E-2</v>
      </c>
      <c r="G39" s="2">
        <v>1</v>
      </c>
    </row>
    <row r="40" spans="1:7" x14ac:dyDescent="0.2">
      <c r="A40" s="2" t="s">
        <v>7</v>
      </c>
      <c r="B40" s="14">
        <v>38749</v>
      </c>
      <c r="C40" s="2">
        <v>1.1494252873E-2</v>
      </c>
      <c r="D40" s="2">
        <v>0</v>
      </c>
      <c r="E40" s="2">
        <v>1</v>
      </c>
      <c r="F40" s="2">
        <v>2.7973419266025399E-2</v>
      </c>
      <c r="G40" s="2">
        <v>1</v>
      </c>
    </row>
    <row r="41" spans="1:7" x14ac:dyDescent="0.2">
      <c r="A41" s="2" t="s">
        <v>7</v>
      </c>
      <c r="B41" s="14">
        <v>38777</v>
      </c>
      <c r="C41" s="2">
        <v>3.4090909092E-2</v>
      </c>
      <c r="D41" s="2">
        <v>0</v>
      </c>
      <c r="E41" s="2">
        <v>1</v>
      </c>
      <c r="F41" s="2">
        <v>3.0521318187557999E-2</v>
      </c>
      <c r="G41" s="2">
        <v>1</v>
      </c>
    </row>
    <row r="42" spans="1:7" x14ac:dyDescent="0.2">
      <c r="A42" s="2" t="s">
        <v>7</v>
      </c>
      <c r="B42" s="14">
        <v>38808</v>
      </c>
      <c r="C42" s="2">
        <v>0.57751995089999997</v>
      </c>
      <c r="D42" s="2">
        <v>1.7708926999999999E-2</v>
      </c>
      <c r="E42" s="2">
        <v>1</v>
      </c>
      <c r="F42" s="2">
        <v>3.1275955292185999E-2</v>
      </c>
      <c r="G42" s="2">
        <v>1</v>
      </c>
    </row>
    <row r="43" spans="1:7" x14ac:dyDescent="0.2">
      <c r="A43" s="2" t="s">
        <v>7</v>
      </c>
      <c r="B43" s="14">
        <v>38838</v>
      </c>
      <c r="C43" s="2">
        <v>-4.6659977063999998E-2</v>
      </c>
      <c r="D43" s="2">
        <v>4.6453802000000002E-3</v>
      </c>
      <c r="E43" s="2">
        <v>1</v>
      </c>
      <c r="F43" s="2">
        <v>4.6834282718712199E-2</v>
      </c>
      <c r="G43" s="2">
        <v>1</v>
      </c>
    </row>
    <row r="44" spans="1:7" x14ac:dyDescent="0.2">
      <c r="A44" s="2" t="s">
        <v>7</v>
      </c>
      <c r="B44" s="14">
        <v>38869</v>
      </c>
      <c r="C44" s="2">
        <v>-1.511164574E-2</v>
      </c>
      <c r="D44" s="2">
        <v>4.3840167999999999E-4</v>
      </c>
      <c r="E44" s="2">
        <v>1</v>
      </c>
      <c r="F44" s="2">
        <v>4.7749408728652902E-2</v>
      </c>
      <c r="G44" s="2">
        <v>1</v>
      </c>
    </row>
    <row r="45" spans="1:7" x14ac:dyDescent="0.2">
      <c r="A45" s="2" t="s">
        <v>7</v>
      </c>
      <c r="B45" s="14">
        <v>38899</v>
      </c>
      <c r="C45" s="2">
        <v>1.5267175571E-2</v>
      </c>
      <c r="D45" s="2">
        <v>1.2143961E-4</v>
      </c>
      <c r="E45" s="2">
        <v>1</v>
      </c>
      <c r="F45" s="2">
        <v>4.5336847973963403E-2</v>
      </c>
      <c r="G45" s="2">
        <v>1</v>
      </c>
    </row>
    <row r="46" spans="1:7" x14ac:dyDescent="0.2">
      <c r="A46" s="2" t="s">
        <v>7</v>
      </c>
      <c r="B46" s="14">
        <v>38930</v>
      </c>
      <c r="C46" s="2">
        <v>1.5037593986999999E-2</v>
      </c>
      <c r="D46" s="2">
        <v>3.1046661999999999E-3</v>
      </c>
      <c r="E46" s="2">
        <v>1</v>
      </c>
      <c r="F46" s="2">
        <v>5.0101205996271103E-2</v>
      </c>
      <c r="G46" s="2">
        <v>1</v>
      </c>
    </row>
    <row r="47" spans="1:7" x14ac:dyDescent="0.2">
      <c r="A47" s="2" t="s">
        <v>7</v>
      </c>
      <c r="B47" s="14">
        <v>38961</v>
      </c>
      <c r="C47" s="2">
        <v>0.12592592591999999</v>
      </c>
      <c r="D47" s="2">
        <v>4.5056730999999998E-4</v>
      </c>
      <c r="E47" s="2">
        <v>1</v>
      </c>
      <c r="F47" s="2">
        <v>5.00972782145091E-2</v>
      </c>
      <c r="G47" s="2">
        <v>1</v>
      </c>
    </row>
    <row r="48" spans="1:7" x14ac:dyDescent="0.2">
      <c r="A48" s="2" t="s">
        <v>7</v>
      </c>
      <c r="B48" s="14">
        <v>38991</v>
      </c>
      <c r="C48" s="2">
        <v>3.2828947366999997E-2</v>
      </c>
      <c r="D48" s="2">
        <v>1.7888417E-3</v>
      </c>
      <c r="E48" s="2">
        <v>1</v>
      </c>
      <c r="F48" s="2">
        <v>5.2492218489671297E-2</v>
      </c>
      <c r="G48" s="2">
        <v>1</v>
      </c>
    </row>
    <row r="49" spans="1:7" x14ac:dyDescent="0.2">
      <c r="A49" s="2" t="s">
        <v>7</v>
      </c>
      <c r="B49" s="14">
        <v>39022</v>
      </c>
      <c r="C49" s="2">
        <v>0.19752850499999999</v>
      </c>
      <c r="D49" s="2">
        <v>8.9854398000000001E-4</v>
      </c>
      <c r="E49" s="2">
        <v>1</v>
      </c>
      <c r="F49" s="2">
        <v>3.6684685848571701E-2</v>
      </c>
      <c r="G49" s="2">
        <v>1</v>
      </c>
    </row>
    <row r="50" spans="1:7" x14ac:dyDescent="0.2">
      <c r="A50" s="2" t="s">
        <v>7</v>
      </c>
      <c r="B50" s="14">
        <v>39052</v>
      </c>
      <c r="C50" s="2">
        <v>5.8780380356E-2</v>
      </c>
      <c r="D50" s="2">
        <v>1.9643112999999999E-3</v>
      </c>
      <c r="E50" s="2">
        <v>1</v>
      </c>
      <c r="F50" s="2">
        <v>4.3310426382500399E-2</v>
      </c>
      <c r="G50" s="2">
        <v>1</v>
      </c>
    </row>
    <row r="51" spans="1:7" x14ac:dyDescent="0.2">
      <c r="A51" s="2" t="s">
        <v>7</v>
      </c>
      <c r="B51" s="14">
        <v>39083</v>
      </c>
      <c r="C51" s="2">
        <v>6.9243818434000001E-2</v>
      </c>
      <c r="D51" s="2">
        <v>-2.0621130999999999E-4</v>
      </c>
      <c r="E51" s="2">
        <v>1</v>
      </c>
      <c r="F51" s="2">
        <v>4.5369246520845001E-2</v>
      </c>
      <c r="G51" s="2">
        <v>1</v>
      </c>
    </row>
    <row r="52" spans="1:7" x14ac:dyDescent="0.2">
      <c r="A52" s="2" t="s">
        <v>7</v>
      </c>
      <c r="B52" s="14">
        <v>39114</v>
      </c>
      <c r="C52" s="2">
        <v>5.5480769232000002E-2</v>
      </c>
      <c r="D52" s="19">
        <v>-2.8293503000000001E-5</v>
      </c>
      <c r="E52" s="2">
        <v>1</v>
      </c>
      <c r="F52" s="2">
        <v>4.6680455738517902E-2</v>
      </c>
      <c r="G52" s="2">
        <v>1</v>
      </c>
    </row>
    <row r="53" spans="1:7" x14ac:dyDescent="0.2">
      <c r="A53" s="2" t="s">
        <v>7</v>
      </c>
      <c r="B53" s="14">
        <v>39142</v>
      </c>
      <c r="C53" s="2">
        <v>3.3980140292999998E-2</v>
      </c>
      <c r="D53" s="2">
        <v>1.1425073E-3</v>
      </c>
      <c r="E53" s="2">
        <v>1</v>
      </c>
      <c r="F53" s="2">
        <v>4.7699850565600201E-2</v>
      </c>
      <c r="G53" s="2">
        <v>1</v>
      </c>
    </row>
    <row r="54" spans="1:7" x14ac:dyDescent="0.2">
      <c r="A54" s="2" t="s">
        <v>7</v>
      </c>
      <c r="B54" s="14">
        <v>39173</v>
      </c>
      <c r="C54" s="2">
        <v>6.4511513951999999E-2</v>
      </c>
      <c r="D54" s="2">
        <v>2.8081803E-4</v>
      </c>
      <c r="E54" s="2">
        <v>1</v>
      </c>
      <c r="F54" s="2">
        <v>4.4967510798956799E-2</v>
      </c>
      <c r="G54" s="2">
        <v>1</v>
      </c>
    </row>
    <row r="55" spans="1:7" x14ac:dyDescent="0.2">
      <c r="A55" s="2" t="s">
        <v>7</v>
      </c>
      <c r="B55" s="14">
        <v>39203</v>
      </c>
      <c r="C55" s="2">
        <v>-4.1999160021000001E-4</v>
      </c>
      <c r="D55" s="2">
        <v>-1.0296364E-4</v>
      </c>
      <c r="E55" s="2">
        <v>1</v>
      </c>
      <c r="F55" s="2">
        <v>4.3873520713248501E-2</v>
      </c>
      <c r="G55" s="2">
        <v>1</v>
      </c>
    </row>
    <row r="56" spans="1:7" x14ac:dyDescent="0.2">
      <c r="A56" s="2" t="s">
        <v>7</v>
      </c>
      <c r="B56" s="14">
        <v>39234</v>
      </c>
      <c r="C56" s="2">
        <v>0.24382352940999999</v>
      </c>
      <c r="D56" s="2">
        <v>4.3194391999999996E-3</v>
      </c>
      <c r="E56" s="2">
        <v>1</v>
      </c>
      <c r="F56" s="2">
        <v>3.8057711418136103E-2</v>
      </c>
      <c r="G56" s="2">
        <v>1</v>
      </c>
    </row>
    <row r="57" spans="1:7" x14ac:dyDescent="0.2">
      <c r="A57" s="2" t="s">
        <v>7</v>
      </c>
      <c r="B57" s="14">
        <v>39264</v>
      </c>
      <c r="C57" s="2">
        <v>-4.6954700538000001E-2</v>
      </c>
      <c r="D57" s="2">
        <v>-6.6713744000000002E-4</v>
      </c>
      <c r="E57" s="2">
        <v>1</v>
      </c>
      <c r="F57" s="2">
        <v>4.3230006597771001E-2</v>
      </c>
      <c r="G57" s="2">
        <v>1</v>
      </c>
    </row>
    <row r="58" spans="1:7" x14ac:dyDescent="0.2">
      <c r="A58" s="2" t="s">
        <v>7</v>
      </c>
      <c r="B58" s="14">
        <v>39295</v>
      </c>
      <c r="C58" s="2">
        <v>-1.8183107077999999E-2</v>
      </c>
      <c r="D58" s="2">
        <v>-1.3765566999999999E-3</v>
      </c>
      <c r="E58" s="2">
        <v>1</v>
      </c>
      <c r="F58" s="2">
        <v>2.60304961062802E-2</v>
      </c>
      <c r="G58" s="2">
        <v>1</v>
      </c>
    </row>
    <row r="59" spans="1:7" x14ac:dyDescent="0.2">
      <c r="A59" s="2" t="s">
        <v>7</v>
      </c>
      <c r="B59" s="14">
        <v>39326</v>
      </c>
      <c r="C59" s="2">
        <v>-0.10880866425000001</v>
      </c>
      <c r="D59" s="2">
        <v>-1.0177181E-3</v>
      </c>
      <c r="E59" s="2">
        <v>1</v>
      </c>
      <c r="F59" s="2">
        <v>2.39921752224878E-2</v>
      </c>
      <c r="G59" s="2">
        <v>1</v>
      </c>
    </row>
    <row r="60" spans="1:7" x14ac:dyDescent="0.2">
      <c r="A60" s="2" t="s">
        <v>7</v>
      </c>
      <c r="B60" s="14">
        <v>39356</v>
      </c>
      <c r="C60" s="2">
        <v>6.6434416275999997E-3</v>
      </c>
      <c r="D60" s="2">
        <v>2.6189174999999997E-4</v>
      </c>
      <c r="E60" s="2">
        <v>1</v>
      </c>
      <c r="F60" s="2">
        <v>2.03483321717409E-2</v>
      </c>
      <c r="G60" s="2">
        <v>1</v>
      </c>
    </row>
    <row r="61" spans="1:7" x14ac:dyDescent="0.2">
      <c r="A61" s="2" t="s">
        <v>7</v>
      </c>
      <c r="B61" s="14">
        <v>39387</v>
      </c>
      <c r="C61" s="2">
        <v>-0.10663983903</v>
      </c>
      <c r="D61" s="2">
        <v>-3.2418589000000001E-3</v>
      </c>
      <c r="E61" s="2">
        <v>1</v>
      </c>
      <c r="F61" s="2">
        <v>1.8674158801572301E-2</v>
      </c>
      <c r="G61" s="2">
        <v>1</v>
      </c>
    </row>
    <row r="62" spans="1:7" x14ac:dyDescent="0.2">
      <c r="A62" s="2" t="s">
        <v>7</v>
      </c>
      <c r="B62" s="14">
        <v>39417</v>
      </c>
      <c r="C62" s="2">
        <v>-5.4369369369999997E-2</v>
      </c>
      <c r="D62" s="2">
        <v>2.9815648999999999E-4</v>
      </c>
      <c r="E62" s="2">
        <v>1</v>
      </c>
      <c r="F62" s="2">
        <v>1.5797778223593201E-2</v>
      </c>
      <c r="G62" s="2">
        <v>1</v>
      </c>
    </row>
    <row r="63" spans="1:7" x14ac:dyDescent="0.2">
      <c r="A63" s="2" t="s">
        <v>7</v>
      </c>
      <c r="B63" s="14">
        <v>39448</v>
      </c>
      <c r="C63" s="2">
        <v>-7.2929071595000006E-2</v>
      </c>
      <c r="D63" s="2">
        <v>1.7023563E-3</v>
      </c>
      <c r="E63" s="2">
        <v>1</v>
      </c>
      <c r="F63" s="2">
        <v>7.3385687119675198E-3</v>
      </c>
      <c r="G63" s="2">
        <v>1</v>
      </c>
    </row>
    <row r="64" spans="1:7" x14ac:dyDescent="0.2">
      <c r="A64" s="2" t="s">
        <v>7</v>
      </c>
      <c r="B64" s="14">
        <v>39479</v>
      </c>
      <c r="C64" s="2">
        <v>6.3611139657999999E-2</v>
      </c>
      <c r="D64" s="2">
        <v>4.5079357E-4</v>
      </c>
      <c r="E64" s="2">
        <v>1</v>
      </c>
      <c r="F64" s="2">
        <v>6.7792582857752696E-3</v>
      </c>
      <c r="G64" s="2">
        <v>1</v>
      </c>
    </row>
    <row r="65" spans="1:7" x14ac:dyDescent="0.2">
      <c r="A65" s="2" t="s">
        <v>7</v>
      </c>
      <c r="B65" s="14">
        <v>39508</v>
      </c>
      <c r="C65" s="2">
        <v>-8.2125603864999994E-2</v>
      </c>
      <c r="D65" s="2">
        <v>1.6200476999999999E-3</v>
      </c>
      <c r="E65" s="2">
        <v>1</v>
      </c>
      <c r="F65" s="2">
        <v>9.0106005243353101E-3</v>
      </c>
      <c r="G65" s="2">
        <v>1</v>
      </c>
    </row>
    <row r="66" spans="1:7" x14ac:dyDescent="0.2">
      <c r="A66" s="2" t="s">
        <v>7</v>
      </c>
      <c r="B66" s="14">
        <v>39539</v>
      </c>
      <c r="C66" s="2">
        <v>0.12421052631</v>
      </c>
      <c r="D66" s="2">
        <v>3.0510620999999998E-3</v>
      </c>
      <c r="E66" s="2">
        <v>1</v>
      </c>
      <c r="F66" s="2">
        <v>1.00160879311502E-2</v>
      </c>
      <c r="G66" s="2">
        <v>1</v>
      </c>
    </row>
    <row r="67" spans="1:7" x14ac:dyDescent="0.2">
      <c r="A67" s="2" t="s">
        <v>7</v>
      </c>
      <c r="B67" s="14">
        <v>39569</v>
      </c>
      <c r="C67" s="2">
        <v>1.1005201268E-2</v>
      </c>
      <c r="D67" s="2">
        <v>-1.5443035000000001E-3</v>
      </c>
      <c r="E67" s="2">
        <v>1</v>
      </c>
      <c r="F67" s="2">
        <v>1.3247687901528299E-2</v>
      </c>
      <c r="G67" s="2">
        <v>1</v>
      </c>
    </row>
    <row r="68" spans="1:7" x14ac:dyDescent="0.2">
      <c r="A68" s="2" t="s">
        <v>7</v>
      </c>
      <c r="B68" s="14">
        <v>39600</v>
      </c>
      <c r="C68" s="2">
        <v>-0.11009569378</v>
      </c>
      <c r="D68" s="2">
        <v>1.9504788999999999E-3</v>
      </c>
      <c r="E68" s="2">
        <v>1</v>
      </c>
      <c r="F68" s="2">
        <v>1.6446860367183999E-2</v>
      </c>
      <c r="G68" s="2">
        <v>1</v>
      </c>
    </row>
    <row r="69" spans="1:7" x14ac:dyDescent="0.2">
      <c r="A69" s="2" t="s">
        <v>7</v>
      </c>
      <c r="B69" s="14">
        <v>39630</v>
      </c>
      <c r="C69" s="2">
        <v>6.2906607873000004E-3</v>
      </c>
      <c r="D69" s="2">
        <v>1.4815327000000001E-3</v>
      </c>
      <c r="E69" s="2">
        <v>1</v>
      </c>
      <c r="F69" s="2">
        <v>1.45261010806256E-2</v>
      </c>
      <c r="G69" s="2">
        <v>1</v>
      </c>
    </row>
    <row r="70" spans="1:7" x14ac:dyDescent="0.2">
      <c r="A70" s="2" t="s">
        <v>7</v>
      </c>
      <c r="B70" s="14">
        <v>39661</v>
      </c>
      <c r="C70" s="2">
        <v>-4.3599059628000002E-2</v>
      </c>
      <c r="D70" s="2">
        <v>1.2453890999999999E-4</v>
      </c>
      <c r="E70" s="2">
        <v>1</v>
      </c>
      <c r="F70" s="2">
        <v>1.6507317619762998E-2</v>
      </c>
      <c r="G70" s="2">
        <v>1</v>
      </c>
    </row>
    <row r="71" spans="1:7" x14ac:dyDescent="0.2">
      <c r="A71" s="2" t="s">
        <v>7</v>
      </c>
      <c r="B71" s="14">
        <v>39692</v>
      </c>
      <c r="C71" s="2">
        <v>-1.1117318435999999E-2</v>
      </c>
      <c r="D71" s="2">
        <v>-2.4304041000000002E-3</v>
      </c>
      <c r="E71" s="2">
        <v>1</v>
      </c>
      <c r="F71" s="2">
        <v>1.35121556720483E-2</v>
      </c>
      <c r="G71" s="2">
        <v>1</v>
      </c>
    </row>
    <row r="72" spans="1:7" x14ac:dyDescent="0.2">
      <c r="A72" s="2" t="s">
        <v>7</v>
      </c>
      <c r="B72" s="14">
        <v>39722</v>
      </c>
      <c r="C72" s="2">
        <v>4.2370487536000003E-3</v>
      </c>
      <c r="D72" s="2">
        <v>3.8525155000000001E-3</v>
      </c>
      <c r="E72" s="2">
        <v>1</v>
      </c>
      <c r="F72" s="2">
        <v>1.5511978831795999E-2</v>
      </c>
      <c r="G72" s="2">
        <v>1</v>
      </c>
    </row>
    <row r="73" spans="1:7" x14ac:dyDescent="0.2">
      <c r="A73" s="2" t="s">
        <v>7</v>
      </c>
      <c r="B73" s="14">
        <v>39753</v>
      </c>
      <c r="C73" s="2">
        <v>6.3231323133000006E-2</v>
      </c>
      <c r="D73" s="2">
        <v>9.1767438000000007E-2</v>
      </c>
      <c r="E73" s="2">
        <v>1</v>
      </c>
      <c r="F73" s="2">
        <v>1.20345983234611E-2</v>
      </c>
      <c r="G73" s="2">
        <v>1</v>
      </c>
    </row>
    <row r="74" spans="1:7" x14ac:dyDescent="0.2">
      <c r="A74" s="2" t="s">
        <v>7</v>
      </c>
      <c r="B74" s="14">
        <v>39783</v>
      </c>
      <c r="C74" s="2">
        <v>1.5820105819999999E-2</v>
      </c>
      <c r="D74" s="2">
        <v>2.8330539000000002E-3</v>
      </c>
      <c r="E74" s="2">
        <v>1</v>
      </c>
      <c r="F74" s="2">
        <v>1.3378299199272499E-2</v>
      </c>
      <c r="G74" s="2">
        <v>1</v>
      </c>
    </row>
    <row r="75" spans="1:7" x14ac:dyDescent="0.2">
      <c r="A75" s="2" t="s">
        <v>8</v>
      </c>
      <c r="B75" s="14">
        <v>37591</v>
      </c>
      <c r="C75" s="2">
        <v>-5.4693486589000001E-2</v>
      </c>
      <c r="D75" s="2">
        <v>6.0920167999999997E-2</v>
      </c>
      <c r="E75" s="2">
        <v>1</v>
      </c>
      <c r="G75" s="2">
        <v>2</v>
      </c>
    </row>
    <row r="76" spans="1:7" x14ac:dyDescent="0.2">
      <c r="A76" s="2" t="s">
        <v>8</v>
      </c>
      <c r="B76" s="14">
        <v>37622</v>
      </c>
      <c r="C76" s="2">
        <v>-2.8776978418000001E-2</v>
      </c>
      <c r="D76" s="2">
        <v>8.8920147000000002E-4</v>
      </c>
      <c r="E76" s="2">
        <v>1</v>
      </c>
      <c r="G76" s="2">
        <v>2</v>
      </c>
    </row>
    <row r="77" spans="1:7" x14ac:dyDescent="0.2">
      <c r="A77" s="2" t="s">
        <v>8</v>
      </c>
      <c r="B77" s="14">
        <v>37653</v>
      </c>
      <c r="C77" s="2">
        <v>-7.4074074082000002E-3</v>
      </c>
      <c r="D77" s="2">
        <v>5.2202865000000002E-4</v>
      </c>
      <c r="E77" s="2">
        <v>1</v>
      </c>
      <c r="G77" s="2">
        <v>2</v>
      </c>
    </row>
    <row r="78" spans="1:7" x14ac:dyDescent="0.2">
      <c r="A78" s="2" t="s">
        <v>8</v>
      </c>
      <c r="B78" s="14">
        <v>37681</v>
      </c>
      <c r="C78" s="2">
        <v>-1.4925373133E-2</v>
      </c>
      <c r="D78" s="19">
        <v>8.1329272000000004E-5</v>
      </c>
      <c r="E78" s="2">
        <v>1</v>
      </c>
      <c r="G78" s="2">
        <v>2</v>
      </c>
    </row>
    <row r="79" spans="1:7" x14ac:dyDescent="0.2">
      <c r="A79" s="2" t="s">
        <v>8</v>
      </c>
      <c r="B79" s="14">
        <v>37712</v>
      </c>
      <c r="C79" s="2">
        <v>0.20454545455000001</v>
      </c>
      <c r="D79" s="2">
        <v>4.2639791999999997E-4</v>
      </c>
      <c r="E79" s="2">
        <v>1</v>
      </c>
      <c r="G79" s="2">
        <v>2</v>
      </c>
    </row>
    <row r="80" spans="1:7" x14ac:dyDescent="0.2">
      <c r="A80" s="2" t="s">
        <v>8</v>
      </c>
      <c r="B80" s="14">
        <v>37742</v>
      </c>
      <c r="C80" s="2">
        <v>-3.2300881195999998E-2</v>
      </c>
      <c r="D80" s="2">
        <v>1.1060390000000001E-3</v>
      </c>
      <c r="E80" s="2">
        <v>1</v>
      </c>
      <c r="G80" s="2">
        <v>2</v>
      </c>
    </row>
    <row r="81" spans="1:7" x14ac:dyDescent="0.2">
      <c r="A81" s="2" t="s">
        <v>8</v>
      </c>
      <c r="B81" s="14">
        <v>37773</v>
      </c>
      <c r="C81" s="2">
        <v>-6.0810810809999997E-2</v>
      </c>
      <c r="D81" s="2">
        <v>3.2588582999999998E-4</v>
      </c>
      <c r="E81" s="2">
        <v>1</v>
      </c>
      <c r="G81" s="2">
        <v>2</v>
      </c>
    </row>
    <row r="82" spans="1:7" x14ac:dyDescent="0.2">
      <c r="A82" s="2" t="s">
        <v>8</v>
      </c>
      <c r="B82" s="14">
        <v>37803</v>
      </c>
      <c r="C82" s="2">
        <v>-2.8776978416999999E-2</v>
      </c>
      <c r="D82" s="19">
        <v>-8.6316722000000007E-5</v>
      </c>
      <c r="E82" s="2">
        <v>1</v>
      </c>
      <c r="G82" s="2">
        <v>2</v>
      </c>
    </row>
    <row r="83" spans="1:7" x14ac:dyDescent="0.2">
      <c r="A83" s="2" t="s">
        <v>8</v>
      </c>
      <c r="B83" s="14">
        <v>37834</v>
      </c>
      <c r="C83" s="2">
        <v>0.14074074074000001</v>
      </c>
      <c r="D83" s="2">
        <v>6.7009925999999996E-3</v>
      </c>
      <c r="E83" s="2">
        <v>1</v>
      </c>
      <c r="F83" s="2">
        <v>1.45353918855374E-2</v>
      </c>
      <c r="G83" s="2">
        <v>2</v>
      </c>
    </row>
    <row r="84" spans="1:7" x14ac:dyDescent="0.2">
      <c r="A84" s="2" t="s">
        <v>8</v>
      </c>
      <c r="B84" s="14">
        <v>37865</v>
      </c>
      <c r="C84" s="2">
        <v>0.10292211755</v>
      </c>
      <c r="D84" s="2">
        <v>-4.1325108000000001E-4</v>
      </c>
      <c r="E84" s="2">
        <v>1</v>
      </c>
      <c r="F84" s="2">
        <v>1.8633713525367399E-2</v>
      </c>
      <c r="G84" s="2">
        <v>2</v>
      </c>
    </row>
    <row r="85" spans="1:7" x14ac:dyDescent="0.2">
      <c r="A85" s="2" t="s">
        <v>8</v>
      </c>
      <c r="B85" s="14">
        <v>37895</v>
      </c>
      <c r="C85" s="2">
        <v>0.118045258</v>
      </c>
      <c r="D85" s="2">
        <v>1.1754908E-3</v>
      </c>
      <c r="E85" s="2">
        <v>1</v>
      </c>
      <c r="F85" s="2">
        <v>2.1774329930135401E-2</v>
      </c>
      <c r="G85" s="2">
        <v>2</v>
      </c>
    </row>
    <row r="86" spans="1:7" x14ac:dyDescent="0.2">
      <c r="A86" s="2" t="s">
        <v>8</v>
      </c>
      <c r="B86" s="14">
        <v>37926</v>
      </c>
      <c r="C86" s="2">
        <v>2.6856273130999999E-2</v>
      </c>
      <c r="D86" s="2">
        <v>1.7659456999999999E-3</v>
      </c>
      <c r="E86" s="2">
        <v>1</v>
      </c>
      <c r="F86" s="2">
        <v>1.8999914931659E-2</v>
      </c>
      <c r="G86" s="2">
        <v>2</v>
      </c>
    </row>
    <row r="87" spans="1:7" x14ac:dyDescent="0.2">
      <c r="A87" s="2" t="s">
        <v>8</v>
      </c>
      <c r="B87" s="14">
        <v>37956</v>
      </c>
      <c r="C87" s="2">
        <v>6.7185546961000001E-2</v>
      </c>
      <c r="D87" s="2">
        <v>2.5357981000000002E-3</v>
      </c>
      <c r="E87" s="2">
        <v>1</v>
      </c>
      <c r="F87" s="2">
        <v>2.0561056538242702E-2</v>
      </c>
      <c r="G87" s="2">
        <v>2</v>
      </c>
    </row>
    <row r="88" spans="1:7" x14ac:dyDescent="0.2">
      <c r="A88" s="2" t="s">
        <v>8</v>
      </c>
      <c r="B88" s="14">
        <v>37987</v>
      </c>
      <c r="C88" s="2">
        <v>-8.5812420363999997E-2</v>
      </c>
      <c r="E88" s="2">
        <v>1</v>
      </c>
      <c r="F88" s="2">
        <v>2.4365652514557599E-2</v>
      </c>
      <c r="G88" s="2">
        <v>2</v>
      </c>
    </row>
    <row r="89" spans="1:7" x14ac:dyDescent="0.2">
      <c r="A89" s="2" t="s">
        <v>8</v>
      </c>
      <c r="B89" s="14">
        <v>38018</v>
      </c>
      <c r="C89" s="2">
        <v>4.8357774814999997E-2</v>
      </c>
      <c r="E89" s="2">
        <v>1</v>
      </c>
      <c r="F89" s="2">
        <v>2.3028399336701401E-2</v>
      </c>
      <c r="G89" s="2">
        <v>2</v>
      </c>
    </row>
    <row r="90" spans="1:7" x14ac:dyDescent="0.2">
      <c r="A90" s="2" t="s">
        <v>8</v>
      </c>
      <c r="B90" s="14">
        <v>38047</v>
      </c>
      <c r="C90" s="2">
        <v>-0.13583815027999999</v>
      </c>
      <c r="D90" s="2">
        <v>-1.0544937E-4</v>
      </c>
      <c r="E90" s="2">
        <v>1</v>
      </c>
      <c r="F90" s="2">
        <v>2.0233163422394299E-2</v>
      </c>
      <c r="G90" s="2">
        <v>2</v>
      </c>
    </row>
    <row r="91" spans="1:7" x14ac:dyDescent="0.2">
      <c r="A91" s="2" t="s">
        <v>8</v>
      </c>
      <c r="B91" s="14">
        <v>38078</v>
      </c>
      <c r="C91" s="2">
        <v>7.0234113712999993E-2</v>
      </c>
      <c r="D91" s="2">
        <v>-3.6605094999999998E-4</v>
      </c>
      <c r="E91" s="2">
        <v>1</v>
      </c>
      <c r="F91" s="2">
        <v>1.3906592198153401E-2</v>
      </c>
      <c r="G91" s="2">
        <v>2</v>
      </c>
    </row>
    <row r="92" spans="1:7" x14ac:dyDescent="0.2">
      <c r="A92" s="2" t="s">
        <v>8</v>
      </c>
      <c r="B92" s="14">
        <v>38108</v>
      </c>
      <c r="C92" s="2">
        <v>-4.0477947804999997E-2</v>
      </c>
      <c r="D92" s="2">
        <v>6.7297736000000003E-4</v>
      </c>
      <c r="E92" s="2">
        <v>1</v>
      </c>
      <c r="F92" s="2">
        <v>1.20984699927306E-2</v>
      </c>
      <c r="G92" s="2">
        <v>2</v>
      </c>
    </row>
    <row r="93" spans="1:7" x14ac:dyDescent="0.2">
      <c r="A93" s="2" t="s">
        <v>8</v>
      </c>
      <c r="B93" s="14">
        <v>38139</v>
      </c>
      <c r="C93" s="2">
        <v>0.12252534186</v>
      </c>
      <c r="D93" s="2">
        <v>1.708626E-3</v>
      </c>
      <c r="E93" s="2">
        <v>1</v>
      </c>
      <c r="F93" s="2">
        <v>1.03548778358496E-2</v>
      </c>
      <c r="G93" s="2">
        <v>2</v>
      </c>
    </row>
    <row r="94" spans="1:7" x14ac:dyDescent="0.2">
      <c r="A94" s="2" t="s">
        <v>8</v>
      </c>
      <c r="B94" s="14">
        <v>38169</v>
      </c>
      <c r="C94" s="2">
        <v>-3.0303030302E-2</v>
      </c>
      <c r="D94" s="2">
        <v>-1.6302741000000001E-4</v>
      </c>
      <c r="E94" s="2">
        <v>1</v>
      </c>
      <c r="F94" s="2">
        <v>1.1707258982218799E-2</v>
      </c>
      <c r="G94" s="2">
        <v>2</v>
      </c>
    </row>
    <row r="95" spans="1:7" x14ac:dyDescent="0.2">
      <c r="A95" s="2" t="s">
        <v>8</v>
      </c>
      <c r="B95" s="14">
        <v>38200</v>
      </c>
      <c r="C95" s="2">
        <v>9.375E-2</v>
      </c>
      <c r="D95" s="2">
        <v>1.7150315000000001E-3</v>
      </c>
      <c r="E95" s="2">
        <v>1</v>
      </c>
      <c r="F95" s="2">
        <v>1.77077214650467E-3</v>
      </c>
      <c r="G95" s="2">
        <v>2</v>
      </c>
    </row>
    <row r="96" spans="1:7" x14ac:dyDescent="0.2">
      <c r="A96" s="2" t="s">
        <v>8</v>
      </c>
      <c r="B96" s="14">
        <v>38231</v>
      </c>
      <c r="C96" s="2">
        <v>-8.5714285723999997E-3</v>
      </c>
      <c r="D96" s="2">
        <v>4.8126388000000001E-4</v>
      </c>
      <c r="E96" s="2">
        <v>1</v>
      </c>
      <c r="F96" s="2">
        <v>2.7993004058991201E-3</v>
      </c>
      <c r="G96" s="2">
        <v>2</v>
      </c>
    </row>
    <row r="97" spans="1:7" x14ac:dyDescent="0.2">
      <c r="A97" s="2" t="s">
        <v>8</v>
      </c>
      <c r="B97" s="14">
        <v>38261</v>
      </c>
      <c r="C97" s="2">
        <v>-5.7636887606999997E-2</v>
      </c>
      <c r="D97" s="19">
        <v>1.1439842999999999E-5</v>
      </c>
      <c r="E97" s="2">
        <v>1</v>
      </c>
      <c r="F97" s="2">
        <v>6.4454007055610102E-3</v>
      </c>
      <c r="G97" s="2">
        <v>2</v>
      </c>
    </row>
    <row r="98" spans="1:7" x14ac:dyDescent="0.2">
      <c r="A98" s="2" t="s">
        <v>8</v>
      </c>
      <c r="B98" s="14">
        <v>38292</v>
      </c>
      <c r="C98" s="2">
        <v>-9.1743119264999992E-3</v>
      </c>
      <c r="D98" s="19">
        <v>9.5122457000000005E-5</v>
      </c>
      <c r="E98" s="2">
        <v>1</v>
      </c>
      <c r="F98" s="2">
        <v>2.9920284780932901E-3</v>
      </c>
      <c r="G98" s="2">
        <v>2</v>
      </c>
    </row>
    <row r="99" spans="1:7" x14ac:dyDescent="0.2">
      <c r="A99" s="2" t="s">
        <v>8</v>
      </c>
      <c r="B99" s="14">
        <v>38322</v>
      </c>
      <c r="C99" s="2">
        <v>4.9382716048E-2</v>
      </c>
      <c r="D99" s="2">
        <v>7.9320767000000002E-4</v>
      </c>
      <c r="E99" s="2">
        <v>1</v>
      </c>
      <c r="F99" s="2">
        <v>3.7444056564907798E-3</v>
      </c>
      <c r="G99" s="2">
        <v>2</v>
      </c>
    </row>
    <row r="100" spans="1:7" x14ac:dyDescent="0.2">
      <c r="A100" s="2" t="s">
        <v>8</v>
      </c>
      <c r="B100" s="14">
        <v>38353</v>
      </c>
      <c r="C100" s="2">
        <v>-4.1176470588000003E-2</v>
      </c>
      <c r="D100" s="2">
        <v>1.1240250000000001E-3</v>
      </c>
      <c r="E100" s="2">
        <v>1</v>
      </c>
      <c r="F100" s="2">
        <v>1.4996591006823201E-3</v>
      </c>
      <c r="G100" s="2">
        <v>2</v>
      </c>
    </row>
    <row r="101" spans="1:7" x14ac:dyDescent="0.2">
      <c r="A101" s="2" t="s">
        <v>8</v>
      </c>
      <c r="B101" s="14">
        <v>38384</v>
      </c>
      <c r="C101" s="2">
        <v>4.1717791411000002E-2</v>
      </c>
      <c r="D101" s="2">
        <v>1.6694820999999999E-3</v>
      </c>
      <c r="E101" s="2">
        <v>1</v>
      </c>
      <c r="F101" s="2">
        <v>1.2137786546044999E-3</v>
      </c>
      <c r="G101" s="2">
        <v>2</v>
      </c>
    </row>
    <row r="102" spans="1:7" x14ac:dyDescent="0.2">
      <c r="A102" s="2" t="s">
        <v>8</v>
      </c>
      <c r="B102" s="14">
        <v>38412</v>
      </c>
      <c r="C102" s="2">
        <v>1.1778563002E-3</v>
      </c>
      <c r="D102" s="2">
        <v>2.1917365999999999E-4</v>
      </c>
      <c r="E102" s="2">
        <v>1</v>
      </c>
      <c r="F102" s="2">
        <v>-3.8866280074530298E-4</v>
      </c>
      <c r="G102" s="2">
        <v>2</v>
      </c>
    </row>
    <row r="103" spans="1:7" x14ac:dyDescent="0.2">
      <c r="A103" s="2" t="s">
        <v>8</v>
      </c>
      <c r="B103" s="14">
        <v>38443</v>
      </c>
      <c r="C103" s="2">
        <v>4.7058823529000003E-2</v>
      </c>
      <c r="D103" s="2">
        <v>2.9633622000000001E-4</v>
      </c>
      <c r="E103" s="2">
        <v>1</v>
      </c>
      <c r="F103" s="2">
        <v>-3.8484419232314901E-4</v>
      </c>
      <c r="G103" s="2">
        <v>2</v>
      </c>
    </row>
    <row r="104" spans="1:7" x14ac:dyDescent="0.2">
      <c r="A104" s="2" t="s">
        <v>8</v>
      </c>
      <c r="B104" s="14">
        <v>38473</v>
      </c>
      <c r="C104" s="2">
        <v>0.13240023552999999</v>
      </c>
      <c r="D104" s="2">
        <v>9.4051572E-4</v>
      </c>
      <c r="E104" s="2">
        <v>1</v>
      </c>
      <c r="F104" s="2">
        <v>2.93347218696919E-3</v>
      </c>
      <c r="G104" s="2">
        <v>2</v>
      </c>
    </row>
    <row r="105" spans="1:7" x14ac:dyDescent="0.2">
      <c r="A105" s="2" t="s">
        <v>8</v>
      </c>
      <c r="B105" s="14">
        <v>38504</v>
      </c>
      <c r="C105" s="2">
        <v>-1.5789473684000001E-2</v>
      </c>
      <c r="D105" s="2">
        <v>3.1085827999999998E-4</v>
      </c>
      <c r="E105" s="2">
        <v>1</v>
      </c>
      <c r="F105" s="2">
        <v>6.5683669431775603E-3</v>
      </c>
      <c r="G105" s="2">
        <v>2</v>
      </c>
    </row>
    <row r="106" spans="1:7" x14ac:dyDescent="0.2">
      <c r="A106" s="2" t="s">
        <v>8</v>
      </c>
      <c r="B106" s="14">
        <v>38534</v>
      </c>
      <c r="C106" s="2">
        <v>8.8235294116999999E-2</v>
      </c>
      <c r="D106" s="19">
        <v>1.4693825E-5</v>
      </c>
      <c r="E106" s="2">
        <v>1</v>
      </c>
      <c r="F106" s="2">
        <v>4.60137993052022E-3</v>
      </c>
      <c r="G106" s="2">
        <v>2</v>
      </c>
    </row>
    <row r="107" spans="1:7" x14ac:dyDescent="0.2">
      <c r="A107" s="2" t="s">
        <v>8</v>
      </c>
      <c r="B107" s="14">
        <v>38565</v>
      </c>
      <c r="C107" s="2">
        <v>-6.1425061424999997E-2</v>
      </c>
      <c r="D107" s="2">
        <v>-5.8298778999999997E-4</v>
      </c>
      <c r="E107" s="2">
        <v>1</v>
      </c>
      <c r="F107" s="2">
        <v>1.10043654780242E-2</v>
      </c>
      <c r="G107" s="2">
        <v>2</v>
      </c>
    </row>
    <row r="108" spans="1:7" x14ac:dyDescent="0.2">
      <c r="A108" s="2" t="s">
        <v>8</v>
      </c>
      <c r="B108" s="14">
        <v>38596</v>
      </c>
      <c r="C108" s="2">
        <v>6.6791519144E-2</v>
      </c>
      <c r="D108" s="2">
        <v>-6.8667524999999996E-4</v>
      </c>
      <c r="E108" s="2">
        <v>1</v>
      </c>
      <c r="F108" s="2">
        <v>8.1873988122849097E-3</v>
      </c>
      <c r="G108" s="2">
        <v>2</v>
      </c>
    </row>
    <row r="109" spans="1:7" x14ac:dyDescent="0.2">
      <c r="A109" s="2" t="s">
        <v>8</v>
      </c>
      <c r="B109" s="14">
        <v>38626</v>
      </c>
      <c r="C109" s="2">
        <v>-6.5467266366999996E-2</v>
      </c>
      <c r="D109" s="19">
        <v>-3.1980082E-5</v>
      </c>
      <c r="E109" s="2">
        <v>1</v>
      </c>
      <c r="F109" s="2">
        <v>1.0003099444729499E-2</v>
      </c>
      <c r="G109" s="2">
        <v>2</v>
      </c>
    </row>
    <row r="110" spans="1:7" x14ac:dyDescent="0.2">
      <c r="A110" s="2" t="s">
        <v>8</v>
      </c>
      <c r="B110" s="14">
        <v>38657</v>
      </c>
      <c r="C110" s="2">
        <v>-5.1711229945999998E-2</v>
      </c>
      <c r="D110" s="2">
        <v>-6.0164764999999997E-4</v>
      </c>
      <c r="E110" s="2">
        <v>1</v>
      </c>
      <c r="F110" s="2">
        <v>6.9239353340986203E-3</v>
      </c>
      <c r="G110" s="2">
        <v>2</v>
      </c>
    </row>
    <row r="111" spans="1:7" x14ac:dyDescent="0.2">
      <c r="A111" s="2" t="s">
        <v>8</v>
      </c>
      <c r="B111" s="14">
        <v>38687</v>
      </c>
      <c r="C111" s="2">
        <v>4.3252692719999999E-2</v>
      </c>
      <c r="D111" s="2">
        <v>1.7082611E-4</v>
      </c>
      <c r="E111" s="2">
        <v>1</v>
      </c>
      <c r="F111" s="2">
        <v>1.7809427045970699E-3</v>
      </c>
      <c r="G111" s="2">
        <v>2</v>
      </c>
    </row>
    <row r="112" spans="1:7" x14ac:dyDescent="0.2">
      <c r="A112" s="2" t="s">
        <v>8</v>
      </c>
      <c r="B112" s="14">
        <v>38718</v>
      </c>
      <c r="C112" s="2">
        <v>-5.4054054062000001E-3</v>
      </c>
      <c r="D112" s="19">
        <v>8.1713165999999996E-5</v>
      </c>
      <c r="E112" s="2">
        <v>1</v>
      </c>
      <c r="F112" s="2">
        <v>3.3854142304427701E-3</v>
      </c>
      <c r="G112" s="2">
        <v>2</v>
      </c>
    </row>
    <row r="113" spans="1:7" x14ac:dyDescent="0.2">
      <c r="A113" s="2" t="s">
        <v>8</v>
      </c>
      <c r="B113" s="14">
        <v>38749</v>
      </c>
      <c r="C113" s="2">
        <v>0</v>
      </c>
      <c r="D113" s="19">
        <v>4.9910399E-5</v>
      </c>
      <c r="E113" s="2">
        <v>1</v>
      </c>
      <c r="F113" s="2">
        <v>6.5364767352636699E-4</v>
      </c>
      <c r="G113" s="2">
        <v>2</v>
      </c>
    </row>
    <row r="114" spans="1:7" x14ac:dyDescent="0.2">
      <c r="A114" s="2" t="s">
        <v>8</v>
      </c>
      <c r="B114" s="14">
        <v>38777</v>
      </c>
      <c r="C114" s="2">
        <v>3.2554347827000001E-2</v>
      </c>
      <c r="D114" s="19">
        <v>6.3423468000000006E-5</v>
      </c>
      <c r="E114" s="2">
        <v>1</v>
      </c>
      <c r="F114" s="2">
        <v>2.4234631071071099E-3</v>
      </c>
      <c r="G114" s="2">
        <v>2</v>
      </c>
    </row>
    <row r="115" spans="1:7" x14ac:dyDescent="0.2">
      <c r="A115" s="2" t="s">
        <v>8</v>
      </c>
      <c r="B115" s="14">
        <v>38808</v>
      </c>
      <c r="C115" s="2">
        <v>4.2160113690999999E-2</v>
      </c>
      <c r="D115" s="2">
        <v>2.9533035000000002E-3</v>
      </c>
      <c r="E115" s="2">
        <v>1</v>
      </c>
      <c r="F115" s="2">
        <v>1.3619870472367599E-3</v>
      </c>
      <c r="G115" s="2">
        <v>2</v>
      </c>
    </row>
    <row r="116" spans="1:7" x14ac:dyDescent="0.2">
      <c r="A116" s="2" t="s">
        <v>8</v>
      </c>
      <c r="B116" s="14">
        <v>38838</v>
      </c>
      <c r="C116" s="2">
        <v>-4.6613116695999997E-2</v>
      </c>
      <c r="D116" s="2">
        <v>1.4964908999999999E-3</v>
      </c>
      <c r="E116" s="2">
        <v>1</v>
      </c>
      <c r="F116" s="2">
        <v>4.3737971465080197E-3</v>
      </c>
      <c r="G116" s="2">
        <v>2</v>
      </c>
    </row>
    <row r="117" spans="1:7" x14ac:dyDescent="0.2">
      <c r="A117" s="2" t="s">
        <v>8</v>
      </c>
      <c r="B117" s="14">
        <v>38869</v>
      </c>
      <c r="C117" s="2">
        <v>1.9444444444000002E-2</v>
      </c>
      <c r="D117" s="2">
        <v>5.2828086000000004E-4</v>
      </c>
      <c r="E117" s="2">
        <v>1</v>
      </c>
      <c r="F117" s="2">
        <v>4.5603003500622298E-3</v>
      </c>
      <c r="G117" s="2">
        <v>2</v>
      </c>
    </row>
    <row r="118" spans="1:7" x14ac:dyDescent="0.2">
      <c r="A118" s="2" t="s">
        <v>8</v>
      </c>
      <c r="B118" s="14">
        <v>38899</v>
      </c>
      <c r="C118" s="2">
        <v>2.7247956405000002E-3</v>
      </c>
      <c r="D118" s="19">
        <v>7.1252573000000002E-5</v>
      </c>
      <c r="E118" s="2">
        <v>1</v>
      </c>
      <c r="F118" s="2">
        <v>3.82651654883668E-3</v>
      </c>
      <c r="G118" s="2">
        <v>2</v>
      </c>
    </row>
    <row r="119" spans="1:7" x14ac:dyDescent="0.2">
      <c r="A119" s="2" t="s">
        <v>8</v>
      </c>
      <c r="B119" s="14">
        <v>38930</v>
      </c>
      <c r="C119" s="2">
        <v>6.5217391304000005E-2</v>
      </c>
      <c r="D119" s="2">
        <v>1.3293390999999999E-3</v>
      </c>
      <c r="E119" s="2">
        <v>1</v>
      </c>
      <c r="F119" s="2">
        <v>2.3768146055613598E-3</v>
      </c>
      <c r="G119" s="2">
        <v>2</v>
      </c>
    </row>
    <row r="120" spans="1:7" x14ac:dyDescent="0.2">
      <c r="A120" s="2" t="s">
        <v>8</v>
      </c>
      <c r="B120" s="14">
        <v>38961</v>
      </c>
      <c r="C120" s="2">
        <v>1.0714285715999999E-2</v>
      </c>
      <c r="D120" s="2">
        <v>9.1518741000000002E-4</v>
      </c>
      <c r="E120" s="2">
        <v>1</v>
      </c>
      <c r="F120" s="2">
        <v>4.1105173210337301E-3</v>
      </c>
      <c r="G120" s="2">
        <v>2</v>
      </c>
    </row>
    <row r="121" spans="1:7" x14ac:dyDescent="0.2">
      <c r="A121" s="2" t="s">
        <v>8</v>
      </c>
      <c r="B121" s="14">
        <v>38991</v>
      </c>
      <c r="C121" s="2">
        <v>2.5528856386000001E-3</v>
      </c>
      <c r="D121" s="2">
        <v>1.1770421E-4</v>
      </c>
      <c r="E121" s="2">
        <v>1</v>
      </c>
      <c r="F121" s="2">
        <v>3.3828636067904298E-3</v>
      </c>
      <c r="G121" s="2">
        <v>2</v>
      </c>
    </row>
    <row r="122" spans="1:7" x14ac:dyDescent="0.2">
      <c r="A122" s="2" t="s">
        <v>8</v>
      </c>
      <c r="B122" s="14">
        <v>39022</v>
      </c>
      <c r="C122" s="2">
        <v>0.15979381442999999</v>
      </c>
      <c r="D122" s="2">
        <v>1.3914171000000001E-3</v>
      </c>
      <c r="E122" s="2">
        <v>1</v>
      </c>
      <c r="F122" s="2">
        <v>2.16913737689322E-3</v>
      </c>
      <c r="G122" s="2">
        <v>2</v>
      </c>
    </row>
    <row r="123" spans="1:7" x14ac:dyDescent="0.2">
      <c r="A123" s="2" t="s">
        <v>8</v>
      </c>
      <c r="B123" s="14">
        <v>39052</v>
      </c>
      <c r="C123" s="2">
        <v>6.6666666666000005E-2</v>
      </c>
      <c r="D123" s="2">
        <v>1.1513162E-3</v>
      </c>
      <c r="E123" s="2">
        <v>1</v>
      </c>
      <c r="F123" s="2">
        <v>8.0958227468383697E-3</v>
      </c>
      <c r="G123" s="2">
        <v>2</v>
      </c>
    </row>
    <row r="124" spans="1:7" x14ac:dyDescent="0.2">
      <c r="A124" s="2" t="s">
        <v>8</v>
      </c>
      <c r="B124" s="14">
        <v>39083</v>
      </c>
      <c r="C124" s="2">
        <v>-6.2499999999000001E-2</v>
      </c>
      <c r="D124" s="2">
        <v>4.4550341999999998E-4</v>
      </c>
      <c r="E124" s="2">
        <v>1</v>
      </c>
      <c r="F124" s="2">
        <v>9.3341045766927901E-3</v>
      </c>
      <c r="G124" s="2">
        <v>2</v>
      </c>
    </row>
    <row r="125" spans="1:7" x14ac:dyDescent="0.2">
      <c r="A125" s="2" t="s">
        <v>8</v>
      </c>
      <c r="B125" s="14">
        <v>39114</v>
      </c>
      <c r="C125" s="2">
        <v>4.4444444446999996E-3</v>
      </c>
      <c r="D125" s="2">
        <v>-5.0662161000000002E-4</v>
      </c>
      <c r="E125" s="2">
        <v>1</v>
      </c>
      <c r="F125" s="2">
        <v>7.70443964844499E-3</v>
      </c>
      <c r="G125" s="2">
        <v>2</v>
      </c>
    </row>
    <row r="126" spans="1:7" x14ac:dyDescent="0.2">
      <c r="A126" s="2" t="s">
        <v>8</v>
      </c>
      <c r="B126" s="14">
        <v>39142</v>
      </c>
      <c r="C126" s="2">
        <v>3.0973451326999999E-2</v>
      </c>
      <c r="D126" s="2">
        <v>-2.0517701E-4</v>
      </c>
      <c r="E126" s="2">
        <v>1</v>
      </c>
      <c r="F126" s="2">
        <v>5.9356313666759902E-3</v>
      </c>
      <c r="G126" s="2">
        <v>2</v>
      </c>
    </row>
    <row r="127" spans="1:7" x14ac:dyDescent="0.2">
      <c r="A127" s="2" t="s">
        <v>8</v>
      </c>
      <c r="B127" s="14">
        <v>39173</v>
      </c>
      <c r="C127" s="2">
        <v>8.5836909857000005E-3</v>
      </c>
      <c r="D127" s="19">
        <v>4.9027898E-5</v>
      </c>
      <c r="E127" s="2">
        <v>1</v>
      </c>
      <c r="F127" s="2">
        <v>6.4512059387685401E-3</v>
      </c>
      <c r="G127" s="2">
        <v>2</v>
      </c>
    </row>
    <row r="128" spans="1:7" x14ac:dyDescent="0.2">
      <c r="A128" s="2" t="s">
        <v>8</v>
      </c>
      <c r="B128" s="14">
        <v>39203</v>
      </c>
      <c r="C128" s="2">
        <v>8.4426619541999991E-3</v>
      </c>
      <c r="D128" s="2">
        <v>6.8952328999999997E-4</v>
      </c>
      <c r="E128" s="2">
        <v>1</v>
      </c>
      <c r="F128" s="2">
        <v>6.6038631420589702E-3</v>
      </c>
      <c r="G128" s="2">
        <v>2</v>
      </c>
    </row>
    <row r="129" spans="1:7" x14ac:dyDescent="0.2">
      <c r="A129" s="2" t="s">
        <v>8</v>
      </c>
      <c r="B129" s="14">
        <v>39234</v>
      </c>
      <c r="C129" s="2">
        <v>1.9736842104999999E-2</v>
      </c>
      <c r="D129" s="2">
        <v>1.1439843E-4</v>
      </c>
      <c r="E129" s="2">
        <v>1</v>
      </c>
      <c r="F129" s="2">
        <v>2.2268188009465402E-3</v>
      </c>
      <c r="G129" s="2">
        <v>2</v>
      </c>
    </row>
    <row r="130" spans="1:7" x14ac:dyDescent="0.2">
      <c r="A130" s="2" t="s">
        <v>8</v>
      </c>
      <c r="B130" s="14">
        <v>39264</v>
      </c>
      <c r="C130" s="2">
        <v>-1.0752688171999999E-2</v>
      </c>
      <c r="D130" s="2">
        <v>4.1864841000000002E-4</v>
      </c>
      <c r="E130" s="2">
        <v>1</v>
      </c>
      <c r="F130" s="2">
        <v>8.26450841913532E-4</v>
      </c>
      <c r="G130" s="2">
        <v>2</v>
      </c>
    </row>
    <row r="131" spans="1:7" x14ac:dyDescent="0.2">
      <c r="A131" s="2" t="s">
        <v>8</v>
      </c>
      <c r="B131" s="14">
        <v>39295</v>
      </c>
      <c r="C131" s="2">
        <v>-1.7434782608E-2</v>
      </c>
      <c r="D131" s="2">
        <v>-1.0056471E-4</v>
      </c>
      <c r="E131" s="2">
        <v>1</v>
      </c>
      <c r="F131" s="2">
        <v>-2.3971536602822E-3</v>
      </c>
      <c r="G131" s="2">
        <v>2</v>
      </c>
    </row>
    <row r="132" spans="1:7" x14ac:dyDescent="0.2">
      <c r="A132" s="2" t="s">
        <v>8</v>
      </c>
      <c r="B132" s="14">
        <v>39326</v>
      </c>
      <c r="C132" s="2">
        <v>4.4692243009000002E-3</v>
      </c>
      <c r="D132" s="2">
        <v>-1.7976896E-4</v>
      </c>
      <c r="E132" s="2">
        <v>1</v>
      </c>
      <c r="F132" s="2">
        <v>-2.9944974105450802E-3</v>
      </c>
      <c r="G132" s="2">
        <v>2</v>
      </c>
    </row>
    <row r="133" spans="1:7" x14ac:dyDescent="0.2">
      <c r="A133" s="2" t="s">
        <v>8</v>
      </c>
      <c r="B133" s="14">
        <v>39356</v>
      </c>
      <c r="C133" s="2">
        <v>4.3816535222999997E-2</v>
      </c>
      <c r="D133" s="2">
        <v>1.363139E-3</v>
      </c>
      <c r="E133" s="2">
        <v>1</v>
      </c>
      <c r="F133" s="2">
        <v>-3.7682803681979402E-3</v>
      </c>
      <c r="G133" s="2">
        <v>2</v>
      </c>
    </row>
    <row r="134" spans="1:7" x14ac:dyDescent="0.2">
      <c r="A134" s="2" t="s">
        <v>8</v>
      </c>
      <c r="B134" s="14">
        <v>39387</v>
      </c>
      <c r="C134" s="2">
        <v>-5.8749999998999998E-2</v>
      </c>
      <c r="D134" s="2">
        <v>1.1383968E-4</v>
      </c>
      <c r="E134" s="2">
        <v>1</v>
      </c>
      <c r="F134" s="2">
        <v>-2.7953262939602402E-3</v>
      </c>
      <c r="G134" s="2">
        <v>2</v>
      </c>
    </row>
    <row r="135" spans="1:7" x14ac:dyDescent="0.2">
      <c r="A135" s="2" t="s">
        <v>8</v>
      </c>
      <c r="B135" s="14">
        <v>39417</v>
      </c>
      <c r="C135" s="2">
        <v>-0.11466776570999999</v>
      </c>
      <c r="D135" s="2">
        <v>1.2482895E-4</v>
      </c>
      <c r="E135" s="2">
        <v>1</v>
      </c>
      <c r="F135" s="2">
        <v>-4.9093226073713197E-3</v>
      </c>
      <c r="G135" s="2">
        <v>2</v>
      </c>
    </row>
    <row r="136" spans="1:7" x14ac:dyDescent="0.2">
      <c r="A136" s="2" t="s">
        <v>8</v>
      </c>
      <c r="B136" s="14">
        <v>39448</v>
      </c>
      <c r="C136" s="2">
        <v>3.4500594837999998E-2</v>
      </c>
      <c r="D136" s="19">
        <v>-3.2685263999999998E-5</v>
      </c>
      <c r="E136" s="2">
        <v>1</v>
      </c>
      <c r="F136" s="2">
        <v>-8.3694921405516997E-3</v>
      </c>
      <c r="G136" s="2">
        <v>2</v>
      </c>
    </row>
    <row r="137" spans="1:7" x14ac:dyDescent="0.2">
      <c r="A137" s="2" t="s">
        <v>8</v>
      </c>
      <c r="B137" s="14">
        <v>39479</v>
      </c>
      <c r="C137" s="2">
        <v>-1.0000000001000001E-2</v>
      </c>
      <c r="D137" s="2">
        <v>3.6166246999999997E-4</v>
      </c>
      <c r="E137" s="2">
        <v>1</v>
      </c>
      <c r="F137" s="2">
        <v>-7.1616562298685198E-3</v>
      </c>
      <c r="G137" s="2">
        <v>2</v>
      </c>
    </row>
    <row r="138" spans="1:7" x14ac:dyDescent="0.2">
      <c r="A138" s="2" t="s">
        <v>8</v>
      </c>
      <c r="B138" s="14">
        <v>39508</v>
      </c>
      <c r="C138" s="2">
        <v>2.0202020200999999E-2</v>
      </c>
      <c r="D138" s="2">
        <v>-2.2152439E-4</v>
      </c>
      <c r="E138" s="2">
        <v>1</v>
      </c>
      <c r="F138" s="2">
        <v>-6.9249474589245701E-3</v>
      </c>
      <c r="G138" s="2">
        <v>2</v>
      </c>
    </row>
    <row r="139" spans="1:7" x14ac:dyDescent="0.2">
      <c r="A139" s="2" t="s">
        <v>8</v>
      </c>
      <c r="B139" s="14">
        <v>39539</v>
      </c>
      <c r="C139" s="2">
        <v>0.11391089108000001</v>
      </c>
      <c r="D139" s="2">
        <v>1.1768036E-4</v>
      </c>
      <c r="E139" s="2">
        <v>1</v>
      </c>
      <c r="F139" s="2">
        <v>-6.5289593638086499E-3</v>
      </c>
      <c r="G139" s="2">
        <v>2</v>
      </c>
    </row>
    <row r="140" spans="1:7" x14ac:dyDescent="0.2">
      <c r="A140" s="2" t="s">
        <v>8</v>
      </c>
      <c r="B140" s="14">
        <v>39569</v>
      </c>
      <c r="C140" s="2">
        <v>-1.7952148804999998E-2</v>
      </c>
      <c r="D140" s="2">
        <v>-8.4981689E-4</v>
      </c>
      <c r="E140" s="2">
        <v>1</v>
      </c>
      <c r="F140" s="2">
        <v>-4.5216018856637803E-3</v>
      </c>
      <c r="G140" s="2">
        <v>2</v>
      </c>
    </row>
    <row r="141" spans="1:7" x14ac:dyDescent="0.2">
      <c r="A141" s="2" t="s">
        <v>8</v>
      </c>
      <c r="B141" s="14">
        <v>39600</v>
      </c>
      <c r="C141" s="2">
        <v>-6.6666666666000005E-2</v>
      </c>
      <c r="D141" s="19">
        <v>4.0590850000000001E-5</v>
      </c>
      <c r="E141" s="2">
        <v>1</v>
      </c>
      <c r="F141" s="2">
        <v>-3.1806574349056899E-3</v>
      </c>
      <c r="G141" s="2">
        <v>2</v>
      </c>
    </row>
    <row r="142" spans="1:7" x14ac:dyDescent="0.2">
      <c r="A142" s="2" t="s">
        <v>8</v>
      </c>
      <c r="B142" s="14">
        <v>39630</v>
      </c>
      <c r="C142" s="2">
        <v>1.0204081633E-2</v>
      </c>
      <c r="D142" s="2">
        <v>-2.6435922999999998E-4</v>
      </c>
      <c r="E142" s="2">
        <v>1</v>
      </c>
      <c r="F142" s="2">
        <v>-1.58434214922829E-3</v>
      </c>
      <c r="G142" s="2">
        <v>2</v>
      </c>
    </row>
    <row r="143" spans="1:7" x14ac:dyDescent="0.2">
      <c r="A143" s="2" t="s">
        <v>8</v>
      </c>
      <c r="B143" s="14">
        <v>39661</v>
      </c>
      <c r="C143" s="2">
        <v>1.0101010101000001E-2</v>
      </c>
      <c r="D143" s="2">
        <v>1.3958307999999999E-4</v>
      </c>
      <c r="E143" s="2">
        <v>1</v>
      </c>
      <c r="F143" s="2">
        <v>4.0695993606770899E-3</v>
      </c>
      <c r="G143" s="2">
        <v>2</v>
      </c>
    </row>
    <row r="144" spans="1:7" x14ac:dyDescent="0.2">
      <c r="A144" s="2" t="s">
        <v>8</v>
      </c>
      <c r="B144" s="14">
        <v>39692</v>
      </c>
      <c r="C144" s="2">
        <v>-5.0000000001000001E-2</v>
      </c>
      <c r="D144" s="2">
        <v>-1.2488256E-4</v>
      </c>
      <c r="E144" s="2">
        <v>1</v>
      </c>
      <c r="F144" s="2">
        <v>4.6275076971868598E-3</v>
      </c>
      <c r="G144" s="2">
        <v>2</v>
      </c>
    </row>
    <row r="145" spans="1:7" x14ac:dyDescent="0.2">
      <c r="A145" s="2" t="s">
        <v>8</v>
      </c>
      <c r="B145" s="14">
        <v>39722</v>
      </c>
      <c r="C145" s="2">
        <v>-4.0636199388999997E-2</v>
      </c>
      <c r="D145" s="19">
        <v>-6.5370527999999997E-5</v>
      </c>
      <c r="E145" s="2">
        <v>1</v>
      </c>
      <c r="F145" s="2">
        <v>2.7439193324849702E-3</v>
      </c>
      <c r="G145" s="2">
        <v>2</v>
      </c>
    </row>
    <row r="146" spans="1:7" x14ac:dyDescent="0.2">
      <c r="A146" s="2" t="s">
        <v>8</v>
      </c>
      <c r="B146" s="14">
        <v>39753</v>
      </c>
      <c r="C146" s="2">
        <v>5.6497175141E-2</v>
      </c>
      <c r="D146" s="2">
        <v>-1.0378032E-3</v>
      </c>
      <c r="E146" s="2">
        <v>1</v>
      </c>
      <c r="F146" s="2">
        <v>-1.5893330851663901E-3</v>
      </c>
      <c r="G146" s="2">
        <v>2</v>
      </c>
    </row>
    <row r="147" spans="1:7" x14ac:dyDescent="0.2">
      <c r="A147" s="2" t="s">
        <v>8</v>
      </c>
      <c r="B147" s="14">
        <v>39783</v>
      </c>
      <c r="C147" s="2">
        <v>-7.4866310160999996E-2</v>
      </c>
      <c r="D147" s="2">
        <v>-7.2891538999999997E-4</v>
      </c>
      <c r="E147" s="2">
        <v>1</v>
      </c>
      <c r="F147" s="2">
        <v>4.6364732075145797E-4</v>
      </c>
      <c r="G147" s="2">
        <v>2</v>
      </c>
    </row>
    <row r="148" spans="1:7" x14ac:dyDescent="0.2">
      <c r="A148" s="2" t="s">
        <v>9</v>
      </c>
      <c r="B148" s="14">
        <v>37591</v>
      </c>
      <c r="C148" s="2">
        <v>3.6421524001000002E-2</v>
      </c>
      <c r="E148" s="2">
        <v>1</v>
      </c>
      <c r="G148" s="2">
        <v>2</v>
      </c>
    </row>
    <row r="149" spans="1:7" x14ac:dyDescent="0.2">
      <c r="A149" s="2" t="s">
        <v>9</v>
      </c>
      <c r="B149" s="14">
        <v>37622</v>
      </c>
      <c r="E149" s="2">
        <v>1</v>
      </c>
      <c r="G149" s="2">
        <v>2</v>
      </c>
    </row>
    <row r="150" spans="1:7" x14ac:dyDescent="0.2">
      <c r="A150" s="2" t="s">
        <v>9</v>
      </c>
      <c r="B150" s="14">
        <v>37653</v>
      </c>
      <c r="E150" s="2">
        <v>1</v>
      </c>
      <c r="G150" s="2">
        <v>2</v>
      </c>
    </row>
    <row r="151" spans="1:7" x14ac:dyDescent="0.2">
      <c r="A151" s="2" t="s">
        <v>9</v>
      </c>
      <c r="B151" s="14">
        <v>37681</v>
      </c>
      <c r="C151" s="2">
        <v>9.6776408463000003E-4</v>
      </c>
      <c r="E151" s="2">
        <v>1</v>
      </c>
      <c r="G151" s="2">
        <v>2</v>
      </c>
    </row>
    <row r="152" spans="1:7" x14ac:dyDescent="0.2">
      <c r="A152" s="2" t="s">
        <v>9</v>
      </c>
      <c r="B152" s="14">
        <v>37712</v>
      </c>
      <c r="C152" s="2">
        <v>0</v>
      </c>
      <c r="E152" s="2">
        <v>1</v>
      </c>
      <c r="G152" s="2">
        <v>2</v>
      </c>
    </row>
    <row r="153" spans="1:7" x14ac:dyDescent="0.2">
      <c r="A153" s="2" t="s">
        <v>9</v>
      </c>
      <c r="B153" s="14">
        <v>37742</v>
      </c>
      <c r="C153" s="2">
        <v>0.26231553047</v>
      </c>
      <c r="E153" s="2">
        <v>1</v>
      </c>
      <c r="G153" s="2">
        <v>2</v>
      </c>
    </row>
    <row r="154" spans="1:7" x14ac:dyDescent="0.2">
      <c r="A154" s="2" t="s">
        <v>9</v>
      </c>
      <c r="B154" s="14">
        <v>37773</v>
      </c>
      <c r="C154" s="2">
        <v>0</v>
      </c>
      <c r="E154" s="2">
        <v>1</v>
      </c>
      <c r="G154" s="2">
        <v>2</v>
      </c>
    </row>
    <row r="155" spans="1:7" x14ac:dyDescent="0.2">
      <c r="A155" s="2" t="s">
        <v>9</v>
      </c>
      <c r="B155" s="14">
        <v>37803</v>
      </c>
      <c r="C155" s="2">
        <v>0.31081081081</v>
      </c>
      <c r="E155" s="2">
        <v>1</v>
      </c>
      <c r="G155" s="2">
        <v>2</v>
      </c>
    </row>
    <row r="156" spans="1:7" x14ac:dyDescent="0.2">
      <c r="A156" s="2" t="s">
        <v>9</v>
      </c>
      <c r="B156" s="14">
        <v>37834</v>
      </c>
      <c r="C156" s="2">
        <v>0.27835051546</v>
      </c>
      <c r="E156" s="2">
        <v>1</v>
      </c>
      <c r="F156" s="2">
        <v>5.5725745304872502E-2</v>
      </c>
      <c r="G156" s="2">
        <v>2</v>
      </c>
    </row>
    <row r="157" spans="1:7" x14ac:dyDescent="0.2">
      <c r="A157" s="2" t="s">
        <v>9</v>
      </c>
      <c r="B157" s="14">
        <v>37865</v>
      </c>
      <c r="C157" s="2">
        <v>0</v>
      </c>
      <c r="E157" s="2">
        <v>1</v>
      </c>
      <c r="F157" s="2">
        <v>6.3177901151016402E-2</v>
      </c>
      <c r="G157" s="2">
        <v>2</v>
      </c>
    </row>
    <row r="158" spans="1:7" x14ac:dyDescent="0.2">
      <c r="A158" s="2" t="s">
        <v>9</v>
      </c>
      <c r="B158" s="14">
        <v>37895</v>
      </c>
      <c r="C158" s="2">
        <v>4.8387096774999999E-2</v>
      </c>
      <c r="E158" s="2">
        <v>1</v>
      </c>
      <c r="F158" s="2">
        <v>6.3078478728934101E-2</v>
      </c>
      <c r="G158" s="2">
        <v>2</v>
      </c>
    </row>
    <row r="159" spans="1:7" x14ac:dyDescent="0.2">
      <c r="A159" s="2" t="s">
        <v>9</v>
      </c>
      <c r="B159" s="14">
        <v>37926</v>
      </c>
      <c r="C159" s="2">
        <v>9.4168930735999995E-2</v>
      </c>
      <c r="E159" s="2">
        <v>1</v>
      </c>
      <c r="F159" s="2">
        <v>6.4201662624502304E-2</v>
      </c>
      <c r="G159" s="2">
        <v>2</v>
      </c>
    </row>
    <row r="160" spans="1:7" x14ac:dyDescent="0.2">
      <c r="A160" s="2" t="s">
        <v>9</v>
      </c>
      <c r="B160" s="14">
        <v>37956</v>
      </c>
      <c r="C160" s="2">
        <v>-2.1880886828999999E-2</v>
      </c>
      <c r="E160" s="2">
        <v>1</v>
      </c>
      <c r="F160" s="2">
        <v>5.9036761924376201E-2</v>
      </c>
      <c r="G160" s="2">
        <v>2</v>
      </c>
    </row>
    <row r="161" spans="1:7" x14ac:dyDescent="0.2">
      <c r="A161" s="2" t="s">
        <v>9</v>
      </c>
      <c r="B161" s="14">
        <v>37987</v>
      </c>
      <c r="E161" s="2">
        <v>1</v>
      </c>
      <c r="F161" s="2">
        <v>5.8437606292919497E-2</v>
      </c>
      <c r="G161" s="2">
        <v>2</v>
      </c>
    </row>
    <row r="162" spans="1:7" x14ac:dyDescent="0.2">
      <c r="A162" s="2" t="s">
        <v>9</v>
      </c>
      <c r="B162" s="14">
        <v>38018</v>
      </c>
      <c r="E162" s="2">
        <v>1</v>
      </c>
      <c r="G162" s="2">
        <v>2</v>
      </c>
    </row>
    <row r="163" spans="1:7" x14ac:dyDescent="0.2">
      <c r="A163" s="2" t="s">
        <v>9</v>
      </c>
      <c r="B163" s="14">
        <v>38047</v>
      </c>
      <c r="C163" s="2">
        <v>-8.1481481480999998E-2</v>
      </c>
      <c r="E163" s="2">
        <v>1</v>
      </c>
      <c r="G163" s="2">
        <v>2</v>
      </c>
    </row>
    <row r="164" spans="1:7" x14ac:dyDescent="0.2">
      <c r="A164" s="2" t="s">
        <v>9</v>
      </c>
      <c r="B164" s="14">
        <v>38078</v>
      </c>
      <c r="C164" s="2">
        <v>-3.2258064516000003E-2</v>
      </c>
      <c r="E164" s="2">
        <v>1</v>
      </c>
      <c r="F164" s="2">
        <v>3.9421912092630497E-2</v>
      </c>
      <c r="G164" s="2">
        <v>2</v>
      </c>
    </row>
    <row r="165" spans="1:7" x14ac:dyDescent="0.2">
      <c r="A165" s="2" t="s">
        <v>9</v>
      </c>
      <c r="B165" s="14">
        <v>38108</v>
      </c>
      <c r="D165" s="2">
        <v>0</v>
      </c>
      <c r="E165" s="2">
        <v>1</v>
      </c>
      <c r="F165" s="2">
        <v>3.7215104970826897E-2</v>
      </c>
      <c r="G165" s="2">
        <v>2</v>
      </c>
    </row>
    <row r="166" spans="1:7" x14ac:dyDescent="0.2">
      <c r="A166" s="2" t="s">
        <v>9</v>
      </c>
      <c r="B166" s="14">
        <v>38139</v>
      </c>
      <c r="D166" s="2">
        <v>0</v>
      </c>
      <c r="E166" s="2">
        <v>1</v>
      </c>
      <c r="G166" s="2">
        <v>2</v>
      </c>
    </row>
    <row r="167" spans="1:7" x14ac:dyDescent="0.2">
      <c r="A167" s="2" t="s">
        <v>9</v>
      </c>
      <c r="B167" s="14">
        <v>38169</v>
      </c>
      <c r="C167" s="2">
        <v>7.6593799094999998E-2</v>
      </c>
      <c r="D167" s="19">
        <v>4.3777504999999999E-5</v>
      </c>
      <c r="E167" s="2">
        <v>1</v>
      </c>
      <c r="G167" s="2">
        <v>2</v>
      </c>
    </row>
    <row r="168" spans="1:7" x14ac:dyDescent="0.2">
      <c r="A168" s="2" t="s">
        <v>9</v>
      </c>
      <c r="B168" s="14">
        <v>38200</v>
      </c>
      <c r="D168" s="2">
        <v>0</v>
      </c>
      <c r="E168" s="2">
        <v>1</v>
      </c>
      <c r="F168" s="2">
        <v>1.7864533141535799E-2</v>
      </c>
      <c r="G168" s="2">
        <v>2</v>
      </c>
    </row>
    <row r="169" spans="1:7" x14ac:dyDescent="0.2">
      <c r="A169" s="2" t="s">
        <v>9</v>
      </c>
      <c r="B169" s="14">
        <v>38231</v>
      </c>
      <c r="C169" s="2">
        <v>8.0314702517999999E-3</v>
      </c>
      <c r="D169" s="2">
        <v>0</v>
      </c>
      <c r="E169" s="2">
        <v>1</v>
      </c>
      <c r="G169" s="2">
        <v>2</v>
      </c>
    </row>
    <row r="170" spans="1:7" x14ac:dyDescent="0.2">
      <c r="A170" s="2" t="s">
        <v>9</v>
      </c>
      <c r="B170" s="14">
        <v>38261</v>
      </c>
      <c r="C170" s="2">
        <v>0.95121951220000001</v>
      </c>
      <c r="D170" s="2">
        <v>0</v>
      </c>
      <c r="E170" s="2">
        <v>1</v>
      </c>
      <c r="F170" s="2">
        <v>1.9538920468834101E-2</v>
      </c>
      <c r="G170" s="2">
        <v>2</v>
      </c>
    </row>
    <row r="171" spans="1:7" x14ac:dyDescent="0.2">
      <c r="A171" s="2" t="s">
        <v>9</v>
      </c>
      <c r="B171" s="14">
        <v>38292</v>
      </c>
      <c r="C171" s="2">
        <v>-0.20833333333000001</v>
      </c>
      <c r="D171" s="2">
        <v>0</v>
      </c>
      <c r="E171" s="2">
        <v>1</v>
      </c>
      <c r="F171" s="2">
        <v>5.2028351120835301E-2</v>
      </c>
      <c r="G171" s="2">
        <v>2</v>
      </c>
    </row>
    <row r="172" spans="1:7" x14ac:dyDescent="0.2">
      <c r="A172" s="2" t="s">
        <v>9</v>
      </c>
      <c r="B172" s="14">
        <v>38322</v>
      </c>
      <c r="C172" s="2">
        <v>5.2631578946999998E-2</v>
      </c>
      <c r="D172" s="2">
        <v>0</v>
      </c>
      <c r="E172" s="2">
        <v>1</v>
      </c>
      <c r="F172" s="2">
        <v>4.6989348013567703E-2</v>
      </c>
      <c r="G172" s="2">
        <v>2</v>
      </c>
    </row>
    <row r="173" spans="1:7" x14ac:dyDescent="0.2">
      <c r="A173" s="2" t="s">
        <v>9</v>
      </c>
      <c r="B173" s="14">
        <v>38353</v>
      </c>
      <c r="C173" s="2">
        <v>0.15</v>
      </c>
      <c r="D173" s="2">
        <v>0</v>
      </c>
      <c r="E173" s="2">
        <v>1</v>
      </c>
      <c r="F173" s="2">
        <v>4.8339490829570099E-2</v>
      </c>
      <c r="G173" s="2">
        <v>2</v>
      </c>
    </row>
    <row r="174" spans="1:7" x14ac:dyDescent="0.2">
      <c r="A174" s="2" t="s">
        <v>9</v>
      </c>
      <c r="B174" s="14">
        <v>38384</v>
      </c>
      <c r="C174" s="2">
        <v>8.6956521740000001E-2</v>
      </c>
      <c r="D174" s="2">
        <v>0</v>
      </c>
      <c r="E174" s="2">
        <v>1</v>
      </c>
      <c r="F174" s="2">
        <v>4.9615159731560797E-2</v>
      </c>
      <c r="G174" s="2">
        <v>2</v>
      </c>
    </row>
    <row r="175" spans="1:7" x14ac:dyDescent="0.2">
      <c r="A175" s="2" t="s">
        <v>9</v>
      </c>
      <c r="B175" s="14">
        <v>38412</v>
      </c>
      <c r="C175" s="2">
        <v>0</v>
      </c>
      <c r="D175" s="2">
        <v>0</v>
      </c>
      <c r="E175" s="2">
        <v>1</v>
      </c>
      <c r="F175" s="2">
        <v>5.1510468608032101E-2</v>
      </c>
      <c r="G175" s="2">
        <v>2</v>
      </c>
    </row>
    <row r="176" spans="1:7" x14ac:dyDescent="0.2">
      <c r="A176" s="2" t="s">
        <v>9</v>
      </c>
      <c r="B176" s="14">
        <v>38443</v>
      </c>
      <c r="C176" s="2">
        <v>0</v>
      </c>
      <c r="D176" s="2">
        <v>0</v>
      </c>
      <c r="E176" s="2">
        <v>1</v>
      </c>
      <c r="F176" s="2">
        <v>5.11877131191356E-2</v>
      </c>
      <c r="G176" s="2">
        <v>2</v>
      </c>
    </row>
    <row r="177" spans="1:7" x14ac:dyDescent="0.2">
      <c r="A177" s="2" t="s">
        <v>9</v>
      </c>
      <c r="B177" s="14">
        <v>38473</v>
      </c>
      <c r="C177" s="2">
        <v>0.31687242797999998</v>
      </c>
      <c r="D177" s="2">
        <v>0</v>
      </c>
      <c r="E177" s="2">
        <v>1</v>
      </c>
      <c r="F177" s="2">
        <v>2.3674201169904801E-2</v>
      </c>
      <c r="G177" s="2">
        <v>2</v>
      </c>
    </row>
    <row r="178" spans="1:7" x14ac:dyDescent="0.2">
      <c r="A178" s="2" t="s">
        <v>9</v>
      </c>
      <c r="B178" s="14">
        <v>38504</v>
      </c>
      <c r="C178" s="2">
        <v>3.125E-2</v>
      </c>
      <c r="D178" s="2">
        <v>0</v>
      </c>
      <c r="E178" s="2">
        <v>1</v>
      </c>
      <c r="F178" s="2">
        <v>3.8049487717121799E-2</v>
      </c>
      <c r="G178" s="2">
        <v>2</v>
      </c>
    </row>
    <row r="179" spans="1:7" x14ac:dyDescent="0.2">
      <c r="A179" s="2" t="s">
        <v>9</v>
      </c>
      <c r="B179" s="14">
        <v>38534</v>
      </c>
      <c r="C179" s="2">
        <v>0</v>
      </c>
      <c r="D179" s="2">
        <v>0</v>
      </c>
      <c r="E179" s="2">
        <v>1</v>
      </c>
      <c r="F179" s="2">
        <v>3.70967230201215E-2</v>
      </c>
      <c r="G179" s="2">
        <v>2</v>
      </c>
    </row>
    <row r="180" spans="1:7" x14ac:dyDescent="0.2">
      <c r="A180" s="2" t="s">
        <v>9</v>
      </c>
      <c r="B180" s="14">
        <v>38565</v>
      </c>
      <c r="C180" s="2">
        <v>-1.2121212120999999E-2</v>
      </c>
      <c r="D180" s="2">
        <v>0</v>
      </c>
      <c r="E180" s="2">
        <v>1</v>
      </c>
      <c r="F180" s="2">
        <v>2.7118833042109498E-2</v>
      </c>
      <c r="G180" s="2">
        <v>2</v>
      </c>
    </row>
    <row r="181" spans="1:7" x14ac:dyDescent="0.2">
      <c r="A181" s="2" t="s">
        <v>9</v>
      </c>
      <c r="B181" s="14">
        <v>38596</v>
      </c>
      <c r="D181" s="2">
        <v>0</v>
      </c>
      <c r="E181" s="2">
        <v>1</v>
      </c>
      <c r="F181" s="2">
        <v>2.4073286309138801E-2</v>
      </c>
      <c r="G181" s="2">
        <v>2</v>
      </c>
    </row>
    <row r="182" spans="1:7" x14ac:dyDescent="0.2">
      <c r="A182" s="2" t="s">
        <v>9</v>
      </c>
      <c r="B182" s="14">
        <v>38626</v>
      </c>
      <c r="C182" s="2">
        <v>-1.8404907976000001E-2</v>
      </c>
      <c r="D182" s="2">
        <v>0</v>
      </c>
      <c r="E182" s="2">
        <v>1</v>
      </c>
      <c r="G182" s="2">
        <v>2</v>
      </c>
    </row>
    <row r="183" spans="1:7" x14ac:dyDescent="0.2">
      <c r="A183" s="2" t="s">
        <v>9</v>
      </c>
      <c r="B183" s="14">
        <v>38657</v>
      </c>
      <c r="D183" s="2">
        <v>0</v>
      </c>
      <c r="E183" s="2">
        <v>1</v>
      </c>
      <c r="F183" s="2">
        <v>2.0547774059409898E-2</v>
      </c>
      <c r="G183" s="2">
        <v>2</v>
      </c>
    </row>
    <row r="184" spans="1:7" x14ac:dyDescent="0.2">
      <c r="A184" s="2" t="s">
        <v>9</v>
      </c>
      <c r="B184" s="14">
        <v>38687</v>
      </c>
      <c r="D184" s="2">
        <v>0</v>
      </c>
      <c r="E184" s="2">
        <v>1</v>
      </c>
      <c r="G184" s="2">
        <v>2</v>
      </c>
    </row>
    <row r="185" spans="1:7" x14ac:dyDescent="0.2">
      <c r="A185" s="2" t="s">
        <v>9</v>
      </c>
      <c r="B185" s="14">
        <v>38718</v>
      </c>
      <c r="D185" s="2">
        <v>0</v>
      </c>
      <c r="E185" s="2">
        <v>1</v>
      </c>
      <c r="G185" s="2">
        <v>2</v>
      </c>
    </row>
    <row r="186" spans="1:7" x14ac:dyDescent="0.2">
      <c r="A186" s="2" t="s">
        <v>9</v>
      </c>
      <c r="B186" s="14">
        <v>38749</v>
      </c>
      <c r="C186" s="2">
        <v>-0.15625</v>
      </c>
      <c r="D186" s="2">
        <v>0</v>
      </c>
      <c r="E186" s="2">
        <v>1</v>
      </c>
      <c r="G186" s="2">
        <v>2</v>
      </c>
    </row>
    <row r="187" spans="1:7" x14ac:dyDescent="0.2">
      <c r="A187" s="2" t="s">
        <v>9</v>
      </c>
      <c r="B187" s="14">
        <v>38777</v>
      </c>
      <c r="C187" s="2">
        <v>-0.18518518517999999</v>
      </c>
      <c r="D187" s="2">
        <v>0</v>
      </c>
      <c r="E187" s="2">
        <v>1</v>
      </c>
      <c r="F187" s="2">
        <v>6.7999324424144903E-3</v>
      </c>
      <c r="G187" s="2">
        <v>2</v>
      </c>
    </row>
    <row r="188" spans="1:7" x14ac:dyDescent="0.2">
      <c r="A188" s="2" t="s">
        <v>9</v>
      </c>
      <c r="B188" s="14">
        <v>38808</v>
      </c>
      <c r="C188" s="2">
        <v>4.5454545454000003E-2</v>
      </c>
      <c r="D188" s="2">
        <v>0</v>
      </c>
      <c r="E188" s="2">
        <v>1</v>
      </c>
      <c r="F188" s="2">
        <v>2.2689552303748499E-3</v>
      </c>
      <c r="G188" s="2">
        <v>2</v>
      </c>
    </row>
    <row r="189" spans="1:7" x14ac:dyDescent="0.2">
      <c r="A189" s="2" t="s">
        <v>9</v>
      </c>
      <c r="B189" s="14">
        <v>38838</v>
      </c>
      <c r="C189" s="2">
        <v>0.21293800538999999</v>
      </c>
      <c r="D189" s="2">
        <v>0</v>
      </c>
      <c r="E189" s="2">
        <v>1</v>
      </c>
      <c r="F189" s="2">
        <v>4.0310890376695401E-3</v>
      </c>
      <c r="G189" s="2">
        <v>2</v>
      </c>
    </row>
    <row r="190" spans="1:7" x14ac:dyDescent="0.2">
      <c r="A190" s="2" t="s">
        <v>9</v>
      </c>
      <c r="B190" s="14">
        <v>38869</v>
      </c>
      <c r="C190" s="2">
        <v>0</v>
      </c>
      <c r="D190" s="2">
        <v>0</v>
      </c>
      <c r="E190" s="2">
        <v>1</v>
      </c>
      <c r="F190" s="2">
        <v>9.2762858113451096E-3</v>
      </c>
      <c r="G190" s="2">
        <v>2</v>
      </c>
    </row>
    <row r="191" spans="1:7" x14ac:dyDescent="0.2">
      <c r="A191" s="2" t="s">
        <v>9</v>
      </c>
      <c r="B191" s="14">
        <v>38899</v>
      </c>
      <c r="D191" s="2">
        <v>0</v>
      </c>
      <c r="E191" s="2">
        <v>1</v>
      </c>
      <c r="F191" s="2">
        <v>9.2573285594424199E-3</v>
      </c>
      <c r="G191" s="2">
        <v>2</v>
      </c>
    </row>
    <row r="192" spans="1:7" x14ac:dyDescent="0.2">
      <c r="A192" s="2" t="s">
        <v>9</v>
      </c>
      <c r="B192" s="14">
        <v>38930</v>
      </c>
      <c r="C192" s="2">
        <v>0</v>
      </c>
      <c r="D192" s="2">
        <v>0</v>
      </c>
      <c r="E192" s="2">
        <v>1</v>
      </c>
      <c r="G192" s="2">
        <v>2</v>
      </c>
    </row>
    <row r="193" spans="1:7" x14ac:dyDescent="0.2">
      <c r="A193" s="2" t="s">
        <v>9</v>
      </c>
      <c r="B193" s="14">
        <v>38961</v>
      </c>
      <c r="D193" s="2">
        <v>0</v>
      </c>
      <c r="E193" s="2">
        <v>1</v>
      </c>
      <c r="G193" s="2">
        <v>2</v>
      </c>
    </row>
    <row r="194" spans="1:7" x14ac:dyDescent="0.2">
      <c r="A194" s="2" t="s">
        <v>9</v>
      </c>
      <c r="B194" s="14">
        <v>38991</v>
      </c>
      <c r="C194" s="2">
        <v>0</v>
      </c>
      <c r="D194" s="2">
        <v>0</v>
      </c>
      <c r="E194" s="2">
        <v>1</v>
      </c>
      <c r="G194" s="2">
        <v>2</v>
      </c>
    </row>
    <row r="195" spans="1:7" x14ac:dyDescent="0.2">
      <c r="A195" s="2" t="s">
        <v>9</v>
      </c>
      <c r="B195" s="14">
        <v>39022</v>
      </c>
      <c r="C195" s="2">
        <v>0</v>
      </c>
      <c r="D195" s="2">
        <v>0</v>
      </c>
      <c r="E195" s="2">
        <v>1</v>
      </c>
      <c r="G195" s="2">
        <v>2</v>
      </c>
    </row>
    <row r="196" spans="1:7" x14ac:dyDescent="0.2">
      <c r="A196" s="2" t="s">
        <v>9</v>
      </c>
      <c r="B196" s="14">
        <v>39052</v>
      </c>
      <c r="C196" s="2">
        <v>8.8888888888000006E-2</v>
      </c>
      <c r="D196" s="2">
        <v>0</v>
      </c>
      <c r="E196" s="2">
        <v>1</v>
      </c>
      <c r="G196" s="2">
        <v>2</v>
      </c>
    </row>
    <row r="197" spans="1:7" x14ac:dyDescent="0.2">
      <c r="A197" s="2" t="s">
        <v>9</v>
      </c>
      <c r="B197" s="14">
        <v>39083</v>
      </c>
      <c r="C197" s="2">
        <v>0</v>
      </c>
      <c r="D197" s="2">
        <v>0</v>
      </c>
      <c r="E197" s="2">
        <v>1</v>
      </c>
      <c r="G197" s="2">
        <v>2</v>
      </c>
    </row>
    <row r="198" spans="1:7" x14ac:dyDescent="0.2">
      <c r="A198" s="2" t="s">
        <v>9</v>
      </c>
      <c r="B198" s="14">
        <v>39114</v>
      </c>
      <c r="C198" s="2">
        <v>4.761904762E-2</v>
      </c>
      <c r="D198" s="2">
        <v>0</v>
      </c>
      <c r="E198" s="2">
        <v>1</v>
      </c>
      <c r="G198" s="2">
        <v>2</v>
      </c>
    </row>
    <row r="199" spans="1:7" x14ac:dyDescent="0.2">
      <c r="A199" s="2" t="s">
        <v>9</v>
      </c>
      <c r="B199" s="14">
        <v>39142</v>
      </c>
      <c r="C199" s="2">
        <v>-1.2987012987E-2</v>
      </c>
      <c r="D199" s="2">
        <v>0</v>
      </c>
      <c r="E199" s="2">
        <v>1</v>
      </c>
      <c r="G199" s="2">
        <v>2</v>
      </c>
    </row>
    <row r="200" spans="1:7" x14ac:dyDescent="0.2">
      <c r="A200" s="2" t="s">
        <v>9</v>
      </c>
      <c r="B200" s="14">
        <v>39173</v>
      </c>
      <c r="D200" s="2">
        <v>0</v>
      </c>
      <c r="E200" s="2">
        <v>1</v>
      </c>
      <c r="G200" s="2">
        <v>2</v>
      </c>
    </row>
    <row r="201" spans="1:7" x14ac:dyDescent="0.2">
      <c r="A201" s="2" t="s">
        <v>9</v>
      </c>
      <c r="B201" s="14">
        <v>39203</v>
      </c>
      <c r="C201" s="2">
        <v>4.1437312497000001E-2</v>
      </c>
      <c r="D201" s="2">
        <v>0</v>
      </c>
      <c r="E201" s="2">
        <v>1</v>
      </c>
      <c r="G201" s="2">
        <v>2</v>
      </c>
    </row>
    <row r="202" spans="1:7" x14ac:dyDescent="0.2">
      <c r="A202" s="2" t="s">
        <v>9</v>
      </c>
      <c r="B202" s="14">
        <v>39234</v>
      </c>
      <c r="C202" s="2">
        <v>6.4516129032000005E-2</v>
      </c>
      <c r="D202" s="2">
        <v>0</v>
      </c>
      <c r="E202" s="2">
        <v>1</v>
      </c>
      <c r="G202" s="2">
        <v>2</v>
      </c>
    </row>
    <row r="203" spans="1:7" x14ac:dyDescent="0.2">
      <c r="A203" s="2" t="s">
        <v>9</v>
      </c>
      <c r="B203" s="14">
        <v>39264</v>
      </c>
      <c r="C203" s="2">
        <v>9.0909090910000004E-2</v>
      </c>
      <c r="D203" s="2">
        <v>0</v>
      </c>
      <c r="E203" s="2">
        <v>1</v>
      </c>
      <c r="G203" s="2">
        <v>2</v>
      </c>
    </row>
    <row r="204" spans="1:7" x14ac:dyDescent="0.2">
      <c r="A204" s="2" t="s">
        <v>9</v>
      </c>
      <c r="B204" s="14">
        <v>39295</v>
      </c>
      <c r="C204" s="2">
        <v>-6.1111111112000002E-2</v>
      </c>
      <c r="D204" s="2">
        <v>0</v>
      </c>
      <c r="E204" s="2">
        <v>1</v>
      </c>
      <c r="F204" s="2">
        <v>1.41955679437352E-2</v>
      </c>
      <c r="G204" s="2">
        <v>2</v>
      </c>
    </row>
    <row r="205" spans="1:7" x14ac:dyDescent="0.2">
      <c r="A205" s="2" t="s">
        <v>9</v>
      </c>
      <c r="B205" s="14">
        <v>39326</v>
      </c>
      <c r="C205" s="2">
        <v>0</v>
      </c>
      <c r="D205" s="2">
        <v>0</v>
      </c>
      <c r="E205" s="2">
        <v>1</v>
      </c>
      <c r="F205" s="2">
        <v>1.13687066762193E-2</v>
      </c>
      <c r="G205" s="2">
        <v>2</v>
      </c>
    </row>
    <row r="206" spans="1:7" x14ac:dyDescent="0.2">
      <c r="A206" s="2" t="s">
        <v>9</v>
      </c>
      <c r="B206" s="14">
        <v>39356</v>
      </c>
      <c r="C206" s="2">
        <v>0.10650887573999999</v>
      </c>
      <c r="D206" s="2">
        <v>0</v>
      </c>
      <c r="E206" s="2">
        <v>1</v>
      </c>
      <c r="F206" s="2">
        <v>1.17091828417294E-2</v>
      </c>
      <c r="G206" s="2">
        <v>2</v>
      </c>
    </row>
    <row r="207" spans="1:7" x14ac:dyDescent="0.2">
      <c r="A207" s="2" t="s">
        <v>9</v>
      </c>
      <c r="B207" s="14">
        <v>39387</v>
      </c>
      <c r="D207" s="2">
        <v>0</v>
      </c>
      <c r="E207" s="2">
        <v>1</v>
      </c>
      <c r="F207" s="2">
        <v>1.46975980690301E-2</v>
      </c>
      <c r="G207" s="2">
        <v>2</v>
      </c>
    </row>
    <row r="208" spans="1:7" x14ac:dyDescent="0.2">
      <c r="A208" s="2" t="s">
        <v>9</v>
      </c>
      <c r="B208" s="14">
        <v>39417</v>
      </c>
      <c r="D208" s="2">
        <v>0</v>
      </c>
      <c r="E208" s="2">
        <v>1</v>
      </c>
      <c r="G208" s="2">
        <v>2</v>
      </c>
    </row>
    <row r="209" spans="1:7" x14ac:dyDescent="0.2">
      <c r="A209" s="2" t="s">
        <v>9</v>
      </c>
      <c r="B209" s="14">
        <v>39448</v>
      </c>
      <c r="C209" s="2">
        <v>1.8518518516000001E-2</v>
      </c>
      <c r="D209" s="2">
        <v>0</v>
      </c>
      <c r="E209" s="2">
        <v>1</v>
      </c>
      <c r="G209" s="2">
        <v>2</v>
      </c>
    </row>
    <row r="210" spans="1:7" x14ac:dyDescent="0.2">
      <c r="A210" s="2" t="s">
        <v>9</v>
      </c>
      <c r="B210" s="14">
        <v>39479</v>
      </c>
      <c r="D210" s="2">
        <v>0</v>
      </c>
      <c r="E210" s="2">
        <v>1</v>
      </c>
      <c r="F210" s="2">
        <v>9.5119974479504297E-3</v>
      </c>
      <c r="G210" s="2">
        <v>2</v>
      </c>
    </row>
    <row r="211" spans="1:7" x14ac:dyDescent="0.2">
      <c r="A211" s="2" t="s">
        <v>9</v>
      </c>
      <c r="B211" s="14">
        <v>39508</v>
      </c>
      <c r="D211" s="2">
        <v>0</v>
      </c>
      <c r="E211" s="2">
        <v>1</v>
      </c>
      <c r="G211" s="2">
        <v>2</v>
      </c>
    </row>
    <row r="212" spans="1:7" x14ac:dyDescent="0.2">
      <c r="A212" s="2" t="s">
        <v>9</v>
      </c>
      <c r="B212" s="14">
        <v>39539</v>
      </c>
      <c r="D212" s="2">
        <v>0</v>
      </c>
      <c r="E212" s="2">
        <v>1</v>
      </c>
      <c r="G212" s="2">
        <v>2</v>
      </c>
    </row>
    <row r="213" spans="1:7" x14ac:dyDescent="0.2">
      <c r="A213" s="2" t="s">
        <v>9</v>
      </c>
      <c r="B213" s="14">
        <v>39569</v>
      </c>
      <c r="C213" s="2">
        <v>1.8722466960999998E-2</v>
      </c>
      <c r="D213" s="2">
        <v>0</v>
      </c>
      <c r="E213" s="2">
        <v>1</v>
      </c>
      <c r="G213" s="2">
        <v>2</v>
      </c>
    </row>
    <row r="214" spans="1:7" x14ac:dyDescent="0.2">
      <c r="A214" s="2" t="s">
        <v>9</v>
      </c>
      <c r="B214" s="14">
        <v>39600</v>
      </c>
      <c r="D214" s="2">
        <v>0</v>
      </c>
      <c r="E214" s="2">
        <v>1</v>
      </c>
      <c r="F214" s="2">
        <v>8.8609792515902206E-3</v>
      </c>
      <c r="G214" s="2">
        <v>2</v>
      </c>
    </row>
    <row r="215" spans="1:7" x14ac:dyDescent="0.2">
      <c r="A215" s="2" t="s">
        <v>9</v>
      </c>
      <c r="B215" s="14">
        <v>39630</v>
      </c>
      <c r="C215" s="2">
        <v>0</v>
      </c>
      <c r="D215" s="2">
        <v>0</v>
      </c>
      <c r="E215" s="2">
        <v>1</v>
      </c>
      <c r="G215" s="2">
        <v>2</v>
      </c>
    </row>
    <row r="216" spans="1:7" x14ac:dyDescent="0.2">
      <c r="A216" s="2" t="s">
        <v>9</v>
      </c>
      <c r="B216" s="14">
        <v>39661</v>
      </c>
      <c r="C216" s="2">
        <v>0</v>
      </c>
      <c r="D216" s="2">
        <v>0</v>
      </c>
      <c r="E216" s="2">
        <v>1</v>
      </c>
      <c r="G216" s="2">
        <v>2</v>
      </c>
    </row>
    <row r="217" spans="1:7" x14ac:dyDescent="0.2">
      <c r="A217" s="2" t="s">
        <v>9</v>
      </c>
      <c r="B217" s="14">
        <v>39692</v>
      </c>
      <c r="C217" s="2">
        <v>-2.7027027028E-2</v>
      </c>
      <c r="D217" s="2">
        <v>0</v>
      </c>
      <c r="E217" s="2">
        <v>1</v>
      </c>
      <c r="G217" s="2">
        <v>2</v>
      </c>
    </row>
    <row r="218" spans="1:7" x14ac:dyDescent="0.2">
      <c r="A218" s="2" t="s">
        <v>9</v>
      </c>
      <c r="B218" s="14">
        <v>39722</v>
      </c>
      <c r="D218" s="2">
        <v>0</v>
      </c>
      <c r="E218" s="2">
        <v>1</v>
      </c>
      <c r="G218" s="2">
        <v>2</v>
      </c>
    </row>
    <row r="219" spans="1:7" x14ac:dyDescent="0.2">
      <c r="A219" s="2" t="s">
        <v>9</v>
      </c>
      <c r="B219" s="14">
        <v>39753</v>
      </c>
      <c r="C219" s="2">
        <v>-2.7777777776999999E-2</v>
      </c>
      <c r="D219" s="2">
        <v>0</v>
      </c>
      <c r="E219" s="2">
        <v>1</v>
      </c>
      <c r="G219" s="2">
        <v>2</v>
      </c>
    </row>
    <row r="220" spans="1:7" x14ac:dyDescent="0.2">
      <c r="A220" s="2" t="s">
        <v>9</v>
      </c>
      <c r="B220" s="14">
        <v>39783</v>
      </c>
      <c r="D220" s="2">
        <v>0</v>
      </c>
      <c r="E220" s="2">
        <v>1</v>
      </c>
      <c r="G220" s="2">
        <v>2</v>
      </c>
    </row>
    <row r="221" spans="1:7" x14ac:dyDescent="0.2">
      <c r="A221" s="2" t="s">
        <v>10</v>
      </c>
      <c r="B221" s="14">
        <v>37591</v>
      </c>
      <c r="C221" s="2">
        <v>0.11755324901</v>
      </c>
      <c r="D221" s="2">
        <v>0</v>
      </c>
      <c r="E221" s="2">
        <v>1</v>
      </c>
      <c r="G221" s="2">
        <v>2</v>
      </c>
    </row>
    <row r="222" spans="1:7" x14ac:dyDescent="0.2">
      <c r="A222" s="2" t="s">
        <v>10</v>
      </c>
      <c r="B222" s="14">
        <v>37622</v>
      </c>
      <c r="C222" s="2">
        <v>-6.2351235206E-2</v>
      </c>
      <c r="D222" s="2">
        <v>0</v>
      </c>
      <c r="E222" s="2">
        <v>1</v>
      </c>
      <c r="G222" s="2">
        <v>2</v>
      </c>
    </row>
    <row r="223" spans="1:7" x14ac:dyDescent="0.2">
      <c r="A223" s="2" t="s">
        <v>10</v>
      </c>
      <c r="B223" s="14">
        <v>37653</v>
      </c>
      <c r="C223" s="2">
        <v>-3.4517780651000002E-2</v>
      </c>
      <c r="D223" s="2">
        <v>0</v>
      </c>
      <c r="E223" s="2">
        <v>1</v>
      </c>
      <c r="G223" s="2">
        <v>2</v>
      </c>
    </row>
    <row r="224" spans="1:7" x14ac:dyDescent="0.2">
      <c r="A224" s="2" t="s">
        <v>10</v>
      </c>
      <c r="B224" s="14">
        <v>37681</v>
      </c>
      <c r="C224" s="2">
        <v>0.15667715406999999</v>
      </c>
      <c r="D224" s="2">
        <v>0</v>
      </c>
      <c r="E224" s="2">
        <v>1</v>
      </c>
      <c r="G224" s="2">
        <v>2</v>
      </c>
    </row>
    <row r="225" spans="1:7" x14ac:dyDescent="0.2">
      <c r="A225" s="2" t="s">
        <v>10</v>
      </c>
      <c r="B225" s="14">
        <v>37712</v>
      </c>
      <c r="C225" s="2">
        <v>-3.4090909090000003E-2</v>
      </c>
      <c r="D225" s="2">
        <v>0</v>
      </c>
      <c r="E225" s="2">
        <v>1</v>
      </c>
      <c r="G225" s="2">
        <v>2</v>
      </c>
    </row>
    <row r="226" spans="1:7" x14ac:dyDescent="0.2">
      <c r="A226" s="2" t="s">
        <v>10</v>
      </c>
      <c r="B226" s="14">
        <v>37742</v>
      </c>
      <c r="C226" s="2">
        <v>-0.10614034994</v>
      </c>
      <c r="D226" s="2">
        <v>0</v>
      </c>
      <c r="E226" s="2">
        <v>1</v>
      </c>
      <c r="G226" s="2">
        <v>2</v>
      </c>
    </row>
    <row r="227" spans="1:7" x14ac:dyDescent="0.2">
      <c r="A227" s="2" t="s">
        <v>10</v>
      </c>
      <c r="B227" s="14">
        <v>37773</v>
      </c>
      <c r="C227" s="2">
        <v>-5.5030560518000003E-2</v>
      </c>
      <c r="D227" s="2">
        <v>0</v>
      </c>
      <c r="E227" s="2">
        <v>1</v>
      </c>
      <c r="G227" s="2">
        <v>2</v>
      </c>
    </row>
    <row r="228" spans="1:7" x14ac:dyDescent="0.2">
      <c r="A228" s="2" t="s">
        <v>10</v>
      </c>
      <c r="B228" s="14">
        <v>37803</v>
      </c>
      <c r="C228" s="2">
        <v>-8.8823542874999994E-2</v>
      </c>
      <c r="D228" s="2">
        <v>0</v>
      </c>
      <c r="E228" s="2">
        <v>1</v>
      </c>
      <c r="G228" s="2">
        <v>2</v>
      </c>
    </row>
    <row r="229" spans="1:7" x14ac:dyDescent="0.2">
      <c r="A229" s="2" t="s">
        <v>10</v>
      </c>
      <c r="B229" s="14">
        <v>37834</v>
      </c>
      <c r="C229" s="2">
        <v>0.14267275819</v>
      </c>
      <c r="D229" s="2">
        <v>0</v>
      </c>
      <c r="E229" s="2">
        <v>1</v>
      </c>
      <c r="F229" s="2">
        <v>2.7201871225888501E-2</v>
      </c>
      <c r="G229" s="2">
        <v>2</v>
      </c>
    </row>
    <row r="230" spans="1:7" x14ac:dyDescent="0.2">
      <c r="A230" s="2" t="s">
        <v>10</v>
      </c>
      <c r="B230" s="14">
        <v>37865</v>
      </c>
      <c r="C230" s="2">
        <v>9.6045128943000005E-2</v>
      </c>
      <c r="D230" s="2">
        <v>0</v>
      </c>
      <c r="E230" s="2">
        <v>1</v>
      </c>
      <c r="F230" s="2">
        <v>3.2287649634843603E-2</v>
      </c>
      <c r="G230" s="2">
        <v>2</v>
      </c>
    </row>
    <row r="231" spans="1:7" x14ac:dyDescent="0.2">
      <c r="A231" s="2" t="s">
        <v>10</v>
      </c>
      <c r="B231" s="14">
        <v>37895</v>
      </c>
      <c r="C231" s="2">
        <v>-3.0927855322999999E-2</v>
      </c>
      <c r="D231" s="2">
        <v>0</v>
      </c>
      <c r="E231" s="2">
        <v>1</v>
      </c>
      <c r="F231" s="2">
        <v>3.0323584617555702E-2</v>
      </c>
      <c r="G231" s="2">
        <v>2</v>
      </c>
    </row>
    <row r="232" spans="1:7" x14ac:dyDescent="0.2">
      <c r="A232" s="2" t="s">
        <v>10</v>
      </c>
      <c r="B232" s="14">
        <v>37926</v>
      </c>
      <c r="C232" s="2">
        <v>-0.14893613567</v>
      </c>
      <c r="D232" s="2">
        <v>0</v>
      </c>
      <c r="E232" s="2">
        <v>1</v>
      </c>
      <c r="F232" s="2">
        <v>3.0387918738396299E-2</v>
      </c>
      <c r="G232" s="2">
        <v>2</v>
      </c>
    </row>
    <row r="233" spans="1:7" x14ac:dyDescent="0.2">
      <c r="A233" s="2" t="s">
        <v>10</v>
      </c>
      <c r="B233" s="14">
        <v>37956</v>
      </c>
      <c r="C233" s="2">
        <v>-5.3125000000999997E-2</v>
      </c>
      <c r="D233" s="2">
        <v>0</v>
      </c>
      <c r="E233" s="2">
        <v>1</v>
      </c>
      <c r="F233" s="2">
        <v>2.9617315371677101E-2</v>
      </c>
      <c r="G233" s="2">
        <v>2</v>
      </c>
    </row>
    <row r="234" spans="1:7" x14ac:dyDescent="0.2">
      <c r="A234" s="2" t="s">
        <v>10</v>
      </c>
      <c r="B234" s="14">
        <v>37987</v>
      </c>
      <c r="C234" s="2">
        <v>6.6006600663999996E-3</v>
      </c>
      <c r="E234" s="2">
        <v>1</v>
      </c>
      <c r="F234" s="2">
        <v>2.9719625512950099E-2</v>
      </c>
      <c r="G234" s="2">
        <v>2</v>
      </c>
    </row>
    <row r="235" spans="1:7" x14ac:dyDescent="0.2">
      <c r="A235" s="2" t="s">
        <v>10</v>
      </c>
      <c r="B235" s="14">
        <v>38018</v>
      </c>
      <c r="C235" s="2">
        <v>0</v>
      </c>
      <c r="E235" s="2">
        <v>1</v>
      </c>
      <c r="F235" s="2">
        <v>3.2446369553865602E-2</v>
      </c>
      <c r="G235" s="2">
        <v>2</v>
      </c>
    </row>
    <row r="236" spans="1:7" x14ac:dyDescent="0.2">
      <c r="A236" s="2" t="s">
        <v>10</v>
      </c>
      <c r="B236" s="14">
        <v>38047</v>
      </c>
      <c r="C236" s="2">
        <v>-1.6393442623E-2</v>
      </c>
      <c r="D236" s="2">
        <v>0</v>
      </c>
      <c r="E236" s="2">
        <v>1</v>
      </c>
      <c r="F236" s="2">
        <v>2.83206491725531E-2</v>
      </c>
      <c r="G236" s="2">
        <v>2</v>
      </c>
    </row>
    <row r="237" spans="1:7" x14ac:dyDescent="0.2">
      <c r="A237" s="2" t="s">
        <v>10</v>
      </c>
      <c r="B237" s="14">
        <v>38078</v>
      </c>
      <c r="C237" s="2">
        <v>0</v>
      </c>
      <c r="D237" s="2">
        <v>0</v>
      </c>
      <c r="E237" s="2">
        <v>1</v>
      </c>
      <c r="F237" s="2">
        <v>2.4821048677292699E-2</v>
      </c>
      <c r="G237" s="2">
        <v>2</v>
      </c>
    </row>
    <row r="238" spans="1:7" x14ac:dyDescent="0.2">
      <c r="A238" s="2" t="s">
        <v>10</v>
      </c>
      <c r="B238" s="14">
        <v>38108</v>
      </c>
      <c r="C238" s="2">
        <v>-0.1</v>
      </c>
      <c r="D238" s="2">
        <v>0</v>
      </c>
      <c r="E238" s="2">
        <v>1</v>
      </c>
      <c r="F238" s="2">
        <v>2.5718546844101499E-2</v>
      </c>
      <c r="G238" s="2">
        <v>2</v>
      </c>
    </row>
    <row r="239" spans="1:7" x14ac:dyDescent="0.2">
      <c r="A239" s="2" t="s">
        <v>10</v>
      </c>
      <c r="B239" s="14">
        <v>38139</v>
      </c>
      <c r="C239" s="2">
        <v>7.4074074072999999E-2</v>
      </c>
      <c r="D239" s="2">
        <v>0</v>
      </c>
      <c r="E239" s="2">
        <v>1</v>
      </c>
      <c r="F239" s="2">
        <v>2.7361440777454799E-2</v>
      </c>
      <c r="G239" s="2">
        <v>2</v>
      </c>
    </row>
    <row r="240" spans="1:7" x14ac:dyDescent="0.2">
      <c r="A240" s="2" t="s">
        <v>10</v>
      </c>
      <c r="B240" s="14">
        <v>38169</v>
      </c>
      <c r="C240" s="2">
        <v>3.4482758620999997E-2</v>
      </c>
      <c r="D240" s="2">
        <v>0</v>
      </c>
      <c r="E240" s="2">
        <v>1</v>
      </c>
      <c r="F240" s="2">
        <v>3.09398878858489E-2</v>
      </c>
      <c r="G240" s="2">
        <v>2</v>
      </c>
    </row>
    <row r="241" spans="1:7" x14ac:dyDescent="0.2">
      <c r="A241" s="2" t="s">
        <v>10</v>
      </c>
      <c r="B241" s="14">
        <v>38200</v>
      </c>
      <c r="C241" s="2">
        <v>0.28666666667000001</v>
      </c>
      <c r="D241" s="2">
        <v>0</v>
      </c>
      <c r="E241" s="2">
        <v>1</v>
      </c>
      <c r="F241" s="2">
        <v>3.6536462143490198E-2</v>
      </c>
      <c r="G241" s="2">
        <v>2</v>
      </c>
    </row>
    <row r="242" spans="1:7" x14ac:dyDescent="0.2">
      <c r="A242" s="2" t="s">
        <v>10</v>
      </c>
      <c r="B242" s="14">
        <v>38231</v>
      </c>
      <c r="C242" s="2">
        <v>0.19170984456000001</v>
      </c>
      <c r="D242" s="2">
        <v>0</v>
      </c>
      <c r="E242" s="2">
        <v>1</v>
      </c>
      <c r="F242" s="2">
        <v>4.4780171971071203E-2</v>
      </c>
      <c r="G242" s="2">
        <v>2</v>
      </c>
    </row>
    <row r="243" spans="1:7" x14ac:dyDescent="0.2">
      <c r="A243" s="2" t="s">
        <v>10</v>
      </c>
      <c r="B243" s="14">
        <v>38261</v>
      </c>
      <c r="C243" s="2">
        <v>0</v>
      </c>
      <c r="D243" s="2">
        <v>0</v>
      </c>
      <c r="E243" s="2">
        <v>1</v>
      </c>
      <c r="F243" s="2">
        <v>5.0574755444566903E-2</v>
      </c>
      <c r="G243" s="2">
        <v>2</v>
      </c>
    </row>
    <row r="244" spans="1:7" x14ac:dyDescent="0.2">
      <c r="A244" s="2" t="s">
        <v>10</v>
      </c>
      <c r="B244" s="14">
        <v>38292</v>
      </c>
      <c r="C244" s="2">
        <v>-8.6956521738999995E-2</v>
      </c>
      <c r="D244" s="2">
        <v>0</v>
      </c>
      <c r="E244" s="2">
        <v>1</v>
      </c>
      <c r="F244" s="2">
        <v>5.0558330212917398E-2</v>
      </c>
      <c r="G244" s="2">
        <v>2</v>
      </c>
    </row>
    <row r="245" spans="1:7" x14ac:dyDescent="0.2">
      <c r="A245" s="2" t="s">
        <v>10</v>
      </c>
      <c r="B245" s="14">
        <v>38322</v>
      </c>
      <c r="C245" s="2">
        <v>0</v>
      </c>
      <c r="D245" s="2">
        <v>0</v>
      </c>
      <c r="E245" s="2">
        <v>1</v>
      </c>
      <c r="F245" s="2">
        <v>5.1010481214174397E-2</v>
      </c>
      <c r="G245" s="2">
        <v>2</v>
      </c>
    </row>
    <row r="246" spans="1:7" x14ac:dyDescent="0.2">
      <c r="A246" s="2" t="s">
        <v>10</v>
      </c>
      <c r="B246" s="14">
        <v>38353</v>
      </c>
      <c r="C246" s="2">
        <v>0.90476190475999996</v>
      </c>
      <c r="D246" s="2">
        <v>0</v>
      </c>
      <c r="E246" s="2">
        <v>1</v>
      </c>
      <c r="F246" s="2">
        <v>4.8823763040766202E-2</v>
      </c>
      <c r="G246" s="2">
        <v>2</v>
      </c>
    </row>
    <row r="247" spans="1:7" x14ac:dyDescent="0.2">
      <c r="A247" s="2" t="s">
        <v>10</v>
      </c>
      <c r="B247" s="14">
        <v>38384</v>
      </c>
      <c r="C247" s="2">
        <v>0.13750000000000001</v>
      </c>
      <c r="D247" s="2">
        <v>0</v>
      </c>
      <c r="E247" s="2">
        <v>1</v>
      </c>
      <c r="F247" s="2">
        <v>7.5585280646807404E-2</v>
      </c>
      <c r="G247" s="2">
        <v>2</v>
      </c>
    </row>
    <row r="248" spans="1:7" x14ac:dyDescent="0.2">
      <c r="A248" s="2" t="s">
        <v>10</v>
      </c>
      <c r="B248" s="14">
        <v>38412</v>
      </c>
      <c r="C248" s="2">
        <v>5.7268351268999998E-2</v>
      </c>
      <c r="D248" s="2">
        <v>0</v>
      </c>
      <c r="E248" s="2">
        <v>1</v>
      </c>
      <c r="F248" s="2">
        <v>7.0944541779652995E-2</v>
      </c>
      <c r="G248" s="2">
        <v>2</v>
      </c>
    </row>
    <row r="249" spans="1:7" x14ac:dyDescent="0.2">
      <c r="A249" s="2" t="s">
        <v>10</v>
      </c>
      <c r="B249" s="14">
        <v>38443</v>
      </c>
      <c r="C249" s="2">
        <v>1.5530303031E-2</v>
      </c>
      <c r="D249" s="2">
        <v>5.0330399999999999E-3</v>
      </c>
      <c r="E249" s="2">
        <v>1</v>
      </c>
      <c r="F249" s="2">
        <v>6.3164587293657495E-2</v>
      </c>
      <c r="G249" s="2">
        <v>2</v>
      </c>
    </row>
    <row r="250" spans="1:7" x14ac:dyDescent="0.2">
      <c r="A250" s="2" t="s">
        <v>10</v>
      </c>
      <c r="B250" s="14">
        <v>38473</v>
      </c>
      <c r="C250" s="2">
        <v>7.1117943468999995E-2</v>
      </c>
      <c r="D250" s="2">
        <v>2.3977731000000002E-3</v>
      </c>
      <c r="E250" s="2">
        <v>1</v>
      </c>
      <c r="F250" s="2">
        <v>6.3566610536765697E-2</v>
      </c>
      <c r="G250" s="2">
        <v>2</v>
      </c>
    </row>
    <row r="251" spans="1:7" x14ac:dyDescent="0.2">
      <c r="A251" s="2" t="s">
        <v>10</v>
      </c>
      <c r="B251" s="14">
        <v>38504</v>
      </c>
      <c r="C251" s="2">
        <v>1.0801393728E-2</v>
      </c>
      <c r="D251" s="2">
        <v>8.6501334000000003E-4</v>
      </c>
      <c r="E251" s="2">
        <v>1</v>
      </c>
      <c r="F251" s="2">
        <v>6.7815381073297196E-2</v>
      </c>
      <c r="G251" s="2">
        <v>2</v>
      </c>
    </row>
    <row r="252" spans="1:7" x14ac:dyDescent="0.2">
      <c r="A252" s="2" t="s">
        <v>10</v>
      </c>
      <c r="B252" s="14">
        <v>38534</v>
      </c>
      <c r="C252" s="2">
        <v>0.20820406756000001</v>
      </c>
      <c r="D252" s="19">
        <v>8.6728271999999998E-5</v>
      </c>
      <c r="E252" s="2">
        <v>1</v>
      </c>
      <c r="F252" s="2">
        <v>6.7557081887956394E-2</v>
      </c>
      <c r="G252" s="2">
        <v>2</v>
      </c>
    </row>
    <row r="253" spans="1:7" x14ac:dyDescent="0.2">
      <c r="A253" s="2" t="s">
        <v>10</v>
      </c>
      <c r="B253" s="14">
        <v>38565</v>
      </c>
      <c r="C253" s="2">
        <v>-0.12268188301999999</v>
      </c>
      <c r="D253" s="2">
        <v>-5.0347181999999999E-4</v>
      </c>
      <c r="E253" s="2">
        <v>1</v>
      </c>
      <c r="F253" s="2">
        <v>4.1599971484873599E-2</v>
      </c>
      <c r="G253" s="2">
        <v>2</v>
      </c>
    </row>
    <row r="254" spans="1:7" x14ac:dyDescent="0.2">
      <c r="A254" s="2" t="s">
        <v>10</v>
      </c>
      <c r="B254" s="14">
        <v>38596</v>
      </c>
      <c r="C254" s="2">
        <v>3.2520325203000001E-2</v>
      </c>
      <c r="D254" s="2">
        <v>-5.4654403000000003E-4</v>
      </c>
      <c r="E254" s="2">
        <v>1</v>
      </c>
      <c r="F254" s="2">
        <v>3.4514634620644899E-2</v>
      </c>
      <c r="G254" s="2">
        <v>2</v>
      </c>
    </row>
    <row r="255" spans="1:7" x14ac:dyDescent="0.2">
      <c r="A255" s="2" t="s">
        <v>10</v>
      </c>
      <c r="B255" s="14">
        <v>38626</v>
      </c>
      <c r="C255" s="2">
        <v>-4.5669291339000002E-2</v>
      </c>
      <c r="D255" s="2">
        <v>-4.8043416000000003E-4</v>
      </c>
      <c r="E255" s="2">
        <v>1</v>
      </c>
      <c r="F255" s="2">
        <v>3.3723652098401197E-2</v>
      </c>
      <c r="G255" s="2">
        <v>2</v>
      </c>
    </row>
    <row r="256" spans="1:7" x14ac:dyDescent="0.2">
      <c r="A256" s="2" t="s">
        <v>10</v>
      </c>
      <c r="B256" s="14">
        <v>38657</v>
      </c>
      <c r="C256" s="2">
        <v>-1.6501650164999999E-2</v>
      </c>
      <c r="D256" s="2">
        <v>-4.6796160000000002E-4</v>
      </c>
      <c r="E256" s="2">
        <v>1</v>
      </c>
      <c r="F256" s="2">
        <v>3.2097610250993398E-2</v>
      </c>
      <c r="G256" s="2">
        <v>2</v>
      </c>
    </row>
    <row r="257" spans="1:7" x14ac:dyDescent="0.2">
      <c r="A257" s="2" t="s">
        <v>10</v>
      </c>
      <c r="B257" s="14">
        <v>38687</v>
      </c>
      <c r="C257" s="2">
        <v>-4.0268456374999997E-2</v>
      </c>
      <c r="D257" s="2">
        <v>0</v>
      </c>
      <c r="E257" s="2">
        <v>1</v>
      </c>
      <c r="F257" s="2">
        <v>2.95353693222048E-2</v>
      </c>
      <c r="G257" s="2">
        <v>2</v>
      </c>
    </row>
    <row r="258" spans="1:7" x14ac:dyDescent="0.2">
      <c r="A258" s="2" t="s">
        <v>10</v>
      </c>
      <c r="B258" s="14">
        <v>38718</v>
      </c>
      <c r="C258" s="2">
        <v>4.7202797200999999E-2</v>
      </c>
      <c r="D258" s="2">
        <v>0</v>
      </c>
      <c r="E258" s="2">
        <v>1</v>
      </c>
      <c r="F258" s="2">
        <v>2.81850365351279E-2</v>
      </c>
      <c r="G258" s="2">
        <v>2</v>
      </c>
    </row>
    <row r="259" spans="1:7" x14ac:dyDescent="0.2">
      <c r="A259" s="2" t="s">
        <v>10</v>
      </c>
      <c r="B259" s="14">
        <v>38749</v>
      </c>
      <c r="C259" s="2">
        <v>2.8380634389999999E-2</v>
      </c>
      <c r="D259" s="2">
        <v>-2.233445E-4</v>
      </c>
      <c r="E259" s="2">
        <v>1</v>
      </c>
      <c r="F259" s="2">
        <v>2.0041559300721299E-2</v>
      </c>
      <c r="G259" s="2">
        <v>2</v>
      </c>
    </row>
    <row r="260" spans="1:7" x14ac:dyDescent="0.2">
      <c r="A260" s="2" t="s">
        <v>10</v>
      </c>
      <c r="B260" s="14">
        <v>38777</v>
      </c>
      <c r="C260" s="2">
        <v>7.1428571428999998E-2</v>
      </c>
      <c r="D260" s="2">
        <v>2.7950583000000001E-3</v>
      </c>
      <c r="E260" s="2">
        <v>1</v>
      </c>
      <c r="F260" s="2">
        <v>2.4212985130033199E-2</v>
      </c>
      <c r="G260" s="2">
        <v>2</v>
      </c>
    </row>
    <row r="261" spans="1:7" x14ac:dyDescent="0.2">
      <c r="A261" s="2" t="s">
        <v>10</v>
      </c>
      <c r="B261" s="14">
        <v>38808</v>
      </c>
      <c r="C261" s="2">
        <v>-3.0303030288999998E-3</v>
      </c>
      <c r="D261" s="2">
        <v>1.2292996999999999E-3</v>
      </c>
      <c r="E261" s="2">
        <v>1</v>
      </c>
      <c r="F261" s="2">
        <v>2.51931262278152E-2</v>
      </c>
      <c r="G261" s="2">
        <v>2</v>
      </c>
    </row>
    <row r="262" spans="1:7" x14ac:dyDescent="0.2">
      <c r="A262" s="2" t="s">
        <v>10</v>
      </c>
      <c r="B262" s="14">
        <v>38838</v>
      </c>
      <c r="C262" s="2">
        <v>-3.3492915895000003E-2</v>
      </c>
      <c r="D262" s="2">
        <v>8.5014553000000001E-4</v>
      </c>
      <c r="E262" s="2">
        <v>1</v>
      </c>
      <c r="F262" s="2">
        <v>2.6437644092404899E-2</v>
      </c>
      <c r="G262" s="2">
        <v>2</v>
      </c>
    </row>
    <row r="263" spans="1:7" x14ac:dyDescent="0.2">
      <c r="A263" s="2" t="s">
        <v>10</v>
      </c>
      <c r="B263" s="14">
        <v>38869</v>
      </c>
      <c r="C263" s="2">
        <v>-6.0897435896999997E-3</v>
      </c>
      <c r="D263" s="2">
        <v>3.6390993999999999E-3</v>
      </c>
      <c r="E263" s="2">
        <v>1</v>
      </c>
      <c r="F263" s="2">
        <v>2.60607265545604E-2</v>
      </c>
      <c r="G263" s="2">
        <v>2</v>
      </c>
    </row>
    <row r="264" spans="1:7" x14ac:dyDescent="0.2">
      <c r="A264" s="2" t="s">
        <v>10</v>
      </c>
      <c r="B264" s="14">
        <v>38899</v>
      </c>
      <c r="C264" s="2">
        <v>-1.5801354401999999E-2</v>
      </c>
      <c r="D264" s="2">
        <v>5.3325591999999996E-4</v>
      </c>
      <c r="E264" s="2">
        <v>1</v>
      </c>
      <c r="F264" s="2">
        <v>2.7065054484968001E-2</v>
      </c>
      <c r="G264" s="2">
        <v>2</v>
      </c>
    </row>
    <row r="265" spans="1:7" x14ac:dyDescent="0.2">
      <c r="A265" s="2" t="s">
        <v>10</v>
      </c>
      <c r="B265" s="14">
        <v>38930</v>
      </c>
      <c r="C265" s="2">
        <v>-1.0484927916E-2</v>
      </c>
      <c r="D265" s="2">
        <v>-8.3615404000000003E-4</v>
      </c>
      <c r="E265" s="2">
        <v>1</v>
      </c>
      <c r="F265" s="2">
        <v>2.43889462466233E-2</v>
      </c>
      <c r="G265" s="2">
        <v>2</v>
      </c>
    </row>
    <row r="266" spans="1:7" x14ac:dyDescent="0.2">
      <c r="A266" s="2" t="s">
        <v>10</v>
      </c>
      <c r="B266" s="14">
        <v>38961</v>
      </c>
      <c r="C266" s="2">
        <v>0</v>
      </c>
      <c r="D266" s="2">
        <v>9.2108152000000001E-4</v>
      </c>
      <c r="E266" s="2">
        <v>1</v>
      </c>
      <c r="F266" s="2">
        <v>2.3017146136488299E-2</v>
      </c>
      <c r="G266" s="2">
        <v>2</v>
      </c>
    </row>
    <row r="267" spans="1:7" x14ac:dyDescent="0.2">
      <c r="A267" s="2" t="s">
        <v>10</v>
      </c>
      <c r="B267" s="14">
        <v>38991</v>
      </c>
      <c r="C267" s="2">
        <v>3.3112582782000001E-2</v>
      </c>
      <c r="D267" s="2">
        <v>0</v>
      </c>
      <c r="E267" s="2">
        <v>1</v>
      </c>
      <c r="F267" s="2">
        <v>2.0927355378706099E-2</v>
      </c>
      <c r="G267" s="2">
        <v>2</v>
      </c>
    </row>
    <row r="268" spans="1:7" x14ac:dyDescent="0.2">
      <c r="A268" s="2" t="s">
        <v>10</v>
      </c>
      <c r="B268" s="14">
        <v>39022</v>
      </c>
      <c r="C268" s="2">
        <v>0.12179487178999999</v>
      </c>
      <c r="D268" s="2">
        <v>4.4314383E-4</v>
      </c>
      <c r="E268" s="2">
        <v>1</v>
      </c>
      <c r="F268" s="2">
        <v>2.1868020602876501E-2</v>
      </c>
      <c r="G268" s="2">
        <v>2</v>
      </c>
    </row>
    <row r="269" spans="1:7" x14ac:dyDescent="0.2">
      <c r="A269" s="2" t="s">
        <v>10</v>
      </c>
      <c r="B269" s="14">
        <v>39052</v>
      </c>
      <c r="C269" s="2">
        <v>0</v>
      </c>
      <c r="D269" s="2">
        <v>2.2231048999999999E-3</v>
      </c>
      <c r="E269" s="2">
        <v>1</v>
      </c>
      <c r="F269" s="2">
        <v>2.63410689937821E-2</v>
      </c>
      <c r="G269" s="2">
        <v>2</v>
      </c>
    </row>
    <row r="270" spans="1:7" x14ac:dyDescent="0.2">
      <c r="A270" s="2" t="s">
        <v>10</v>
      </c>
      <c r="B270" s="14">
        <v>39083</v>
      </c>
      <c r="C270" s="2">
        <v>0.22314285714000001</v>
      </c>
      <c r="D270" s="2">
        <v>4.4683670000000001E-4</v>
      </c>
      <c r="E270" s="2">
        <v>1</v>
      </c>
      <c r="F270" s="2">
        <v>2.6459647336704001E-2</v>
      </c>
      <c r="G270" s="2">
        <v>2</v>
      </c>
    </row>
    <row r="271" spans="1:7" x14ac:dyDescent="0.2">
      <c r="A271" s="2" t="s">
        <v>10</v>
      </c>
      <c r="B271" s="14">
        <v>39114</v>
      </c>
      <c r="C271" s="2">
        <v>-2.3592618547E-2</v>
      </c>
      <c r="D271" s="2">
        <v>5.8893330000000003E-4</v>
      </c>
      <c r="E271" s="2">
        <v>1</v>
      </c>
      <c r="F271" s="2">
        <v>3.34595086057973E-2</v>
      </c>
      <c r="G271" s="2">
        <v>2</v>
      </c>
    </row>
    <row r="272" spans="1:7" x14ac:dyDescent="0.2">
      <c r="A272" s="2" t="s">
        <v>10</v>
      </c>
      <c r="B272" s="14">
        <v>39142</v>
      </c>
      <c r="C272" s="2">
        <v>0.17464114833</v>
      </c>
      <c r="D272" s="2">
        <v>3.0281497000000002E-4</v>
      </c>
      <c r="E272" s="2">
        <v>1</v>
      </c>
      <c r="F272" s="2">
        <v>3.3170305967812397E-2</v>
      </c>
      <c r="G272" s="2">
        <v>2</v>
      </c>
    </row>
    <row r="273" spans="1:7" x14ac:dyDescent="0.2">
      <c r="A273" s="2" t="s">
        <v>10</v>
      </c>
      <c r="B273" s="14">
        <v>39173</v>
      </c>
      <c r="C273" s="2">
        <v>0.10488798370000001</v>
      </c>
      <c r="D273" s="19">
        <v>-1.3627042E-5</v>
      </c>
      <c r="E273" s="2">
        <v>1</v>
      </c>
      <c r="F273" s="2">
        <v>3.8044122788341198E-2</v>
      </c>
      <c r="G273" s="2">
        <v>2</v>
      </c>
    </row>
    <row r="274" spans="1:7" x14ac:dyDescent="0.2">
      <c r="A274" s="2" t="s">
        <v>10</v>
      </c>
      <c r="B274" s="14">
        <v>39203</v>
      </c>
      <c r="C274" s="2">
        <v>0.11569753948</v>
      </c>
      <c r="D274" s="2">
        <v>1.8464326000000001E-4</v>
      </c>
      <c r="E274" s="2">
        <v>1</v>
      </c>
      <c r="F274" s="2">
        <v>3.99081051381198E-2</v>
      </c>
      <c r="G274" s="2">
        <v>2</v>
      </c>
    </row>
    <row r="275" spans="1:7" x14ac:dyDescent="0.2">
      <c r="A275" s="2" t="s">
        <v>10</v>
      </c>
      <c r="B275" s="14">
        <v>39234</v>
      </c>
      <c r="C275" s="2">
        <v>2.5350684469E-2</v>
      </c>
      <c r="D275" s="2">
        <v>7.8912877000000001E-4</v>
      </c>
      <c r="E275" s="2">
        <v>1</v>
      </c>
      <c r="F275" s="2">
        <v>3.9497446364273298E-2</v>
      </c>
      <c r="G275" s="2">
        <v>2</v>
      </c>
    </row>
    <row r="276" spans="1:7" x14ac:dyDescent="0.2">
      <c r="A276" s="2" t="s">
        <v>10</v>
      </c>
      <c r="B276" s="14">
        <v>39264</v>
      </c>
      <c r="C276" s="2">
        <v>-4.8953354210000001E-2</v>
      </c>
      <c r="D276" s="2">
        <v>0</v>
      </c>
      <c r="E276" s="2">
        <v>1</v>
      </c>
      <c r="F276" s="2">
        <v>4.01399657302874E-2</v>
      </c>
      <c r="G276" s="2">
        <v>2</v>
      </c>
    </row>
    <row r="277" spans="1:7" x14ac:dyDescent="0.2">
      <c r="A277" s="2" t="s">
        <v>10</v>
      </c>
      <c r="B277" s="14">
        <v>39295</v>
      </c>
      <c r="C277" s="2">
        <v>9.1854419409999999E-2</v>
      </c>
      <c r="D277" s="2">
        <v>5.5392976999999995E-4</v>
      </c>
      <c r="E277" s="2">
        <v>1</v>
      </c>
      <c r="F277" s="2">
        <v>3.0998176300753098E-2</v>
      </c>
      <c r="G277" s="2">
        <v>2</v>
      </c>
    </row>
    <row r="278" spans="1:7" x14ac:dyDescent="0.2">
      <c r="A278" s="2" t="s">
        <v>10</v>
      </c>
      <c r="B278" s="14">
        <v>39326</v>
      </c>
      <c r="C278" s="2">
        <v>-7.1428571428000007E-2</v>
      </c>
      <c r="D278" s="2">
        <v>0</v>
      </c>
      <c r="E278" s="2">
        <v>1</v>
      </c>
      <c r="F278" s="2">
        <v>3.4085927754961901E-2</v>
      </c>
      <c r="G278" s="2">
        <v>2</v>
      </c>
    </row>
    <row r="279" spans="1:7" x14ac:dyDescent="0.2">
      <c r="A279" s="2" t="s">
        <v>10</v>
      </c>
      <c r="B279" s="14">
        <v>39356</v>
      </c>
      <c r="C279" s="2">
        <v>-1.8290598291999999E-2</v>
      </c>
      <c r="D279" s="2">
        <v>3.5992872999999998E-4</v>
      </c>
      <c r="E279" s="2">
        <v>1</v>
      </c>
      <c r="F279" s="2">
        <v>2.7285923644045699E-2</v>
      </c>
      <c r="G279" s="2">
        <v>2</v>
      </c>
    </row>
    <row r="280" spans="1:7" x14ac:dyDescent="0.2">
      <c r="A280" s="2" t="s">
        <v>10</v>
      </c>
      <c r="B280" s="14">
        <v>39387</v>
      </c>
      <c r="C280" s="2">
        <v>-5.1018631377000002E-2</v>
      </c>
      <c r="D280" s="2">
        <v>0</v>
      </c>
      <c r="E280" s="2">
        <v>1</v>
      </c>
      <c r="F280" s="2">
        <v>2.3819076545976401E-2</v>
      </c>
      <c r="G280" s="2">
        <v>2</v>
      </c>
    </row>
    <row r="281" spans="1:7" x14ac:dyDescent="0.2">
      <c r="A281" s="2" t="s">
        <v>10</v>
      </c>
      <c r="B281" s="14">
        <v>39417</v>
      </c>
      <c r="C281" s="2">
        <v>-2.4036697248000002E-2</v>
      </c>
      <c r="D281" s="2">
        <v>4.4314383E-4</v>
      </c>
      <c r="E281" s="2">
        <v>1</v>
      </c>
      <c r="F281" s="2">
        <v>1.9169160117357802E-2</v>
      </c>
      <c r="G281" s="2">
        <v>2</v>
      </c>
    </row>
    <row r="282" spans="1:7" x14ac:dyDescent="0.2">
      <c r="A282" s="2" t="s">
        <v>10</v>
      </c>
      <c r="B282" s="14">
        <v>39448</v>
      </c>
      <c r="C282" s="2">
        <v>-2.2372626433999999E-2</v>
      </c>
      <c r="D282" s="2">
        <v>3.4904509999999999E-3</v>
      </c>
      <c r="E282" s="2">
        <v>1</v>
      </c>
      <c r="F282" s="2">
        <v>1.78207156729305E-2</v>
      </c>
      <c r="G282" s="2">
        <v>2</v>
      </c>
    </row>
    <row r="283" spans="1:7" x14ac:dyDescent="0.2">
      <c r="A283" s="2" t="s">
        <v>10</v>
      </c>
      <c r="B283" s="14">
        <v>39479</v>
      </c>
      <c r="C283" s="2">
        <v>-2.5000000000000001E-2</v>
      </c>
      <c r="D283" s="2">
        <v>3.6928651E-4</v>
      </c>
      <c r="E283" s="2">
        <v>1</v>
      </c>
      <c r="F283" s="2">
        <v>1.8314916459344101E-2</v>
      </c>
      <c r="G283" s="2">
        <v>2</v>
      </c>
    </row>
    <row r="284" spans="1:7" x14ac:dyDescent="0.2">
      <c r="A284" s="2" t="s">
        <v>10</v>
      </c>
      <c r="B284" s="14">
        <v>39508</v>
      </c>
      <c r="C284" s="2">
        <v>5.9171597641000002E-3</v>
      </c>
      <c r="D284" s="2">
        <v>8.7187606999999997E-3</v>
      </c>
      <c r="E284" s="2">
        <v>1</v>
      </c>
      <c r="F284" s="2">
        <v>1.4997855092134801E-2</v>
      </c>
      <c r="G284" s="2">
        <v>2</v>
      </c>
    </row>
    <row r="285" spans="1:7" x14ac:dyDescent="0.2">
      <c r="A285" s="2" t="s">
        <v>10</v>
      </c>
      <c r="B285" s="14">
        <v>39539</v>
      </c>
      <c r="C285" s="2">
        <v>9.8039215681999994E-3</v>
      </c>
      <c r="D285" s="2">
        <v>2.9868032000000002E-3</v>
      </c>
      <c r="E285" s="2">
        <v>1</v>
      </c>
      <c r="F285" s="2">
        <v>1.6914721438343799E-2</v>
      </c>
      <c r="G285" s="2">
        <v>2</v>
      </c>
    </row>
    <row r="286" spans="1:7" x14ac:dyDescent="0.2">
      <c r="A286" s="2" t="s">
        <v>10</v>
      </c>
      <c r="B286" s="14">
        <v>39569</v>
      </c>
      <c r="C286" s="2">
        <v>-1.4692396722E-2</v>
      </c>
      <c r="D286" s="2">
        <v>1.1025531000000001E-3</v>
      </c>
      <c r="E286" s="2">
        <v>1</v>
      </c>
      <c r="F286" s="2">
        <v>1.75575161020727E-2</v>
      </c>
      <c r="G286" s="2">
        <v>2</v>
      </c>
    </row>
    <row r="287" spans="1:7" x14ac:dyDescent="0.2">
      <c r="A287" s="2" t="s">
        <v>10</v>
      </c>
      <c r="B287" s="14">
        <v>39600</v>
      </c>
      <c r="C287" s="2">
        <v>7.561823013E-3</v>
      </c>
      <c r="D287" s="2">
        <v>7.0903014000000002E-4</v>
      </c>
      <c r="E287" s="2">
        <v>1</v>
      </c>
      <c r="F287" s="2">
        <v>1.84669825562368E-2</v>
      </c>
      <c r="G287" s="2">
        <v>2</v>
      </c>
    </row>
    <row r="288" spans="1:7" x14ac:dyDescent="0.2">
      <c r="A288" s="2" t="s">
        <v>10</v>
      </c>
      <c r="B288" s="14">
        <v>39630</v>
      </c>
      <c r="C288" s="2">
        <v>4.0567951328000004E-3</v>
      </c>
      <c r="D288" s="2">
        <v>3.1167782999999998E-3</v>
      </c>
      <c r="E288" s="2">
        <v>1</v>
      </c>
      <c r="F288" s="2">
        <v>1.9341718960713E-2</v>
      </c>
      <c r="G288" s="2">
        <v>2</v>
      </c>
    </row>
    <row r="289" spans="1:7" x14ac:dyDescent="0.2">
      <c r="A289" s="2" t="s">
        <v>10</v>
      </c>
      <c r="B289" s="14">
        <v>39661</v>
      </c>
      <c r="C289" s="2">
        <v>-5.0505050503999997E-2</v>
      </c>
      <c r="D289" s="2">
        <v>2.8827446999999998E-3</v>
      </c>
      <c r="E289" s="2">
        <v>1</v>
      </c>
      <c r="F289" s="2">
        <v>1.50373469042435E-2</v>
      </c>
      <c r="G289" s="2">
        <v>2</v>
      </c>
    </row>
    <row r="290" spans="1:7" x14ac:dyDescent="0.2">
      <c r="A290" s="2" t="s">
        <v>10</v>
      </c>
      <c r="B290" s="14">
        <v>39692</v>
      </c>
      <c r="C290" s="2">
        <v>-5.3191489362000001E-2</v>
      </c>
      <c r="D290" s="2">
        <v>1.0717255000000001E-3</v>
      </c>
      <c r="E290" s="2">
        <v>1</v>
      </c>
      <c r="F290" s="2">
        <v>1.41575843714845E-2</v>
      </c>
      <c r="G290" s="2">
        <v>2</v>
      </c>
    </row>
    <row r="291" spans="1:7" x14ac:dyDescent="0.2">
      <c r="A291" s="2" t="s">
        <v>10</v>
      </c>
      <c r="B291" s="14">
        <v>39722</v>
      </c>
      <c r="C291" s="2">
        <v>5.6179775282000001E-2</v>
      </c>
      <c r="D291" s="2">
        <v>4.9649300000000002E-3</v>
      </c>
      <c r="E291" s="2">
        <v>1</v>
      </c>
      <c r="F291" s="2">
        <v>1.2521126861511101E-2</v>
      </c>
      <c r="G291" s="2">
        <v>2</v>
      </c>
    </row>
    <row r="292" spans="1:7" x14ac:dyDescent="0.2">
      <c r="A292" s="2" t="s">
        <v>10</v>
      </c>
      <c r="B292" s="14">
        <v>39753</v>
      </c>
      <c r="C292" s="2">
        <v>-1.9148936171000001E-2</v>
      </c>
      <c r="D292" s="2">
        <v>9.3827248000000005E-3</v>
      </c>
      <c r="E292" s="2">
        <v>1</v>
      </c>
      <c r="F292" s="2">
        <v>1.38982049918028E-2</v>
      </c>
      <c r="G292" s="2">
        <v>2</v>
      </c>
    </row>
    <row r="293" spans="1:7" x14ac:dyDescent="0.2">
      <c r="A293" s="2" t="s">
        <v>10</v>
      </c>
      <c r="B293" s="14">
        <v>39783</v>
      </c>
      <c r="C293" s="2">
        <v>4.0329363850000001E-2</v>
      </c>
      <c r="D293" s="2">
        <v>1.7282609E-3</v>
      </c>
      <c r="E293" s="2">
        <v>1</v>
      </c>
      <c r="F293" s="2">
        <v>1.37723837265237E-2</v>
      </c>
      <c r="G293" s="2">
        <v>2</v>
      </c>
    </row>
    <row r="294" spans="1:7" x14ac:dyDescent="0.2">
      <c r="A294" s="2" t="s">
        <v>11</v>
      </c>
      <c r="B294" s="14">
        <v>37591</v>
      </c>
      <c r="C294" s="2">
        <v>0.11726922981</v>
      </c>
      <c r="D294" s="2">
        <v>2.8795649999999997E-4</v>
      </c>
      <c r="E294" s="2">
        <v>1</v>
      </c>
      <c r="G294" s="2">
        <v>2</v>
      </c>
    </row>
    <row r="295" spans="1:7" x14ac:dyDescent="0.2">
      <c r="A295" s="2" t="s">
        <v>11</v>
      </c>
      <c r="B295" s="14">
        <v>37622</v>
      </c>
      <c r="C295" s="2">
        <v>-6.3703088207999999E-3</v>
      </c>
      <c r="D295" s="2">
        <v>-1.4756512E-3</v>
      </c>
      <c r="E295" s="2">
        <v>1</v>
      </c>
      <c r="G295" s="2">
        <v>2</v>
      </c>
    </row>
    <row r="296" spans="1:7" x14ac:dyDescent="0.2">
      <c r="A296" s="2" t="s">
        <v>11</v>
      </c>
      <c r="B296" s="14">
        <v>37653</v>
      </c>
      <c r="C296" s="2">
        <v>-6.0975609766999997E-3</v>
      </c>
      <c r="D296" s="2">
        <v>6.3622148999999996E-4</v>
      </c>
      <c r="E296" s="2">
        <v>1</v>
      </c>
      <c r="G296" s="2">
        <v>2</v>
      </c>
    </row>
    <row r="297" spans="1:7" x14ac:dyDescent="0.2">
      <c r="A297" s="2" t="s">
        <v>11</v>
      </c>
      <c r="B297" s="14">
        <v>37681</v>
      </c>
      <c r="C297" s="2">
        <v>1.8404907976000001E-2</v>
      </c>
      <c r="D297" s="2">
        <v>7.3340744999999998E-4</v>
      </c>
      <c r="E297" s="2">
        <v>1</v>
      </c>
      <c r="G297" s="2">
        <v>2</v>
      </c>
    </row>
    <row r="298" spans="1:7" x14ac:dyDescent="0.2">
      <c r="A298" s="2" t="s">
        <v>11</v>
      </c>
      <c r="B298" s="14">
        <v>37712</v>
      </c>
      <c r="C298" s="2">
        <v>0.15663703766000001</v>
      </c>
      <c r="D298" s="2">
        <v>-1.7324571E-3</v>
      </c>
      <c r="E298" s="2">
        <v>1</v>
      </c>
      <c r="G298" s="2">
        <v>2</v>
      </c>
    </row>
    <row r="299" spans="1:7" x14ac:dyDescent="0.2">
      <c r="A299" s="2" t="s">
        <v>11</v>
      </c>
      <c r="B299" s="14">
        <v>37742</v>
      </c>
      <c r="C299" s="2">
        <v>7.5566256964999995E-2</v>
      </c>
      <c r="D299" s="2">
        <v>-2.5070181999999998E-3</v>
      </c>
      <c r="E299" s="2">
        <v>1</v>
      </c>
      <c r="G299" s="2">
        <v>2</v>
      </c>
    </row>
    <row r="300" spans="1:7" x14ac:dyDescent="0.2">
      <c r="A300" s="2" t="s">
        <v>11</v>
      </c>
      <c r="B300" s="14">
        <v>37773</v>
      </c>
      <c r="C300" s="2">
        <v>-8.1632653060999996E-2</v>
      </c>
      <c r="D300" s="2">
        <v>-2.1527619E-4</v>
      </c>
      <c r="E300" s="2">
        <v>1</v>
      </c>
      <c r="G300" s="2">
        <v>2</v>
      </c>
    </row>
    <row r="301" spans="1:7" x14ac:dyDescent="0.2">
      <c r="A301" s="2" t="s">
        <v>11</v>
      </c>
      <c r="B301" s="14">
        <v>37803</v>
      </c>
      <c r="C301" s="2">
        <v>7.2322188070999993E-2</v>
      </c>
      <c r="D301" s="2">
        <v>-2.2018362000000001E-4</v>
      </c>
      <c r="E301" s="2">
        <v>1</v>
      </c>
      <c r="G301" s="2">
        <v>2</v>
      </c>
    </row>
    <row r="302" spans="1:7" x14ac:dyDescent="0.2">
      <c r="A302" s="2" t="s">
        <v>11</v>
      </c>
      <c r="B302" s="14">
        <v>37834</v>
      </c>
      <c r="C302" s="2">
        <v>-3.125E-2</v>
      </c>
      <c r="D302" s="2">
        <v>1.2675539999999999E-3</v>
      </c>
      <c r="E302" s="2">
        <v>1</v>
      </c>
      <c r="F302" s="2">
        <v>2.0339045024593501E-2</v>
      </c>
      <c r="G302" s="2">
        <v>2</v>
      </c>
    </row>
    <row r="303" spans="1:7" x14ac:dyDescent="0.2">
      <c r="A303" s="2" t="s">
        <v>11</v>
      </c>
      <c r="B303" s="14">
        <v>37865</v>
      </c>
      <c r="C303" s="2">
        <v>-2.1505376335E-3</v>
      </c>
      <c r="D303" s="2">
        <v>7.6823430999999997E-4</v>
      </c>
      <c r="E303" s="2">
        <v>1</v>
      </c>
      <c r="F303" s="2">
        <v>1.96671748869072E-2</v>
      </c>
      <c r="G303" s="2">
        <v>2</v>
      </c>
    </row>
    <row r="304" spans="1:7" x14ac:dyDescent="0.2">
      <c r="A304" s="2" t="s">
        <v>11</v>
      </c>
      <c r="B304" s="14">
        <v>37895</v>
      </c>
      <c r="C304" s="2">
        <v>0.16862880886000001</v>
      </c>
      <c r="D304" s="2">
        <v>9.4355654000000003E-4</v>
      </c>
      <c r="E304" s="2">
        <v>1</v>
      </c>
      <c r="F304" s="2">
        <v>1.89655918155919E-2</v>
      </c>
      <c r="G304" s="2">
        <v>2</v>
      </c>
    </row>
    <row r="305" spans="1:7" x14ac:dyDescent="0.2">
      <c r="A305" s="2" t="s">
        <v>11</v>
      </c>
      <c r="B305" s="14">
        <v>37926</v>
      </c>
      <c r="C305" s="2">
        <v>-8.3333333332999998E-2</v>
      </c>
      <c r="D305" s="2">
        <v>9.0362620999999996E-4</v>
      </c>
      <c r="E305" s="2">
        <v>1</v>
      </c>
      <c r="F305" s="2">
        <v>1.9163581608840699E-2</v>
      </c>
      <c r="G305" s="2">
        <v>2</v>
      </c>
    </row>
    <row r="306" spans="1:7" x14ac:dyDescent="0.2">
      <c r="A306" s="2" t="s">
        <v>11</v>
      </c>
      <c r="B306" s="14">
        <v>37956</v>
      </c>
      <c r="C306" s="2">
        <v>5.0505050505000003E-2</v>
      </c>
      <c r="D306" s="2">
        <v>9.9252699999999999E-4</v>
      </c>
      <c r="E306" s="2">
        <v>1</v>
      </c>
      <c r="F306" s="2">
        <v>1.48334001142531E-2</v>
      </c>
      <c r="G306" s="2">
        <v>2</v>
      </c>
    </row>
    <row r="307" spans="1:7" x14ac:dyDescent="0.2">
      <c r="A307" s="2" t="s">
        <v>11</v>
      </c>
      <c r="B307" s="14">
        <v>37987</v>
      </c>
      <c r="C307" s="2">
        <v>6.2327920436000002E-2</v>
      </c>
      <c r="E307" s="2">
        <v>1</v>
      </c>
      <c r="F307" s="2">
        <v>1.8460151380286598E-2</v>
      </c>
      <c r="G307" s="2">
        <v>2</v>
      </c>
    </row>
    <row r="308" spans="1:7" x14ac:dyDescent="0.2">
      <c r="A308" s="2" t="s">
        <v>11</v>
      </c>
      <c r="B308" s="14">
        <v>38018</v>
      </c>
      <c r="C308" s="2">
        <v>9.0909090910000004E-2</v>
      </c>
      <c r="E308" s="2">
        <v>1</v>
      </c>
      <c r="F308" s="2">
        <v>1.80518800579616E-2</v>
      </c>
      <c r="G308" s="2">
        <v>2</v>
      </c>
    </row>
    <row r="309" spans="1:7" x14ac:dyDescent="0.2">
      <c r="A309" s="2" t="s">
        <v>11</v>
      </c>
      <c r="B309" s="14">
        <v>38047</v>
      </c>
      <c r="C309" s="2">
        <v>-7.4999999999999997E-2</v>
      </c>
      <c r="D309" s="2">
        <v>1.628179E-3</v>
      </c>
      <c r="E309" s="2">
        <v>1</v>
      </c>
      <c r="F309" s="2">
        <v>2.1410411580147799E-2</v>
      </c>
      <c r="G309" s="2">
        <v>2</v>
      </c>
    </row>
    <row r="310" spans="1:7" x14ac:dyDescent="0.2">
      <c r="A310" s="2" t="s">
        <v>11</v>
      </c>
      <c r="B310" s="14">
        <v>38078</v>
      </c>
      <c r="C310" s="2">
        <v>0.12160353124000001</v>
      </c>
      <c r="D310" s="2">
        <v>1.2986334999999999E-3</v>
      </c>
      <c r="E310" s="2">
        <v>1</v>
      </c>
      <c r="F310" s="2">
        <v>1.9579634989063E-2</v>
      </c>
      <c r="G310" s="2">
        <v>2</v>
      </c>
    </row>
    <row r="311" spans="1:7" x14ac:dyDescent="0.2">
      <c r="A311" s="2" t="s">
        <v>11</v>
      </c>
      <c r="B311" s="14">
        <v>38108</v>
      </c>
      <c r="C311" s="2">
        <v>-2.6659557352E-4</v>
      </c>
      <c r="D311" s="2">
        <v>7.1627151999999997E-4</v>
      </c>
      <c r="E311" s="2">
        <v>1</v>
      </c>
      <c r="F311" s="2">
        <v>1.7933636821603399E-2</v>
      </c>
      <c r="G311" s="2">
        <v>2</v>
      </c>
    </row>
    <row r="312" spans="1:7" x14ac:dyDescent="0.2">
      <c r="A312" s="2" t="s">
        <v>11</v>
      </c>
      <c r="B312" s="14">
        <v>38139</v>
      </c>
      <c r="C312" s="2">
        <v>8.3333333332000006E-2</v>
      </c>
      <c r="D312" s="2">
        <v>2.2384138000000001E-3</v>
      </c>
      <c r="E312" s="2">
        <v>1</v>
      </c>
      <c r="F312" s="2">
        <v>2.0412408841973401E-2</v>
      </c>
      <c r="G312" s="2">
        <v>2</v>
      </c>
    </row>
    <row r="313" spans="1:7" x14ac:dyDescent="0.2">
      <c r="A313" s="2" t="s">
        <v>11</v>
      </c>
      <c r="B313" s="14">
        <v>38169</v>
      </c>
      <c r="C313" s="2">
        <v>3.7537912170999999E-2</v>
      </c>
      <c r="D313" s="2">
        <v>9.1360550000000001E-4</v>
      </c>
      <c r="E313" s="2">
        <v>1</v>
      </c>
      <c r="F313" s="2">
        <v>2.1128005778714098E-2</v>
      </c>
      <c r="G313" s="2">
        <v>2</v>
      </c>
    </row>
    <row r="314" spans="1:7" x14ac:dyDescent="0.2">
      <c r="A314" s="2" t="s">
        <v>11</v>
      </c>
      <c r="B314" s="14">
        <v>38200</v>
      </c>
      <c r="C314" s="2">
        <v>-3.2738095238000003E-2</v>
      </c>
      <c r="D314" s="2">
        <v>1.332616E-3</v>
      </c>
      <c r="E314" s="2">
        <v>1</v>
      </c>
      <c r="F314" s="2">
        <v>1.1887448609632E-2</v>
      </c>
      <c r="G314" s="2">
        <v>2</v>
      </c>
    </row>
    <row r="315" spans="1:7" x14ac:dyDescent="0.2">
      <c r="A315" s="2" t="s">
        <v>11</v>
      </c>
      <c r="B315" s="14">
        <v>38231</v>
      </c>
      <c r="C315" s="2">
        <v>-3.0769230769999999E-2</v>
      </c>
      <c r="D315" s="2">
        <v>1.4336926999999999E-4</v>
      </c>
      <c r="E315" s="2">
        <v>1</v>
      </c>
      <c r="F315" s="2">
        <v>8.3575805863213108E-3</v>
      </c>
      <c r="G315" s="2">
        <v>2</v>
      </c>
    </row>
    <row r="316" spans="1:7" x14ac:dyDescent="0.2">
      <c r="A316" s="2" t="s">
        <v>11</v>
      </c>
      <c r="B316" s="14">
        <v>38261</v>
      </c>
      <c r="C316" s="2">
        <v>1.1806364951999999E-2</v>
      </c>
      <c r="D316" s="2">
        <v>5.9359212000000005E-4</v>
      </c>
      <c r="E316" s="2">
        <v>1</v>
      </c>
      <c r="F316" s="2">
        <v>9.6808465808418606E-3</v>
      </c>
      <c r="G316" s="2">
        <v>2</v>
      </c>
    </row>
    <row r="317" spans="1:7" x14ac:dyDescent="0.2">
      <c r="A317" s="2" t="s">
        <v>11</v>
      </c>
      <c r="B317" s="14">
        <v>38292</v>
      </c>
      <c r="C317" s="2">
        <v>-1.1811023622999999E-2</v>
      </c>
      <c r="D317" s="2">
        <v>2.5254416E-3</v>
      </c>
      <c r="E317" s="2">
        <v>1</v>
      </c>
      <c r="F317" s="2">
        <v>6.19950458157711E-3</v>
      </c>
      <c r="G317" s="2">
        <v>2</v>
      </c>
    </row>
    <row r="318" spans="1:7" x14ac:dyDescent="0.2">
      <c r="A318" s="2" t="s">
        <v>11</v>
      </c>
      <c r="B318" s="14">
        <v>38322</v>
      </c>
      <c r="C318" s="2">
        <v>-1.9920318725E-2</v>
      </c>
      <c r="D318" s="2">
        <v>2.8966444E-3</v>
      </c>
      <c r="E318" s="2">
        <v>1</v>
      </c>
      <c r="F318" s="2">
        <v>5.7830709593575703E-3</v>
      </c>
      <c r="G318" s="2">
        <v>2</v>
      </c>
    </row>
    <row r="319" spans="1:7" x14ac:dyDescent="0.2">
      <c r="A319" s="2" t="s">
        <v>11</v>
      </c>
      <c r="B319" s="14">
        <v>38353</v>
      </c>
      <c r="C319" s="2">
        <v>-3.7564943518999999E-2</v>
      </c>
      <c r="D319" s="2">
        <v>1.1051297000000001E-3</v>
      </c>
      <c r="E319" s="2">
        <v>1</v>
      </c>
      <c r="F319" s="2">
        <v>2.8195947588835401E-3</v>
      </c>
      <c r="G319" s="2">
        <v>2</v>
      </c>
    </row>
    <row r="320" spans="1:7" x14ac:dyDescent="0.2">
      <c r="A320" s="2" t="s">
        <v>11</v>
      </c>
      <c r="B320" s="14">
        <v>38384</v>
      </c>
      <c r="C320" s="2">
        <v>5.1738761664000002E-2</v>
      </c>
      <c r="D320" s="2">
        <v>4.1320468999999998E-4</v>
      </c>
      <c r="E320" s="2">
        <v>1</v>
      </c>
      <c r="F320" s="2">
        <v>7.1572694775487997E-4</v>
      </c>
      <c r="G320" s="2">
        <v>2</v>
      </c>
    </row>
    <row r="321" spans="1:7" x14ac:dyDescent="0.2">
      <c r="A321" s="2" t="s">
        <v>11</v>
      </c>
      <c r="B321" s="14">
        <v>38412</v>
      </c>
      <c r="C321" s="2">
        <v>-8.0645161296999997E-3</v>
      </c>
      <c r="D321" s="2">
        <v>1.4418634E-3</v>
      </c>
      <c r="E321" s="2">
        <v>1</v>
      </c>
      <c r="F321" s="2">
        <v>2.9788745995653699E-3</v>
      </c>
      <c r="G321" s="2">
        <v>2</v>
      </c>
    </row>
    <row r="322" spans="1:7" x14ac:dyDescent="0.2">
      <c r="A322" s="2" t="s">
        <v>11</v>
      </c>
      <c r="B322" s="14">
        <v>38443</v>
      </c>
      <c r="C322" s="2">
        <v>-2.8602081497000002E-2</v>
      </c>
      <c r="D322" s="2">
        <v>-1.9886894999999999E-4</v>
      </c>
      <c r="E322" s="2">
        <v>1</v>
      </c>
      <c r="F322" s="2">
        <v>3.5138231819480999E-3</v>
      </c>
      <c r="G322" s="2">
        <v>2</v>
      </c>
    </row>
    <row r="323" spans="1:7" x14ac:dyDescent="0.2">
      <c r="A323" s="2" t="s">
        <v>11</v>
      </c>
      <c r="B323" s="14">
        <v>38473</v>
      </c>
      <c r="C323" s="2">
        <v>6.6851482843000003E-3</v>
      </c>
      <c r="D323" s="2">
        <v>2.4064727999999999E-4</v>
      </c>
      <c r="E323" s="2">
        <v>1</v>
      </c>
      <c r="F323" s="2">
        <v>2.1665170600290201E-3</v>
      </c>
      <c r="G323" s="2">
        <v>2</v>
      </c>
    </row>
    <row r="324" spans="1:7" x14ac:dyDescent="0.2">
      <c r="A324" s="2" t="s">
        <v>11</v>
      </c>
      <c r="B324" s="14">
        <v>38504</v>
      </c>
      <c r="C324" s="2">
        <v>7.0796460177000003E-2</v>
      </c>
      <c r="D324" s="2">
        <v>1.1427265999999999E-3</v>
      </c>
      <c r="E324" s="2">
        <v>1</v>
      </c>
      <c r="F324" s="2">
        <v>2.7837953780785601E-3</v>
      </c>
      <c r="G324" s="2">
        <v>2</v>
      </c>
    </row>
    <row r="325" spans="1:7" x14ac:dyDescent="0.2">
      <c r="A325" s="2" t="s">
        <v>11</v>
      </c>
      <c r="B325" s="14">
        <v>38534</v>
      </c>
      <c r="C325" s="2">
        <v>0.11159026029999999</v>
      </c>
      <c r="D325" s="2">
        <v>2.4904819999999999E-4</v>
      </c>
      <c r="E325" s="2">
        <v>1</v>
      </c>
      <c r="F325" s="2">
        <v>5.2319459260516902E-3</v>
      </c>
      <c r="G325" s="2">
        <v>2</v>
      </c>
    </row>
    <row r="326" spans="1:7" x14ac:dyDescent="0.2">
      <c r="A326" s="2" t="s">
        <v>11</v>
      </c>
      <c r="B326" s="14">
        <v>38565</v>
      </c>
      <c r="C326" s="2">
        <v>-2.9850746268000002E-2</v>
      </c>
      <c r="D326" s="2">
        <v>-3.9337630999999998E-4</v>
      </c>
      <c r="E326" s="2">
        <v>1</v>
      </c>
      <c r="F326" s="2">
        <v>5.3192916730462302E-3</v>
      </c>
      <c r="G326" s="2">
        <v>2</v>
      </c>
    </row>
    <row r="327" spans="1:7" x14ac:dyDescent="0.2">
      <c r="A327" s="2" t="s">
        <v>11</v>
      </c>
      <c r="B327" s="14">
        <v>38596</v>
      </c>
      <c r="C327" s="2">
        <v>6.4615384615999999E-2</v>
      </c>
      <c r="D327" s="2">
        <v>1.7657739999999999E-3</v>
      </c>
      <c r="E327" s="2">
        <v>1</v>
      </c>
      <c r="F327" s="2">
        <v>3.0857942384355098E-3</v>
      </c>
      <c r="G327" s="2">
        <v>2</v>
      </c>
    </row>
    <row r="328" spans="1:7" x14ac:dyDescent="0.2">
      <c r="A328" s="2" t="s">
        <v>11</v>
      </c>
      <c r="B328" s="14">
        <v>38626</v>
      </c>
      <c r="C328" s="2">
        <v>-0.13696210661</v>
      </c>
      <c r="D328" s="19">
        <v>-4.4299786000000002E-6</v>
      </c>
      <c r="E328" s="2">
        <v>1</v>
      </c>
      <c r="F328" s="2">
        <v>5.0824276565835796E-3</v>
      </c>
      <c r="G328" s="2">
        <v>2</v>
      </c>
    </row>
    <row r="329" spans="1:7" x14ac:dyDescent="0.2">
      <c r="A329" s="2" t="s">
        <v>11</v>
      </c>
      <c r="B329" s="14">
        <v>38657</v>
      </c>
      <c r="C329" s="2">
        <v>2.7647058825000001E-2</v>
      </c>
      <c r="D329" s="19">
        <v>5.8005360000000003E-5</v>
      </c>
      <c r="E329" s="2">
        <v>1</v>
      </c>
      <c r="F329" s="2">
        <v>2.5751689748017498E-3</v>
      </c>
      <c r="G329" s="2">
        <v>2</v>
      </c>
    </row>
    <row r="330" spans="1:7" x14ac:dyDescent="0.2">
      <c r="A330" s="2" t="s">
        <v>11</v>
      </c>
      <c r="B330" s="14">
        <v>38687</v>
      </c>
      <c r="C330" s="2">
        <v>-5.9612396763000002E-2</v>
      </c>
      <c r="D330" s="2">
        <v>1.4931409000000001E-3</v>
      </c>
      <c r="E330" s="2">
        <v>1</v>
      </c>
      <c r="F330" s="2">
        <v>3.1635214469378499E-3</v>
      </c>
      <c r="G330" s="2">
        <v>2</v>
      </c>
    </row>
    <row r="331" spans="1:7" x14ac:dyDescent="0.2">
      <c r="A331" s="2" t="s">
        <v>11</v>
      </c>
      <c r="B331" s="14">
        <v>38718</v>
      </c>
      <c r="C331" s="2">
        <v>-1.3229177858000001E-2</v>
      </c>
      <c r="D331" s="19">
        <v>-6.9987873000000001E-5</v>
      </c>
      <c r="E331" s="2">
        <v>1</v>
      </c>
      <c r="F331" s="2">
        <v>-4.3515966755314E-4</v>
      </c>
      <c r="G331" s="2">
        <v>2</v>
      </c>
    </row>
    <row r="332" spans="1:7" x14ac:dyDescent="0.2">
      <c r="A332" s="2" t="s">
        <v>11</v>
      </c>
      <c r="B332" s="14">
        <v>38749</v>
      </c>
      <c r="C332" s="2">
        <v>3.9823008850000001E-2</v>
      </c>
      <c r="D332" s="2">
        <v>1.3824414E-3</v>
      </c>
      <c r="E332" s="2">
        <v>1</v>
      </c>
      <c r="F332" s="2">
        <v>-4.0253739094502101E-3</v>
      </c>
      <c r="G332" s="2">
        <v>2</v>
      </c>
    </row>
    <row r="333" spans="1:7" x14ac:dyDescent="0.2">
      <c r="A333" s="2" t="s">
        <v>11</v>
      </c>
      <c r="B333" s="14">
        <v>38777</v>
      </c>
      <c r="C333" s="2">
        <v>4.6808510639000003E-2</v>
      </c>
      <c r="D333" s="2">
        <v>1.0853118999999999E-3</v>
      </c>
      <c r="E333" s="2">
        <v>1</v>
      </c>
      <c r="F333" s="2">
        <v>-2.1345061653934602E-3</v>
      </c>
      <c r="G333" s="2">
        <v>2</v>
      </c>
    </row>
    <row r="334" spans="1:7" x14ac:dyDescent="0.2">
      <c r="A334" s="2" t="s">
        <v>11</v>
      </c>
      <c r="B334" s="14">
        <v>38808</v>
      </c>
      <c r="C334" s="2">
        <v>-2.3090561533999999E-2</v>
      </c>
      <c r="D334" s="2">
        <v>2.2328250999999999E-4</v>
      </c>
      <c r="E334" s="2">
        <v>1</v>
      </c>
      <c r="F334" s="2">
        <v>-2.7033378025876102E-3</v>
      </c>
      <c r="G334" s="2">
        <v>2</v>
      </c>
    </row>
    <row r="335" spans="1:7" x14ac:dyDescent="0.2">
      <c r="A335" s="2" t="s">
        <v>11</v>
      </c>
      <c r="B335" s="14">
        <v>38838</v>
      </c>
      <c r="C335" s="2">
        <v>3.7071838877000003E-2</v>
      </c>
      <c r="D335" s="2">
        <v>3.8036523999999998E-4</v>
      </c>
      <c r="E335" s="2">
        <v>1</v>
      </c>
      <c r="F335" s="2">
        <v>6.1346629158553698E-4</v>
      </c>
      <c r="G335" s="2">
        <v>2</v>
      </c>
    </row>
    <row r="336" spans="1:7" x14ac:dyDescent="0.2">
      <c r="A336" s="2" t="s">
        <v>11</v>
      </c>
      <c r="B336" s="14">
        <v>38869</v>
      </c>
      <c r="C336" s="2">
        <v>3.4276433882000003E-2</v>
      </c>
      <c r="D336" s="2">
        <v>7.4980279999999999E-4</v>
      </c>
      <c r="E336" s="2">
        <v>1</v>
      </c>
      <c r="F336" s="2">
        <v>9.3629739710112401E-4</v>
      </c>
      <c r="G336" s="2">
        <v>2</v>
      </c>
    </row>
    <row r="337" spans="1:7" x14ac:dyDescent="0.2">
      <c r="A337" s="2" t="s">
        <v>11</v>
      </c>
      <c r="B337" s="14">
        <v>38899</v>
      </c>
      <c r="C337" s="2">
        <v>-2.0296388245000001E-2</v>
      </c>
      <c r="D337" s="2">
        <v>6.8030559E-4</v>
      </c>
      <c r="E337" s="2">
        <v>1</v>
      </c>
      <c r="F337" s="2">
        <v>3.5490360831755201E-3</v>
      </c>
      <c r="G337" s="2">
        <v>2</v>
      </c>
    </row>
    <row r="338" spans="1:7" x14ac:dyDescent="0.2">
      <c r="A338" s="2" t="s">
        <v>11</v>
      </c>
      <c r="B338" s="14">
        <v>38930</v>
      </c>
      <c r="C338" s="2">
        <v>-4.2372881361999997E-3</v>
      </c>
      <c r="D338" s="2">
        <v>-1.5861454999999999E-3</v>
      </c>
      <c r="E338" s="2">
        <v>1</v>
      </c>
      <c r="F338" s="2">
        <v>2.9686459082759798E-3</v>
      </c>
      <c r="G338" s="2">
        <v>2</v>
      </c>
    </row>
    <row r="339" spans="1:7" x14ac:dyDescent="0.2">
      <c r="A339" s="2" t="s">
        <v>11</v>
      </c>
      <c r="B339" s="14">
        <v>38961</v>
      </c>
      <c r="C339" s="2">
        <v>3.4042553306999997E-4</v>
      </c>
      <c r="D339" s="19">
        <v>-5.9411431999999999E-5</v>
      </c>
      <c r="E339" s="2">
        <v>1</v>
      </c>
      <c r="F339" s="2">
        <v>1.67867991564874E-3</v>
      </c>
      <c r="G339" s="2">
        <v>2</v>
      </c>
    </row>
    <row r="340" spans="1:7" x14ac:dyDescent="0.2">
      <c r="A340" s="2" t="s">
        <v>11</v>
      </c>
      <c r="B340" s="14">
        <v>38991</v>
      </c>
      <c r="C340" s="2">
        <v>0.11084751341</v>
      </c>
      <c r="D340" s="2">
        <v>6.7559018000000004E-4</v>
      </c>
      <c r="E340" s="2">
        <v>1</v>
      </c>
      <c r="F340" s="2">
        <v>2.9184882640344599E-4</v>
      </c>
      <c r="G340" s="2">
        <v>2</v>
      </c>
    </row>
    <row r="341" spans="1:7" x14ac:dyDescent="0.2">
      <c r="A341" s="2" t="s">
        <v>11</v>
      </c>
      <c r="B341" s="14">
        <v>39022</v>
      </c>
      <c r="C341" s="2">
        <v>6.4615384615999999E-2</v>
      </c>
      <c r="D341" s="2">
        <v>1.8222890999999999E-4</v>
      </c>
      <c r="E341" s="2">
        <v>1</v>
      </c>
      <c r="F341" s="2">
        <v>3.8009765841878402E-3</v>
      </c>
      <c r="G341" s="2">
        <v>2</v>
      </c>
    </row>
    <row r="342" spans="1:7" x14ac:dyDescent="0.2">
      <c r="A342" s="2" t="s">
        <v>11</v>
      </c>
      <c r="B342" s="14">
        <v>39052</v>
      </c>
      <c r="C342" s="2">
        <v>1.0838150289000001E-2</v>
      </c>
      <c r="D342" s="2">
        <v>6.8673352000000001E-4</v>
      </c>
      <c r="E342" s="2">
        <v>1</v>
      </c>
      <c r="F342" s="2">
        <v>4.4709676951695298E-3</v>
      </c>
      <c r="G342" s="2">
        <v>2</v>
      </c>
    </row>
    <row r="343" spans="1:7" x14ac:dyDescent="0.2">
      <c r="A343" s="2" t="s">
        <v>11</v>
      </c>
      <c r="B343" s="14">
        <v>39083</v>
      </c>
      <c r="C343" s="2">
        <v>6.1997178595999999E-2</v>
      </c>
      <c r="D343" s="2">
        <v>-8.7813276E-4</v>
      </c>
      <c r="E343" s="2">
        <v>1</v>
      </c>
      <c r="F343" s="2">
        <v>3.6458804187613101E-3</v>
      </c>
      <c r="G343" s="2">
        <v>2</v>
      </c>
    </row>
    <row r="344" spans="1:7" x14ac:dyDescent="0.2">
      <c r="A344" s="2" t="s">
        <v>11</v>
      </c>
      <c r="B344" s="14">
        <v>39114</v>
      </c>
      <c r="C344" s="2">
        <v>6.0810810827999998E-4</v>
      </c>
      <c r="D344" s="2">
        <v>2.2621697E-4</v>
      </c>
      <c r="E344" s="2">
        <v>1</v>
      </c>
      <c r="F344" s="2">
        <v>5.8698598945919099E-3</v>
      </c>
      <c r="G344" s="2">
        <v>2</v>
      </c>
    </row>
    <row r="345" spans="1:7" x14ac:dyDescent="0.2">
      <c r="A345" s="2" t="s">
        <v>11</v>
      </c>
      <c r="B345" s="14">
        <v>39142</v>
      </c>
      <c r="C345" s="2">
        <v>8.0424066446999995E-2</v>
      </c>
      <c r="D345" s="2">
        <v>3.8515034000000001E-4</v>
      </c>
      <c r="E345" s="2">
        <v>1</v>
      </c>
      <c r="F345" s="2">
        <v>6.0132780936282999E-3</v>
      </c>
      <c r="G345" s="2">
        <v>2</v>
      </c>
    </row>
    <row r="346" spans="1:7" x14ac:dyDescent="0.2">
      <c r="A346" s="2" t="s">
        <v>11</v>
      </c>
      <c r="B346" s="14">
        <v>39173</v>
      </c>
      <c r="C346" s="2">
        <v>8.2036400452000002E-2</v>
      </c>
      <c r="D346" s="2">
        <v>7.8934646000000002E-4</v>
      </c>
      <c r="E346" s="2">
        <v>1</v>
      </c>
      <c r="F346" s="2">
        <v>8.2000828262707593E-3</v>
      </c>
      <c r="G346" s="2">
        <v>2</v>
      </c>
    </row>
    <row r="347" spans="1:7" x14ac:dyDescent="0.2">
      <c r="A347" s="2" t="s">
        <v>11</v>
      </c>
      <c r="B347" s="14">
        <v>39203</v>
      </c>
      <c r="C347" s="2">
        <v>-4.5813953488999998E-2</v>
      </c>
      <c r="D347" s="2">
        <v>5.5236363999999999E-4</v>
      </c>
      <c r="E347" s="2">
        <v>1</v>
      </c>
      <c r="F347" s="2">
        <v>7.2436639719549098E-3</v>
      </c>
      <c r="G347" s="2">
        <v>2</v>
      </c>
    </row>
    <row r="348" spans="1:7" x14ac:dyDescent="0.2">
      <c r="A348" s="2" t="s">
        <v>11</v>
      </c>
      <c r="B348" s="14">
        <v>39234</v>
      </c>
      <c r="C348" s="2">
        <v>7.0630044394000002E-2</v>
      </c>
      <c r="D348" s="2">
        <v>-8.5157657000000005E-4</v>
      </c>
      <c r="E348" s="2">
        <v>1</v>
      </c>
      <c r="F348" s="2">
        <v>4.2589939639782696E-3</v>
      </c>
      <c r="G348" s="2">
        <v>2</v>
      </c>
    </row>
    <row r="349" spans="1:7" x14ac:dyDescent="0.2">
      <c r="A349" s="2" t="s">
        <v>11</v>
      </c>
      <c r="B349" s="14">
        <v>39264</v>
      </c>
      <c r="C349" s="2">
        <v>-4.9710144589999998E-2</v>
      </c>
      <c r="D349" s="2">
        <v>-1.2495486000000001E-3</v>
      </c>
      <c r="E349" s="2">
        <v>1</v>
      </c>
      <c r="F349" s="2">
        <v>5.9444602584778298E-3</v>
      </c>
      <c r="G349" s="2">
        <v>2</v>
      </c>
    </row>
    <row r="350" spans="1:7" x14ac:dyDescent="0.2">
      <c r="A350" s="2" t="s">
        <v>11</v>
      </c>
      <c r="B350" s="14">
        <v>39295</v>
      </c>
      <c r="C350" s="2">
        <v>-4.9687500001000001E-2</v>
      </c>
      <c r="D350" s="2">
        <v>-1.3140911E-4</v>
      </c>
      <c r="E350" s="2">
        <v>1</v>
      </c>
      <c r="F350" s="2">
        <v>-5.4969374507785604E-4</v>
      </c>
      <c r="G350" s="2">
        <v>2</v>
      </c>
    </row>
    <row r="351" spans="1:7" x14ac:dyDescent="0.2">
      <c r="A351" s="2" t="s">
        <v>11</v>
      </c>
      <c r="B351" s="14">
        <v>39326</v>
      </c>
      <c r="C351" s="2">
        <v>-4.0447221308999998E-2</v>
      </c>
      <c r="D351" s="2">
        <v>-1.1466212999999999E-3</v>
      </c>
      <c r="E351" s="2">
        <v>1</v>
      </c>
      <c r="F351" s="2">
        <v>-1.82398221432828E-3</v>
      </c>
      <c r="G351" s="2">
        <v>2</v>
      </c>
    </row>
    <row r="352" spans="1:7" x14ac:dyDescent="0.2">
      <c r="A352" s="2" t="s">
        <v>11</v>
      </c>
      <c r="B352" s="14">
        <v>39356</v>
      </c>
      <c r="C352" s="2">
        <v>3.2814278996999999E-2</v>
      </c>
      <c r="D352" s="2">
        <v>-1.0559869E-4</v>
      </c>
      <c r="E352" s="2">
        <v>1</v>
      </c>
      <c r="F352" s="2">
        <v>-5.1721320858149501E-3</v>
      </c>
      <c r="G352" s="2">
        <v>2</v>
      </c>
    </row>
    <row r="353" spans="1:7" x14ac:dyDescent="0.2">
      <c r="A353" s="2" t="s">
        <v>11</v>
      </c>
      <c r="B353" s="14">
        <v>39387</v>
      </c>
      <c r="C353" s="2">
        <v>-9.3454206105000007E-2</v>
      </c>
      <c r="D353" s="2">
        <v>-3.6960068999999999E-4</v>
      </c>
      <c r="E353" s="2">
        <v>1</v>
      </c>
      <c r="F353" s="2">
        <v>-6.7898491891422398E-3</v>
      </c>
      <c r="G353" s="2">
        <v>2</v>
      </c>
    </row>
    <row r="354" spans="1:7" x14ac:dyDescent="0.2">
      <c r="A354" s="2" t="s">
        <v>11</v>
      </c>
      <c r="B354" s="14">
        <v>39417</v>
      </c>
      <c r="C354" s="2">
        <v>-1.4705882353000001E-2</v>
      </c>
      <c r="D354" s="2">
        <v>-2.1398822000000001E-3</v>
      </c>
      <c r="E354" s="2">
        <v>1</v>
      </c>
      <c r="F354" s="2">
        <v>-7.8243755826813404E-3</v>
      </c>
      <c r="G354" s="2">
        <v>2</v>
      </c>
    </row>
    <row r="355" spans="1:7" x14ac:dyDescent="0.2">
      <c r="A355" s="2" t="s">
        <v>11</v>
      </c>
      <c r="B355" s="14">
        <v>39448</v>
      </c>
      <c r="C355" s="2">
        <v>-7.0514282960999998E-3</v>
      </c>
      <c r="D355" s="2">
        <v>-1.1579238E-3</v>
      </c>
      <c r="E355" s="2">
        <v>1</v>
      </c>
      <c r="F355" s="2">
        <v>-1.02202320682505E-2</v>
      </c>
      <c r="G355" s="2">
        <v>2</v>
      </c>
    </row>
    <row r="356" spans="1:7" x14ac:dyDescent="0.2">
      <c r="A356" s="2" t="s">
        <v>11</v>
      </c>
      <c r="B356" s="14">
        <v>39479</v>
      </c>
      <c r="C356" s="2">
        <v>9.4475096364000005E-2</v>
      </c>
      <c r="D356" s="2">
        <v>2.3430418E-3</v>
      </c>
      <c r="E356" s="2">
        <v>1</v>
      </c>
      <c r="F356" s="2">
        <v>-9.0598409201380799E-3</v>
      </c>
      <c r="G356" s="2">
        <v>2</v>
      </c>
    </row>
    <row r="357" spans="1:7" x14ac:dyDescent="0.2">
      <c r="A357" s="2" t="s">
        <v>11</v>
      </c>
      <c r="B357" s="14">
        <v>39508</v>
      </c>
      <c r="C357" s="2">
        <v>-3.3215938124999997E-2</v>
      </c>
      <c r="D357" s="2">
        <v>-2.0575593000000001E-4</v>
      </c>
      <c r="E357" s="2">
        <v>1</v>
      </c>
      <c r="F357" s="2">
        <v>-4.9082481747563496E-3</v>
      </c>
      <c r="G357" s="2">
        <v>2</v>
      </c>
    </row>
    <row r="358" spans="1:7" x14ac:dyDescent="0.2">
      <c r="A358" s="2" t="s">
        <v>11</v>
      </c>
      <c r="B358" s="14">
        <v>39539</v>
      </c>
      <c r="C358" s="2">
        <v>4.1935917449999999E-2</v>
      </c>
      <c r="D358" s="2">
        <v>4.3622399000000002E-4</v>
      </c>
      <c r="E358" s="2">
        <v>1</v>
      </c>
      <c r="F358" s="2">
        <v>-4.7194223831423096E-3</v>
      </c>
      <c r="G358" s="2">
        <v>2</v>
      </c>
    </row>
    <row r="359" spans="1:7" x14ac:dyDescent="0.2">
      <c r="A359" s="2" t="s">
        <v>11</v>
      </c>
      <c r="B359" s="14">
        <v>39569</v>
      </c>
      <c r="C359" s="2">
        <v>-6.5373563218999994E-2</v>
      </c>
      <c r="D359" s="2">
        <v>0</v>
      </c>
      <c r="E359" s="2">
        <v>1</v>
      </c>
      <c r="F359" s="2">
        <v>-4.6537799184889397E-3</v>
      </c>
      <c r="G359" s="2">
        <v>2</v>
      </c>
    </row>
    <row r="360" spans="1:7" x14ac:dyDescent="0.2">
      <c r="A360" s="2" t="s">
        <v>11</v>
      </c>
      <c r="B360" s="14">
        <v>39600</v>
      </c>
      <c r="C360" s="2">
        <v>-3.9200614910999999E-2</v>
      </c>
      <c r="D360" s="19">
        <v>2.2998271E-5</v>
      </c>
      <c r="E360" s="2">
        <v>1</v>
      </c>
      <c r="F360" s="2">
        <v>-3.5662555159636702E-3</v>
      </c>
      <c r="G360" s="2">
        <v>2</v>
      </c>
    </row>
    <row r="361" spans="1:7" x14ac:dyDescent="0.2">
      <c r="A361" s="2" t="s">
        <v>11</v>
      </c>
      <c r="B361" s="14">
        <v>39630</v>
      </c>
      <c r="C361" s="2">
        <v>0.15899309285999999</v>
      </c>
      <c r="D361" s="2">
        <v>2.7259232999999998E-4</v>
      </c>
      <c r="E361" s="2">
        <v>1</v>
      </c>
      <c r="F361" s="2">
        <v>-4.2444613285713504E-3</v>
      </c>
      <c r="G361" s="2">
        <v>2</v>
      </c>
    </row>
    <row r="362" spans="1:7" x14ac:dyDescent="0.2">
      <c r="A362" s="2" t="s">
        <v>11</v>
      </c>
      <c r="B362" s="14">
        <v>39661</v>
      </c>
      <c r="C362" s="2">
        <v>-3.8098542679000001E-2</v>
      </c>
      <c r="D362" s="2">
        <v>-1.9989055999999998E-3</v>
      </c>
      <c r="E362" s="2">
        <v>1</v>
      </c>
      <c r="F362" s="2">
        <v>1.9191547164055401E-3</v>
      </c>
      <c r="G362" s="2">
        <v>2</v>
      </c>
    </row>
    <row r="363" spans="1:7" x14ac:dyDescent="0.2">
      <c r="A363" s="2" t="s">
        <v>11</v>
      </c>
      <c r="B363" s="14">
        <v>39692</v>
      </c>
      <c r="C363" s="2">
        <v>-0.11261813721</v>
      </c>
      <c r="D363" s="2">
        <v>-5.1389331999999999E-4</v>
      </c>
      <c r="E363" s="2">
        <v>1</v>
      </c>
      <c r="F363" s="2">
        <v>-1.8858056524903701E-3</v>
      </c>
      <c r="G363" s="2">
        <v>2</v>
      </c>
    </row>
    <row r="364" spans="1:7" x14ac:dyDescent="0.2">
      <c r="A364" s="2" t="s">
        <v>11</v>
      </c>
      <c r="B364" s="14">
        <v>39722</v>
      </c>
      <c r="C364" s="2">
        <v>-8.3679185493000005E-2</v>
      </c>
      <c r="D364" s="2">
        <v>2.8300027000000001E-3</v>
      </c>
      <c r="E364" s="2">
        <v>1</v>
      </c>
      <c r="F364" s="2">
        <v>-3.81569194027798E-3</v>
      </c>
      <c r="G364" s="2">
        <v>2</v>
      </c>
    </row>
    <row r="365" spans="1:7" x14ac:dyDescent="0.2">
      <c r="A365" s="2" t="s">
        <v>11</v>
      </c>
      <c r="B365" s="14">
        <v>39753</v>
      </c>
      <c r="C365" s="2">
        <v>8.8799643016999996E-2</v>
      </c>
      <c r="D365" s="2">
        <v>1.6601582E-3</v>
      </c>
      <c r="E365" s="2">
        <v>1</v>
      </c>
      <c r="F365" s="2">
        <v>-7.2212475261805601E-3</v>
      </c>
      <c r="G365" s="2">
        <v>2</v>
      </c>
    </row>
    <row r="366" spans="1:7" x14ac:dyDescent="0.2">
      <c r="A366" s="2" t="s">
        <v>11</v>
      </c>
      <c r="B366" s="14">
        <v>39783</v>
      </c>
      <c r="C366" s="2">
        <v>-3.6885245901000001E-2</v>
      </c>
      <c r="D366" s="19">
        <v>1.2502061999999999E-5</v>
      </c>
      <c r="E366" s="2">
        <v>1</v>
      </c>
      <c r="F366" s="2">
        <v>-2.9506663947957801E-3</v>
      </c>
      <c r="G366" s="2">
        <v>2</v>
      </c>
    </row>
    <row r="367" spans="1:7" x14ac:dyDescent="0.2">
      <c r="A367" s="2" t="s">
        <v>12</v>
      </c>
      <c r="B367" s="14">
        <v>37591</v>
      </c>
      <c r="C367" s="2">
        <v>0.15921497108999999</v>
      </c>
      <c r="D367" s="2">
        <v>0</v>
      </c>
      <c r="E367" s="2">
        <v>1</v>
      </c>
      <c r="G367" s="2">
        <v>1</v>
      </c>
    </row>
    <row r="368" spans="1:7" x14ac:dyDescent="0.2">
      <c r="A368" s="2" t="s">
        <v>12</v>
      </c>
      <c r="B368" s="14">
        <v>37622</v>
      </c>
      <c r="C368" s="2">
        <v>-5.7231545252000001E-3</v>
      </c>
      <c r="D368" s="2">
        <v>0</v>
      </c>
      <c r="E368" s="2">
        <v>1</v>
      </c>
      <c r="G368" s="2">
        <v>1</v>
      </c>
    </row>
    <row r="369" spans="1:7" x14ac:dyDescent="0.2">
      <c r="A369" s="2" t="s">
        <v>12</v>
      </c>
      <c r="B369" s="14">
        <v>37653</v>
      </c>
      <c r="C369" s="2">
        <v>-5.4878048781E-2</v>
      </c>
      <c r="D369" s="2">
        <v>0</v>
      </c>
      <c r="E369" s="2">
        <v>1</v>
      </c>
      <c r="G369" s="2">
        <v>1</v>
      </c>
    </row>
    <row r="370" spans="1:7" x14ac:dyDescent="0.2">
      <c r="A370" s="2" t="s">
        <v>12</v>
      </c>
      <c r="B370" s="14">
        <v>37681</v>
      </c>
      <c r="C370" s="2">
        <v>2.0645161289999998E-2</v>
      </c>
      <c r="D370" s="2">
        <v>0</v>
      </c>
      <c r="E370" s="2">
        <v>1</v>
      </c>
      <c r="G370" s="2">
        <v>1</v>
      </c>
    </row>
    <row r="371" spans="1:7" x14ac:dyDescent="0.2">
      <c r="A371" s="2" t="s">
        <v>12</v>
      </c>
      <c r="B371" s="14">
        <v>37712</v>
      </c>
      <c r="C371" s="2">
        <v>0.21433982855</v>
      </c>
      <c r="D371" s="2">
        <v>0</v>
      </c>
      <c r="E371" s="2">
        <v>1</v>
      </c>
      <c r="G371" s="2">
        <v>1</v>
      </c>
    </row>
    <row r="372" spans="1:7" x14ac:dyDescent="0.2">
      <c r="A372" s="2" t="s">
        <v>12</v>
      </c>
      <c r="B372" s="14">
        <v>37742</v>
      </c>
      <c r="C372" s="2">
        <v>5.8931905622E-2</v>
      </c>
      <c r="D372" s="2">
        <v>0</v>
      </c>
      <c r="E372" s="2">
        <v>1</v>
      </c>
      <c r="G372" s="2">
        <v>1</v>
      </c>
    </row>
    <row r="373" spans="1:7" x14ac:dyDescent="0.2">
      <c r="A373" s="2" t="s">
        <v>12</v>
      </c>
      <c r="B373" s="14">
        <v>37773</v>
      </c>
      <c r="C373" s="2">
        <v>-6.2695283734000004E-2</v>
      </c>
      <c r="D373" s="2">
        <v>0</v>
      </c>
      <c r="E373" s="2">
        <v>1</v>
      </c>
      <c r="G373" s="2">
        <v>1</v>
      </c>
    </row>
    <row r="374" spans="1:7" x14ac:dyDescent="0.2">
      <c r="A374" s="2" t="s">
        <v>12</v>
      </c>
      <c r="B374" s="14">
        <v>37803</v>
      </c>
      <c r="C374" s="2">
        <v>5.9453590398000002E-2</v>
      </c>
      <c r="D374" s="2">
        <v>0</v>
      </c>
      <c r="E374" s="2">
        <v>1</v>
      </c>
      <c r="G374" s="2">
        <v>1</v>
      </c>
    </row>
    <row r="375" spans="1:7" x14ac:dyDescent="0.2">
      <c r="A375" s="2" t="s">
        <v>12</v>
      </c>
      <c r="B375" s="14">
        <v>37834</v>
      </c>
      <c r="C375" s="2">
        <v>-5.0738370870999999E-2</v>
      </c>
      <c r="D375" s="2">
        <v>0</v>
      </c>
      <c r="E375" s="2">
        <v>1</v>
      </c>
      <c r="F375" s="2">
        <v>2.0681199805735601E-2</v>
      </c>
      <c r="G375" s="2">
        <v>1</v>
      </c>
    </row>
    <row r="376" spans="1:7" x14ac:dyDescent="0.2">
      <c r="A376" s="2" t="s">
        <v>12</v>
      </c>
      <c r="B376" s="14">
        <v>37865</v>
      </c>
      <c r="C376" s="2">
        <v>2.7891960111000001E-2</v>
      </c>
      <c r="D376" s="2">
        <v>0</v>
      </c>
      <c r="E376" s="2">
        <v>1</v>
      </c>
      <c r="F376" s="2">
        <v>2.0857187841078699E-2</v>
      </c>
      <c r="G376" s="2">
        <v>1</v>
      </c>
    </row>
    <row r="377" spans="1:7" x14ac:dyDescent="0.2">
      <c r="A377" s="2" t="s">
        <v>12</v>
      </c>
      <c r="B377" s="14">
        <v>37895</v>
      </c>
      <c r="C377" s="2">
        <v>0.17295295155000001</v>
      </c>
      <c r="D377" s="2">
        <v>0</v>
      </c>
      <c r="E377" s="2">
        <v>1</v>
      </c>
      <c r="F377" s="2">
        <v>2.09273589828784E-2</v>
      </c>
      <c r="G377" s="2">
        <v>1</v>
      </c>
    </row>
    <row r="378" spans="1:7" x14ac:dyDescent="0.2">
      <c r="A378" s="2" t="s">
        <v>12</v>
      </c>
      <c r="B378" s="14">
        <v>37926</v>
      </c>
      <c r="C378" s="2">
        <v>-7.4351851853000001E-2</v>
      </c>
      <c r="D378" s="2">
        <v>0</v>
      </c>
      <c r="E378" s="2">
        <v>1</v>
      </c>
      <c r="F378" s="2">
        <v>1.9532005628528502E-2</v>
      </c>
      <c r="G378" s="2">
        <v>1</v>
      </c>
    </row>
    <row r="379" spans="1:7" x14ac:dyDescent="0.2">
      <c r="A379" s="2" t="s">
        <v>12</v>
      </c>
      <c r="B379" s="14">
        <v>37956</v>
      </c>
      <c r="C379" s="2">
        <v>6.0518155446999997E-2</v>
      </c>
      <c r="D379" s="2">
        <v>0</v>
      </c>
      <c r="E379" s="2">
        <v>1</v>
      </c>
      <c r="F379" s="2">
        <v>1.5894777340960599E-2</v>
      </c>
      <c r="G379" s="2">
        <v>1</v>
      </c>
    </row>
    <row r="380" spans="1:7" x14ac:dyDescent="0.2">
      <c r="A380" s="2" t="s">
        <v>12</v>
      </c>
      <c r="B380" s="14">
        <v>37987</v>
      </c>
      <c r="C380" s="2">
        <v>5.1931374432999999E-2</v>
      </c>
      <c r="E380" s="2">
        <v>1</v>
      </c>
      <c r="F380" s="2">
        <v>1.9257703443114602E-2</v>
      </c>
      <c r="G380" s="2">
        <v>1</v>
      </c>
    </row>
    <row r="381" spans="1:7" x14ac:dyDescent="0.2">
      <c r="A381" s="2" t="s">
        <v>12</v>
      </c>
      <c r="B381" s="14">
        <v>38018</v>
      </c>
      <c r="C381" s="2">
        <v>7.4774774776000003E-2</v>
      </c>
      <c r="E381" s="2">
        <v>1</v>
      </c>
      <c r="F381" s="2">
        <v>1.8913835664227201E-2</v>
      </c>
      <c r="G381" s="2">
        <v>1</v>
      </c>
    </row>
    <row r="382" spans="1:7" x14ac:dyDescent="0.2">
      <c r="A382" s="2" t="s">
        <v>12</v>
      </c>
      <c r="B382" s="14">
        <v>38047</v>
      </c>
      <c r="C382" s="2">
        <v>-5.2808046940999998E-2</v>
      </c>
      <c r="D382" s="19">
        <v>-8.3660568999999998E-5</v>
      </c>
      <c r="E382" s="2">
        <v>1</v>
      </c>
      <c r="F382" s="2">
        <v>2.2282313179101901E-2</v>
      </c>
      <c r="G382" s="2">
        <v>1</v>
      </c>
    </row>
    <row r="383" spans="1:7" x14ac:dyDescent="0.2">
      <c r="A383" s="2" t="s">
        <v>12</v>
      </c>
      <c r="B383" s="14">
        <v>38078</v>
      </c>
      <c r="C383" s="2">
        <v>8.4505941799000006E-2</v>
      </c>
      <c r="D383" s="2">
        <v>-1.2777146999999999E-3</v>
      </c>
      <c r="E383" s="2">
        <v>1</v>
      </c>
      <c r="F383" s="2">
        <v>2.0184477539197401E-2</v>
      </c>
      <c r="G383" s="2">
        <v>1</v>
      </c>
    </row>
    <row r="384" spans="1:7" x14ac:dyDescent="0.2">
      <c r="A384" s="2" t="s">
        <v>12</v>
      </c>
      <c r="B384" s="14">
        <v>38108</v>
      </c>
      <c r="C384" s="2">
        <v>-1.4856418153E-2</v>
      </c>
      <c r="D384" s="2">
        <v>-3.3408983000000002E-4</v>
      </c>
      <c r="E384" s="2">
        <v>1</v>
      </c>
      <c r="F384" s="2">
        <v>1.7109536315512E-2</v>
      </c>
      <c r="G384" s="2">
        <v>1</v>
      </c>
    </row>
    <row r="385" spans="1:7" x14ac:dyDescent="0.2">
      <c r="A385" s="2" t="s">
        <v>12</v>
      </c>
      <c r="B385" s="14">
        <v>38139</v>
      </c>
      <c r="C385" s="2">
        <v>3.0172413793000001E-2</v>
      </c>
      <c r="D385" s="2">
        <v>-1.4634266000000001E-3</v>
      </c>
      <c r="E385" s="2">
        <v>1</v>
      </c>
      <c r="F385" s="2">
        <v>1.8929769346273301E-2</v>
      </c>
      <c r="G385" s="2">
        <v>1</v>
      </c>
    </row>
    <row r="386" spans="1:7" x14ac:dyDescent="0.2">
      <c r="A386" s="2" t="s">
        <v>12</v>
      </c>
      <c r="B386" s="14">
        <v>38169</v>
      </c>
      <c r="C386" s="2">
        <v>-1.2342943419E-2</v>
      </c>
      <c r="D386" s="2">
        <v>0</v>
      </c>
      <c r="E386" s="2">
        <v>1</v>
      </c>
      <c r="F386" s="2">
        <v>1.7832353782995601E-2</v>
      </c>
      <c r="G386" s="2">
        <v>1</v>
      </c>
    </row>
    <row r="387" spans="1:7" x14ac:dyDescent="0.2">
      <c r="A387" s="2" t="s">
        <v>12</v>
      </c>
      <c r="B387" s="14">
        <v>38200</v>
      </c>
      <c r="C387" s="19">
        <v>-8.5099140961E-5</v>
      </c>
      <c r="D387" s="2">
        <v>0</v>
      </c>
      <c r="E387" s="2">
        <v>1</v>
      </c>
      <c r="F387" s="2">
        <v>7.08656974490692E-3</v>
      </c>
      <c r="G387" s="2">
        <v>1</v>
      </c>
    </row>
    <row r="388" spans="1:7" x14ac:dyDescent="0.2">
      <c r="A388" s="2" t="s">
        <v>12</v>
      </c>
      <c r="B388" s="14">
        <v>38231</v>
      </c>
      <c r="C388" s="2">
        <v>2.1276595746E-2</v>
      </c>
      <c r="D388" s="19">
        <v>1.3284674000000001E-5</v>
      </c>
      <c r="E388" s="2">
        <v>1</v>
      </c>
      <c r="F388" s="2">
        <v>4.8982513715027402E-3</v>
      </c>
      <c r="G388" s="2">
        <v>1</v>
      </c>
    </row>
    <row r="389" spans="1:7" x14ac:dyDescent="0.2">
      <c r="A389" s="2" t="s">
        <v>12</v>
      </c>
      <c r="B389" s="14">
        <v>38261</v>
      </c>
      <c r="C389" s="2">
        <v>6.2826141257999998E-2</v>
      </c>
      <c r="D389" s="2">
        <v>2.0300206000000002E-3</v>
      </c>
      <c r="E389" s="2">
        <v>1</v>
      </c>
      <c r="F389" s="2">
        <v>7.0531455029043903E-3</v>
      </c>
      <c r="G389" s="2">
        <v>1</v>
      </c>
    </row>
    <row r="390" spans="1:7" x14ac:dyDescent="0.2">
      <c r="A390" s="2" t="s">
        <v>12</v>
      </c>
      <c r="B390" s="14">
        <v>38292</v>
      </c>
      <c r="C390" s="2">
        <v>-3.5357114734000002E-2</v>
      </c>
      <c r="D390" s="2">
        <v>4.3943073E-4</v>
      </c>
      <c r="E390" s="2">
        <v>1</v>
      </c>
      <c r="F390" s="2">
        <v>6.0551205873689796E-3</v>
      </c>
      <c r="G390" s="2">
        <v>1</v>
      </c>
    </row>
    <row r="391" spans="1:7" x14ac:dyDescent="0.2">
      <c r="A391" s="2" t="s">
        <v>12</v>
      </c>
      <c r="B391" s="14">
        <v>38322</v>
      </c>
      <c r="C391" s="2">
        <v>1.6326530613E-2</v>
      </c>
      <c r="D391" s="2">
        <v>1.7797032E-3</v>
      </c>
      <c r="E391" s="2">
        <v>1</v>
      </c>
      <c r="F391" s="2">
        <v>5.4127619030587201E-3</v>
      </c>
      <c r="G391" s="2">
        <v>1</v>
      </c>
    </row>
    <row r="392" spans="1:7" x14ac:dyDescent="0.2">
      <c r="A392" s="2" t="s">
        <v>12</v>
      </c>
      <c r="B392" s="14">
        <v>38353</v>
      </c>
      <c r="C392" s="2">
        <v>-3.7729554005999999E-3</v>
      </c>
      <c r="D392" s="2">
        <v>1.0322586999999999E-4</v>
      </c>
      <c r="E392" s="2">
        <v>1</v>
      </c>
      <c r="F392" s="2">
        <v>4.9874595060539102E-3</v>
      </c>
      <c r="G392" s="2">
        <v>1</v>
      </c>
    </row>
    <row r="393" spans="1:7" x14ac:dyDescent="0.2">
      <c r="A393" s="2" t="s">
        <v>12</v>
      </c>
      <c r="B393" s="14">
        <v>38384</v>
      </c>
      <c r="C393" s="2">
        <v>4.4534412954999998E-2</v>
      </c>
      <c r="D393" s="2">
        <v>-5.8466905999999999E-4</v>
      </c>
      <c r="E393" s="2">
        <v>1</v>
      </c>
      <c r="F393" s="2">
        <v>5.2753523091343098E-3</v>
      </c>
      <c r="G393" s="2">
        <v>1</v>
      </c>
    </row>
    <row r="394" spans="1:7" x14ac:dyDescent="0.2">
      <c r="A394" s="2" t="s">
        <v>12</v>
      </c>
      <c r="B394" s="14">
        <v>38412</v>
      </c>
      <c r="C394" s="2">
        <v>1.511627907E-2</v>
      </c>
      <c r="D394" s="2">
        <v>5.8794551E-4</v>
      </c>
      <c r="E394" s="2">
        <v>1</v>
      </c>
      <c r="F394" s="2">
        <v>6.3995914626064302E-3</v>
      </c>
      <c r="G394" s="2">
        <v>1</v>
      </c>
    </row>
    <row r="395" spans="1:7" x14ac:dyDescent="0.2">
      <c r="A395" s="2" t="s">
        <v>12</v>
      </c>
      <c r="B395" s="14">
        <v>38443</v>
      </c>
      <c r="C395" s="2">
        <v>-4.4178240278E-3</v>
      </c>
      <c r="D395" s="2">
        <v>6.6535699000000003E-4</v>
      </c>
      <c r="E395" s="2">
        <v>1</v>
      </c>
      <c r="F395" s="2">
        <v>6.1089606797418497E-3</v>
      </c>
      <c r="G395" s="2">
        <v>1</v>
      </c>
    </row>
    <row r="396" spans="1:7" x14ac:dyDescent="0.2">
      <c r="A396" s="2" t="s">
        <v>12</v>
      </c>
      <c r="B396" s="14">
        <v>38473</v>
      </c>
      <c r="C396" s="2">
        <v>3.6522073964E-2</v>
      </c>
      <c r="D396" s="2">
        <v>0</v>
      </c>
      <c r="E396" s="2">
        <v>1</v>
      </c>
      <c r="F396" s="2">
        <v>4.0828365629771296E-3</v>
      </c>
      <c r="G396" s="2">
        <v>1</v>
      </c>
    </row>
    <row r="397" spans="1:7" x14ac:dyDescent="0.2">
      <c r="A397" s="2" t="s">
        <v>12</v>
      </c>
      <c r="B397" s="14">
        <v>38504</v>
      </c>
      <c r="C397" s="2">
        <v>4.7244094489000001E-2</v>
      </c>
      <c r="D397" s="2">
        <v>0</v>
      </c>
      <c r="E397" s="2">
        <v>1</v>
      </c>
      <c r="F397" s="2">
        <v>6.2378253948268299E-3</v>
      </c>
      <c r="G397" s="2">
        <v>1</v>
      </c>
    </row>
    <row r="398" spans="1:7" x14ac:dyDescent="0.2">
      <c r="A398" s="2" t="s">
        <v>12</v>
      </c>
      <c r="B398" s="14">
        <v>38534</v>
      </c>
      <c r="C398" s="2">
        <v>0.13197039524000001</v>
      </c>
      <c r="D398" s="2">
        <v>-3.2374359000000001E-4</v>
      </c>
      <c r="E398" s="2">
        <v>1</v>
      </c>
      <c r="F398" s="2">
        <v>7.0268918500068101E-3</v>
      </c>
      <c r="G398" s="2">
        <v>1</v>
      </c>
    </row>
    <row r="399" spans="1:7" x14ac:dyDescent="0.2">
      <c r="A399" s="2" t="s">
        <v>12</v>
      </c>
      <c r="B399" s="14">
        <v>38565</v>
      </c>
      <c r="C399" s="2">
        <v>-7.6666666667000005E-2</v>
      </c>
      <c r="D399" s="2">
        <v>-3.637186E-4</v>
      </c>
      <c r="E399" s="2">
        <v>1</v>
      </c>
      <c r="F399" s="2">
        <v>6.9186474365363201E-3</v>
      </c>
      <c r="G399" s="2">
        <v>1</v>
      </c>
    </row>
    <row r="400" spans="1:7" x14ac:dyDescent="0.2">
      <c r="A400" s="2" t="s">
        <v>12</v>
      </c>
      <c r="B400" s="14">
        <v>38596</v>
      </c>
      <c r="C400" s="2">
        <v>4.6931407942E-2</v>
      </c>
      <c r="D400" s="2">
        <v>0</v>
      </c>
      <c r="E400" s="2">
        <v>1</v>
      </c>
      <c r="F400" s="2">
        <v>3.71842314179449E-3</v>
      </c>
      <c r="G400" s="2">
        <v>1</v>
      </c>
    </row>
    <row r="401" spans="1:7" x14ac:dyDescent="0.2">
      <c r="A401" s="2" t="s">
        <v>12</v>
      </c>
      <c r="B401" s="14">
        <v>38626</v>
      </c>
      <c r="C401" s="2">
        <v>-0.106902818</v>
      </c>
      <c r="D401" s="2">
        <v>-1.7768450000000001E-4</v>
      </c>
      <c r="E401" s="2">
        <v>1</v>
      </c>
      <c r="F401" s="2">
        <v>4.5245548452002397E-3</v>
      </c>
      <c r="G401" s="2">
        <v>1</v>
      </c>
    </row>
    <row r="402" spans="1:7" x14ac:dyDescent="0.2">
      <c r="A402" s="2" t="s">
        <v>12</v>
      </c>
      <c r="B402" s="14">
        <v>38657</v>
      </c>
      <c r="C402" s="2">
        <v>-7.7519379846999999E-3</v>
      </c>
      <c r="D402" s="2">
        <v>-4.5797930000000001E-4</v>
      </c>
      <c r="E402" s="2">
        <v>1</v>
      </c>
      <c r="F402" s="2">
        <v>2.0602587724157201E-3</v>
      </c>
      <c r="G402" s="2">
        <v>1</v>
      </c>
    </row>
    <row r="403" spans="1:7" x14ac:dyDescent="0.2">
      <c r="A403" s="2" t="s">
        <v>12</v>
      </c>
      <c r="B403" s="14">
        <v>38687</v>
      </c>
      <c r="C403" s="2">
        <v>-4.6875E-2</v>
      </c>
      <c r="D403" s="19">
        <v>1.0062154999999999E-6</v>
      </c>
      <c r="E403" s="2">
        <v>1</v>
      </c>
      <c r="F403" s="2">
        <v>7.3597964958332799E-4</v>
      </c>
      <c r="G403" s="2">
        <v>1</v>
      </c>
    </row>
    <row r="404" spans="1:7" x14ac:dyDescent="0.2">
      <c r="A404" s="2" t="s">
        <v>12</v>
      </c>
      <c r="B404" s="14">
        <v>38718</v>
      </c>
      <c r="C404" s="2">
        <v>-8.0362034150000001E-3</v>
      </c>
      <c r="D404" s="19">
        <v>7.3657604000000002E-5</v>
      </c>
      <c r="E404" s="2">
        <v>1</v>
      </c>
      <c r="F404" s="2">
        <v>-1.81731803078218E-3</v>
      </c>
      <c r="G404" s="2">
        <v>1</v>
      </c>
    </row>
    <row r="405" spans="1:7" x14ac:dyDescent="0.2">
      <c r="A405" s="2" t="s">
        <v>12</v>
      </c>
      <c r="B405" s="14">
        <v>38749</v>
      </c>
      <c r="C405" s="2">
        <v>5.8091286307999999E-2</v>
      </c>
      <c r="D405" s="2">
        <v>-4.1399914E-4</v>
      </c>
      <c r="E405" s="2">
        <v>1</v>
      </c>
      <c r="F405" s="2">
        <v>-5.8269933436337499E-3</v>
      </c>
      <c r="G405" s="2">
        <v>1</v>
      </c>
    </row>
    <row r="406" spans="1:7" x14ac:dyDescent="0.2">
      <c r="A406" s="2" t="s">
        <v>12</v>
      </c>
      <c r="B406" s="14">
        <v>38777</v>
      </c>
      <c r="C406" s="2">
        <v>1.9607843138E-2</v>
      </c>
      <c r="D406" s="2">
        <v>1.1045615E-3</v>
      </c>
      <c r="E406" s="2">
        <v>1</v>
      </c>
      <c r="F406" s="2">
        <v>-2.0269801062149902E-3</v>
      </c>
      <c r="G406" s="2">
        <v>1</v>
      </c>
    </row>
    <row r="407" spans="1:7" x14ac:dyDescent="0.2">
      <c r="A407" s="2" t="s">
        <v>12</v>
      </c>
      <c r="B407" s="14">
        <v>38808</v>
      </c>
      <c r="C407" s="2">
        <v>5.3519776010999996E-3</v>
      </c>
      <c r="D407" s="2">
        <v>1.2798797999999999E-4</v>
      </c>
      <c r="E407" s="2">
        <v>1</v>
      </c>
      <c r="F407" s="2">
        <v>-2.8882862345121301E-3</v>
      </c>
      <c r="G407" s="2">
        <v>1</v>
      </c>
    </row>
    <row r="408" spans="1:7" x14ac:dyDescent="0.2">
      <c r="A408" s="2" t="s">
        <v>12</v>
      </c>
      <c r="B408" s="14">
        <v>38838</v>
      </c>
      <c r="C408" s="2">
        <v>4.4719011502999999E-2</v>
      </c>
      <c r="D408" s="2">
        <v>1.1509815999999999E-3</v>
      </c>
      <c r="E408" s="2">
        <v>1</v>
      </c>
      <c r="F408" s="2">
        <v>3.84714088182579E-4</v>
      </c>
      <c r="G408" s="2">
        <v>1</v>
      </c>
    </row>
    <row r="409" spans="1:7" x14ac:dyDescent="0.2">
      <c r="A409" s="2" t="s">
        <v>12</v>
      </c>
      <c r="B409" s="14">
        <v>38869</v>
      </c>
      <c r="C409" s="2">
        <v>1.953125E-2</v>
      </c>
      <c r="D409" s="19">
        <v>-3.8446637999999998E-6</v>
      </c>
      <c r="E409" s="2">
        <v>1</v>
      </c>
      <c r="F409" s="2">
        <v>1.94895428664261E-3</v>
      </c>
      <c r="G409" s="2">
        <v>1</v>
      </c>
    </row>
    <row r="410" spans="1:7" x14ac:dyDescent="0.2">
      <c r="A410" s="2" t="s">
        <v>12</v>
      </c>
      <c r="B410" s="14">
        <v>38899</v>
      </c>
      <c r="C410" s="2">
        <v>-6.8097513176000003E-3</v>
      </c>
      <c r="D410" s="2">
        <v>8.4278505999999995E-4</v>
      </c>
      <c r="E410" s="2">
        <v>1</v>
      </c>
      <c r="F410" s="2">
        <v>3.7890676377293499E-3</v>
      </c>
      <c r="G410" s="2">
        <v>1</v>
      </c>
    </row>
    <row r="411" spans="1:7" x14ac:dyDescent="0.2">
      <c r="A411" s="2" t="s">
        <v>12</v>
      </c>
      <c r="B411" s="14">
        <v>38930</v>
      </c>
      <c r="C411" s="2">
        <v>8.2176912946999997E-3</v>
      </c>
      <c r="D411" s="2">
        <v>-3.8438747E-4</v>
      </c>
      <c r="E411" s="2">
        <v>1</v>
      </c>
      <c r="F411" s="2">
        <v>2.4083903603859301E-3</v>
      </c>
      <c r="G411" s="2">
        <v>1</v>
      </c>
    </row>
    <row r="412" spans="1:7" x14ac:dyDescent="0.2">
      <c r="A412" s="2" t="s">
        <v>12</v>
      </c>
      <c r="B412" s="14">
        <v>38961</v>
      </c>
      <c r="C412" s="2">
        <v>-2.3452518262999999E-2</v>
      </c>
      <c r="D412" s="2">
        <v>1.0693641E-2</v>
      </c>
      <c r="E412" s="2">
        <v>1</v>
      </c>
      <c r="F412" s="2">
        <v>8.6246041260282897E-4</v>
      </c>
      <c r="G412" s="2">
        <v>1</v>
      </c>
    </row>
    <row r="413" spans="1:7" x14ac:dyDescent="0.2">
      <c r="A413" s="2" t="s">
        <v>12</v>
      </c>
      <c r="B413" s="14">
        <v>38991</v>
      </c>
      <c r="C413" s="2">
        <v>9.1126559745999994E-2</v>
      </c>
      <c r="D413" s="2">
        <v>2.2705033999999998E-3</v>
      </c>
      <c r="E413" s="2">
        <v>1</v>
      </c>
      <c r="F413" s="2">
        <v>-3.8781908109863298E-4</v>
      </c>
      <c r="G413" s="2">
        <v>1</v>
      </c>
    </row>
    <row r="414" spans="1:7" x14ac:dyDescent="0.2">
      <c r="A414" s="2" t="s">
        <v>12</v>
      </c>
      <c r="B414" s="14">
        <v>39022</v>
      </c>
      <c r="C414" s="2">
        <v>8.7350489308000004E-2</v>
      </c>
      <c r="D414" s="2">
        <v>1.8656154999999999E-4</v>
      </c>
      <c r="E414" s="2">
        <v>1</v>
      </c>
      <c r="F414" s="2">
        <v>1.77810900929238E-3</v>
      </c>
      <c r="G414" s="2">
        <v>1</v>
      </c>
    </row>
    <row r="415" spans="1:7" x14ac:dyDescent="0.2">
      <c r="A415" s="2" t="s">
        <v>12</v>
      </c>
      <c r="B415" s="14">
        <v>39052</v>
      </c>
      <c r="C415" s="2">
        <v>8.8666666670000008E-3</v>
      </c>
      <c r="D415" s="19">
        <v>3.5663434000000001E-5</v>
      </c>
      <c r="E415" s="2">
        <v>1</v>
      </c>
      <c r="F415" s="2">
        <v>2.9356702989709899E-3</v>
      </c>
      <c r="G415" s="2">
        <v>1</v>
      </c>
    </row>
    <row r="416" spans="1:7" x14ac:dyDescent="0.2">
      <c r="A416" s="2" t="s">
        <v>12</v>
      </c>
      <c r="B416" s="14">
        <v>39083</v>
      </c>
      <c r="C416" s="2">
        <v>7.7888190681000002E-2</v>
      </c>
      <c r="D416" s="2">
        <v>1.6884033E-4</v>
      </c>
      <c r="E416" s="2">
        <v>1</v>
      </c>
      <c r="F416" s="2">
        <v>2.5050567587111801E-3</v>
      </c>
      <c r="G416" s="2">
        <v>1</v>
      </c>
    </row>
    <row r="417" spans="1:7" x14ac:dyDescent="0.2">
      <c r="A417" s="2" t="s">
        <v>12</v>
      </c>
      <c r="B417" s="14">
        <v>39114</v>
      </c>
      <c r="C417" s="2">
        <v>7.9999999998000004E-3</v>
      </c>
      <c r="D417" s="19">
        <v>-6.6097177999999994E-5</v>
      </c>
      <c r="E417" s="2">
        <v>1</v>
      </c>
      <c r="F417" s="2">
        <v>4.8294024106893402E-3</v>
      </c>
      <c r="G417" s="2">
        <v>1</v>
      </c>
    </row>
    <row r="418" spans="1:7" x14ac:dyDescent="0.2">
      <c r="A418" s="2" t="s">
        <v>12</v>
      </c>
      <c r="B418" s="14">
        <v>39142</v>
      </c>
      <c r="C418" s="2">
        <v>8.0586080584999997E-2</v>
      </c>
      <c r="D418" s="2">
        <v>-4.2501357000000002E-4</v>
      </c>
      <c r="E418" s="2">
        <v>1</v>
      </c>
      <c r="F418" s="2">
        <v>4.8071654337106598E-3</v>
      </c>
      <c r="G418" s="2">
        <v>1</v>
      </c>
    </row>
    <row r="419" spans="1:7" x14ac:dyDescent="0.2">
      <c r="A419" s="2" t="s">
        <v>12</v>
      </c>
      <c r="B419" s="14">
        <v>39173</v>
      </c>
      <c r="C419" s="2">
        <v>2.9502860732000001E-2</v>
      </c>
      <c r="D419" s="2">
        <v>1.6761050000000001E-4</v>
      </c>
      <c r="E419" s="2">
        <v>1</v>
      </c>
      <c r="F419" s="2">
        <v>7.6873211521725198E-3</v>
      </c>
      <c r="G419" s="2">
        <v>1</v>
      </c>
    </row>
    <row r="420" spans="1:7" x14ac:dyDescent="0.2">
      <c r="A420" s="2" t="s">
        <v>12</v>
      </c>
      <c r="B420" s="14">
        <v>39203</v>
      </c>
      <c r="C420" s="2">
        <v>-2.6132596686000001E-2</v>
      </c>
      <c r="D420" s="19">
        <v>3.7328620000000002E-5</v>
      </c>
      <c r="E420" s="2">
        <v>1</v>
      </c>
      <c r="F420" s="2">
        <v>5.7840573298404098E-3</v>
      </c>
      <c r="G420" s="2">
        <v>1</v>
      </c>
    </row>
    <row r="421" spans="1:7" x14ac:dyDescent="0.2">
      <c r="A421" s="2" t="s">
        <v>12</v>
      </c>
      <c r="B421" s="14">
        <v>39234</v>
      </c>
      <c r="C421" s="2">
        <v>6.9912857689000005E-2</v>
      </c>
      <c r="D421" s="2">
        <v>0</v>
      </c>
      <c r="E421" s="2">
        <v>1</v>
      </c>
      <c r="F421" s="2">
        <v>2.6554902791662499E-3</v>
      </c>
      <c r="G421" s="2">
        <v>1</v>
      </c>
    </row>
    <row r="422" spans="1:7" x14ac:dyDescent="0.2">
      <c r="A422" s="2" t="s">
        <v>12</v>
      </c>
      <c r="B422" s="14">
        <v>39264</v>
      </c>
      <c r="C422" s="2">
        <v>-5.5052450193999999E-2</v>
      </c>
      <c r="D422" s="19">
        <v>-9.5472088999999993E-5</v>
      </c>
      <c r="E422" s="2">
        <v>1</v>
      </c>
      <c r="F422" s="2">
        <v>4.3777356691988697E-3</v>
      </c>
      <c r="G422" s="2">
        <v>1</v>
      </c>
    </row>
    <row r="423" spans="1:7" x14ac:dyDescent="0.2">
      <c r="A423" s="2" t="s">
        <v>12</v>
      </c>
      <c r="B423" s="14">
        <v>39295</v>
      </c>
      <c r="C423" s="2">
        <v>-3.5869182978E-2</v>
      </c>
      <c r="D423" s="2">
        <v>6.0603633999999995E-4</v>
      </c>
      <c r="E423" s="2">
        <v>1</v>
      </c>
      <c r="F423" s="2">
        <v>-3.07840962136126E-3</v>
      </c>
      <c r="G423" s="2">
        <v>1</v>
      </c>
    </row>
    <row r="424" spans="1:7" x14ac:dyDescent="0.2">
      <c r="A424" s="2" t="s">
        <v>12</v>
      </c>
      <c r="B424" s="14">
        <v>39326</v>
      </c>
      <c r="C424" s="2">
        <v>-3.6474164135000001E-2</v>
      </c>
      <c r="D424" s="2">
        <v>4.1937350999999998E-4</v>
      </c>
      <c r="E424" s="2">
        <v>1</v>
      </c>
      <c r="F424" s="2">
        <v>-4.1868120901741501E-3</v>
      </c>
      <c r="G424" s="2">
        <v>1</v>
      </c>
    </row>
    <row r="425" spans="1:7" x14ac:dyDescent="0.2">
      <c r="A425" s="2" t="s">
        <v>12</v>
      </c>
      <c r="B425" s="14">
        <v>39356</v>
      </c>
      <c r="C425" s="2">
        <v>4.6126909666999998E-2</v>
      </c>
      <c r="D425" s="2">
        <v>2.4085508999999999E-4</v>
      </c>
      <c r="E425" s="2">
        <v>1</v>
      </c>
      <c r="F425" s="2">
        <v>-7.4570941917054302E-3</v>
      </c>
      <c r="G425" s="2">
        <v>1</v>
      </c>
    </row>
    <row r="426" spans="1:7" x14ac:dyDescent="0.2">
      <c r="A426" s="2" t="s">
        <v>12</v>
      </c>
      <c r="B426" s="14">
        <v>39387</v>
      </c>
      <c r="C426" s="2">
        <v>-9.0633708953999997E-2</v>
      </c>
      <c r="D426" s="2">
        <v>-2.6304394000000002E-3</v>
      </c>
      <c r="E426" s="2">
        <v>1</v>
      </c>
      <c r="F426" s="2">
        <v>-7.12083746643539E-3</v>
      </c>
      <c r="G426" s="2">
        <v>1</v>
      </c>
    </row>
    <row r="427" spans="1:7" x14ac:dyDescent="0.2">
      <c r="A427" s="2" t="s">
        <v>12</v>
      </c>
      <c r="B427" s="14">
        <v>39417</v>
      </c>
      <c r="C427" s="2">
        <v>-4.0639573616999998E-2</v>
      </c>
      <c r="D427" s="2">
        <v>-1.7048394E-3</v>
      </c>
      <c r="E427" s="2">
        <v>1</v>
      </c>
      <c r="F427" s="2">
        <v>-8.6777331307825098E-3</v>
      </c>
      <c r="G427" s="2">
        <v>1</v>
      </c>
    </row>
    <row r="428" spans="1:7" x14ac:dyDescent="0.2">
      <c r="A428" s="2" t="s">
        <v>12</v>
      </c>
      <c r="B428" s="14">
        <v>39448</v>
      </c>
      <c r="C428" s="2">
        <v>3.2681266814999999E-2</v>
      </c>
      <c r="D428" s="2">
        <v>3.6181404999999998E-4</v>
      </c>
      <c r="E428" s="2">
        <v>1</v>
      </c>
      <c r="F428" s="2">
        <v>-1.177638378104E-2</v>
      </c>
      <c r="G428" s="2">
        <v>1</v>
      </c>
    </row>
    <row r="429" spans="1:7" x14ac:dyDescent="0.2">
      <c r="A429" s="2" t="s">
        <v>12</v>
      </c>
      <c r="B429" s="14">
        <v>39479</v>
      </c>
      <c r="C429" s="2">
        <v>3.1315522488999999E-2</v>
      </c>
      <c r="D429" s="2">
        <v>-1.6388290000000001E-3</v>
      </c>
      <c r="E429" s="2">
        <v>1</v>
      </c>
      <c r="F429" s="2">
        <v>-9.3352109980127801E-3</v>
      </c>
      <c r="G429" s="2">
        <v>1</v>
      </c>
    </row>
    <row r="430" spans="1:7" x14ac:dyDescent="0.2">
      <c r="A430" s="2" t="s">
        <v>12</v>
      </c>
      <c r="B430" s="14">
        <v>39508</v>
      </c>
      <c r="C430" s="2">
        <v>-1.2854144806999999E-2</v>
      </c>
      <c r="D430" s="19">
        <v>1.8260509E-5</v>
      </c>
      <c r="E430" s="2">
        <v>1</v>
      </c>
      <c r="F430" s="2">
        <v>-7.5143817074231596E-3</v>
      </c>
      <c r="G430" s="2">
        <v>1</v>
      </c>
    </row>
    <row r="431" spans="1:7" x14ac:dyDescent="0.2">
      <c r="A431" s="2" t="s">
        <v>12</v>
      </c>
      <c r="B431" s="14">
        <v>39539</v>
      </c>
      <c r="C431" s="2">
        <v>7.6295194457999996E-2</v>
      </c>
      <c r="D431" s="2">
        <v>-6.8144330999999995E-4</v>
      </c>
      <c r="E431" s="2">
        <v>1</v>
      </c>
      <c r="F431" s="2">
        <v>-6.8951915561707797E-3</v>
      </c>
      <c r="G431" s="2">
        <v>1</v>
      </c>
    </row>
    <row r="432" spans="1:7" x14ac:dyDescent="0.2">
      <c r="A432" s="2" t="s">
        <v>12</v>
      </c>
      <c r="B432" s="14">
        <v>39569</v>
      </c>
      <c r="C432" s="2">
        <v>-6.5303543736000003E-2</v>
      </c>
      <c r="D432" s="2">
        <v>-4.2886612999999999E-4</v>
      </c>
      <c r="E432" s="2">
        <v>1</v>
      </c>
      <c r="F432" s="2">
        <v>-6.0501222252031198E-3</v>
      </c>
      <c r="G432" s="2">
        <v>1</v>
      </c>
    </row>
    <row r="433" spans="1:7" x14ac:dyDescent="0.2">
      <c r="A433" s="2" t="s">
        <v>12</v>
      </c>
      <c r="B433" s="14">
        <v>39600</v>
      </c>
      <c r="C433" s="2">
        <v>-7.0873786408000003E-2</v>
      </c>
      <c r="D433" s="2">
        <v>-1.0766769000000001E-4</v>
      </c>
      <c r="E433" s="2">
        <v>1</v>
      </c>
      <c r="F433" s="2">
        <v>-5.0197503699538097E-3</v>
      </c>
      <c r="G433" s="2">
        <v>1</v>
      </c>
    </row>
    <row r="434" spans="1:7" x14ac:dyDescent="0.2">
      <c r="A434" s="2" t="s">
        <v>12</v>
      </c>
      <c r="B434" s="14">
        <v>39630</v>
      </c>
      <c r="C434" s="2">
        <v>0.16547582987000001</v>
      </c>
      <c r="D434" s="2">
        <v>5.6579692000000004E-4</v>
      </c>
      <c r="E434" s="2">
        <v>1</v>
      </c>
      <c r="F434" s="2">
        <v>-5.8157959217508002E-3</v>
      </c>
      <c r="G434" s="2">
        <v>1</v>
      </c>
    </row>
    <row r="435" spans="1:7" x14ac:dyDescent="0.2">
      <c r="A435" s="2" t="s">
        <v>12</v>
      </c>
      <c r="B435" s="14">
        <v>39661</v>
      </c>
      <c r="C435" s="2">
        <v>4.1841004168000004E-3</v>
      </c>
      <c r="D435" s="2">
        <v>1.8184549E-3</v>
      </c>
      <c r="E435" s="2">
        <v>1</v>
      </c>
      <c r="F435" s="2">
        <v>-4.6747575890987501E-4</v>
      </c>
      <c r="G435" s="2">
        <v>1</v>
      </c>
    </row>
    <row r="436" spans="1:7" x14ac:dyDescent="0.2">
      <c r="A436" s="2" t="s">
        <v>12</v>
      </c>
      <c r="B436" s="14">
        <v>39692</v>
      </c>
      <c r="C436" s="2">
        <v>-9.1538461537999993E-2</v>
      </c>
      <c r="D436" s="2">
        <v>-2.1115649000000001E-3</v>
      </c>
      <c r="E436" s="2">
        <v>1</v>
      </c>
      <c r="F436" s="2">
        <v>-1.23056069487025E-3</v>
      </c>
      <c r="G436" s="2">
        <v>1</v>
      </c>
    </row>
    <row r="437" spans="1:7" x14ac:dyDescent="0.2">
      <c r="A437" s="2" t="s">
        <v>12</v>
      </c>
      <c r="B437" s="14">
        <v>39722</v>
      </c>
      <c r="C437" s="2">
        <v>-6.5087277008000002E-2</v>
      </c>
      <c r="D437" s="2">
        <v>-1.2413712999999999E-3</v>
      </c>
      <c r="E437" s="2">
        <v>1</v>
      </c>
      <c r="F437" s="2">
        <v>-3.1788633295795998E-3</v>
      </c>
      <c r="G437" s="2">
        <v>1</v>
      </c>
    </row>
    <row r="438" spans="1:7" x14ac:dyDescent="0.2">
      <c r="A438" s="2" t="s">
        <v>12</v>
      </c>
      <c r="B438" s="14">
        <v>39753</v>
      </c>
      <c r="C438" s="2">
        <v>0.10081992104</v>
      </c>
      <c r="D438" s="2">
        <v>1.8843561E-3</v>
      </c>
      <c r="E438" s="2">
        <v>1</v>
      </c>
      <c r="F438" s="2">
        <v>-7.0672644597277803E-3</v>
      </c>
      <c r="G438" s="2">
        <v>1</v>
      </c>
    </row>
    <row r="439" spans="1:7" x14ac:dyDescent="0.2">
      <c r="A439" s="2" t="s">
        <v>12</v>
      </c>
      <c r="B439" s="14">
        <v>39783</v>
      </c>
      <c r="C439" s="2">
        <v>-1.7241379311000001E-2</v>
      </c>
      <c r="D439" s="2">
        <v>-1.3930889000000001E-4</v>
      </c>
      <c r="E439" s="2">
        <v>1</v>
      </c>
      <c r="F439" s="2">
        <v>-2.4428238241972901E-3</v>
      </c>
      <c r="G439" s="2">
        <v>1</v>
      </c>
    </row>
    <row r="440" spans="1:7" x14ac:dyDescent="0.2">
      <c r="A440" s="2" t="s">
        <v>13</v>
      </c>
      <c r="B440" s="14">
        <v>37591</v>
      </c>
      <c r="E440" s="2">
        <v>1</v>
      </c>
      <c r="G440" s="2">
        <v>2</v>
      </c>
    </row>
    <row r="441" spans="1:7" x14ac:dyDescent="0.2">
      <c r="A441" s="2" t="s">
        <v>13</v>
      </c>
      <c r="B441" s="14">
        <v>37622</v>
      </c>
      <c r="E441" s="2">
        <v>1</v>
      </c>
      <c r="G441" s="2">
        <v>2</v>
      </c>
    </row>
    <row r="442" spans="1:7" x14ac:dyDescent="0.2">
      <c r="A442" s="2" t="s">
        <v>13</v>
      </c>
      <c r="B442" s="14">
        <v>37653</v>
      </c>
      <c r="E442" s="2">
        <v>1</v>
      </c>
      <c r="G442" s="2">
        <v>2</v>
      </c>
    </row>
    <row r="443" spans="1:7" x14ac:dyDescent="0.2">
      <c r="A443" s="2" t="s">
        <v>13</v>
      </c>
      <c r="B443" s="14">
        <v>37681</v>
      </c>
      <c r="E443" s="2">
        <v>1</v>
      </c>
      <c r="G443" s="2">
        <v>2</v>
      </c>
    </row>
    <row r="444" spans="1:7" x14ac:dyDescent="0.2">
      <c r="A444" s="2" t="s">
        <v>13</v>
      </c>
      <c r="B444" s="14">
        <v>37712</v>
      </c>
      <c r="E444" s="2">
        <v>1</v>
      </c>
      <c r="G444" s="2">
        <v>2</v>
      </c>
    </row>
    <row r="445" spans="1:7" x14ac:dyDescent="0.2">
      <c r="A445" s="2" t="s">
        <v>13</v>
      </c>
      <c r="B445" s="14">
        <v>37742</v>
      </c>
      <c r="E445" s="2">
        <v>1</v>
      </c>
      <c r="G445" s="2">
        <v>2</v>
      </c>
    </row>
    <row r="446" spans="1:7" x14ac:dyDescent="0.2">
      <c r="A446" s="2" t="s">
        <v>13</v>
      </c>
      <c r="B446" s="14">
        <v>37773</v>
      </c>
      <c r="E446" s="2">
        <v>1</v>
      </c>
      <c r="G446" s="2">
        <v>2</v>
      </c>
    </row>
    <row r="447" spans="1:7" x14ac:dyDescent="0.2">
      <c r="A447" s="2" t="s">
        <v>13</v>
      </c>
      <c r="B447" s="14">
        <v>37803</v>
      </c>
      <c r="E447" s="2">
        <v>1</v>
      </c>
      <c r="G447" s="2">
        <v>2</v>
      </c>
    </row>
    <row r="448" spans="1:7" x14ac:dyDescent="0.2">
      <c r="A448" s="2" t="s">
        <v>13</v>
      </c>
      <c r="B448" s="14">
        <v>37834</v>
      </c>
      <c r="E448" s="2">
        <v>1</v>
      </c>
      <c r="G448" s="2">
        <v>2</v>
      </c>
    </row>
    <row r="449" spans="1:7" x14ac:dyDescent="0.2">
      <c r="A449" s="2" t="s">
        <v>13</v>
      </c>
      <c r="B449" s="14">
        <v>37865</v>
      </c>
      <c r="E449" s="2">
        <v>1</v>
      </c>
      <c r="G449" s="2">
        <v>2</v>
      </c>
    </row>
    <row r="450" spans="1:7" x14ac:dyDescent="0.2">
      <c r="A450" s="2" t="s">
        <v>13</v>
      </c>
      <c r="B450" s="14">
        <v>37895</v>
      </c>
      <c r="E450" s="2">
        <v>1</v>
      </c>
      <c r="G450" s="2">
        <v>2</v>
      </c>
    </row>
    <row r="451" spans="1:7" x14ac:dyDescent="0.2">
      <c r="A451" s="2" t="s">
        <v>13</v>
      </c>
      <c r="B451" s="14">
        <v>37926</v>
      </c>
      <c r="E451" s="2">
        <v>1</v>
      </c>
      <c r="G451" s="2">
        <v>2</v>
      </c>
    </row>
    <row r="452" spans="1:7" x14ac:dyDescent="0.2">
      <c r="A452" s="2" t="s">
        <v>13</v>
      </c>
      <c r="B452" s="14">
        <v>37956</v>
      </c>
      <c r="E452" s="2">
        <v>1</v>
      </c>
      <c r="G452" s="2">
        <v>2</v>
      </c>
    </row>
    <row r="453" spans="1:7" x14ac:dyDescent="0.2">
      <c r="A453" s="2" t="s">
        <v>13</v>
      </c>
      <c r="B453" s="14">
        <v>37987</v>
      </c>
      <c r="E453" s="2">
        <v>1</v>
      </c>
      <c r="G453" s="2">
        <v>2</v>
      </c>
    </row>
    <row r="454" spans="1:7" x14ac:dyDescent="0.2">
      <c r="A454" s="2" t="s">
        <v>13</v>
      </c>
      <c r="B454" s="14">
        <v>38018</v>
      </c>
      <c r="E454" s="2">
        <v>1</v>
      </c>
      <c r="G454" s="2">
        <v>2</v>
      </c>
    </row>
    <row r="455" spans="1:7" x14ac:dyDescent="0.2">
      <c r="A455" s="2" t="s">
        <v>13</v>
      </c>
      <c r="B455" s="14">
        <v>38047</v>
      </c>
      <c r="E455" s="2">
        <v>1</v>
      </c>
      <c r="G455" s="2">
        <v>2</v>
      </c>
    </row>
    <row r="456" spans="1:7" x14ac:dyDescent="0.2">
      <c r="A456" s="2" t="s">
        <v>13</v>
      </c>
      <c r="B456" s="14">
        <v>38078</v>
      </c>
      <c r="E456" s="2">
        <v>1</v>
      </c>
      <c r="G456" s="2">
        <v>2</v>
      </c>
    </row>
    <row r="457" spans="1:7" x14ac:dyDescent="0.2">
      <c r="A457" s="2" t="s">
        <v>13</v>
      </c>
      <c r="B457" s="14">
        <v>38108</v>
      </c>
      <c r="E457" s="2">
        <v>1</v>
      </c>
      <c r="G457" s="2">
        <v>2</v>
      </c>
    </row>
    <row r="458" spans="1:7" x14ac:dyDescent="0.2">
      <c r="A458" s="2" t="s">
        <v>13</v>
      </c>
      <c r="B458" s="14">
        <v>38139</v>
      </c>
      <c r="E458" s="2">
        <v>1</v>
      </c>
      <c r="G458" s="2">
        <v>2</v>
      </c>
    </row>
    <row r="459" spans="1:7" x14ac:dyDescent="0.2">
      <c r="A459" s="2" t="s">
        <v>13</v>
      </c>
      <c r="B459" s="14">
        <v>38169</v>
      </c>
      <c r="E459" s="2">
        <v>1</v>
      </c>
      <c r="G459" s="2">
        <v>2</v>
      </c>
    </row>
    <row r="460" spans="1:7" x14ac:dyDescent="0.2">
      <c r="A460" s="2" t="s">
        <v>13</v>
      </c>
      <c r="B460" s="14">
        <v>38200</v>
      </c>
      <c r="E460" s="2">
        <v>1</v>
      </c>
      <c r="G460" s="2">
        <v>2</v>
      </c>
    </row>
    <row r="461" spans="1:7" x14ac:dyDescent="0.2">
      <c r="A461" s="2" t="s">
        <v>13</v>
      </c>
      <c r="B461" s="14">
        <v>38231</v>
      </c>
      <c r="E461" s="2">
        <v>1</v>
      </c>
      <c r="G461" s="2">
        <v>2</v>
      </c>
    </row>
    <row r="462" spans="1:7" x14ac:dyDescent="0.2">
      <c r="A462" s="2" t="s">
        <v>13</v>
      </c>
      <c r="B462" s="14">
        <v>38261</v>
      </c>
      <c r="E462" s="2">
        <v>1</v>
      </c>
      <c r="G462" s="2">
        <v>2</v>
      </c>
    </row>
    <row r="463" spans="1:7" x14ac:dyDescent="0.2">
      <c r="A463" s="2" t="s">
        <v>13</v>
      </c>
      <c r="B463" s="14">
        <v>38292</v>
      </c>
      <c r="E463" s="2">
        <v>1</v>
      </c>
      <c r="G463" s="2">
        <v>2</v>
      </c>
    </row>
    <row r="464" spans="1:7" x14ac:dyDescent="0.2">
      <c r="A464" s="2" t="s">
        <v>13</v>
      </c>
      <c r="B464" s="14">
        <v>38322</v>
      </c>
      <c r="C464" s="2">
        <v>1.5632327650000001E-3</v>
      </c>
      <c r="E464" s="2">
        <v>1</v>
      </c>
      <c r="G464" s="2">
        <v>2</v>
      </c>
    </row>
    <row r="465" spans="1:7" x14ac:dyDescent="0.2">
      <c r="A465" s="2" t="s">
        <v>13</v>
      </c>
      <c r="B465" s="14">
        <v>38353</v>
      </c>
      <c r="C465" s="2">
        <v>0.37941969241000001</v>
      </c>
      <c r="E465" s="2">
        <v>1</v>
      </c>
      <c r="G465" s="2">
        <v>2</v>
      </c>
    </row>
    <row r="466" spans="1:7" x14ac:dyDescent="0.2">
      <c r="A466" s="2" t="s">
        <v>13</v>
      </c>
      <c r="B466" s="14">
        <v>38384</v>
      </c>
      <c r="C466" s="2">
        <v>1.1494252874000001E-2</v>
      </c>
      <c r="E466" s="2">
        <v>1</v>
      </c>
      <c r="G466" s="2">
        <v>2</v>
      </c>
    </row>
    <row r="467" spans="1:7" x14ac:dyDescent="0.2">
      <c r="A467" s="2" t="s">
        <v>13</v>
      </c>
      <c r="B467" s="14">
        <v>38412</v>
      </c>
      <c r="C467" s="2">
        <v>0.18181818182000001</v>
      </c>
      <c r="E467" s="2">
        <v>1</v>
      </c>
      <c r="G467" s="2">
        <v>2</v>
      </c>
    </row>
    <row r="468" spans="1:7" x14ac:dyDescent="0.2">
      <c r="A468" s="2" t="s">
        <v>13</v>
      </c>
      <c r="B468" s="14">
        <v>38443</v>
      </c>
      <c r="C468" s="2">
        <v>-3.3188018561000003E-2</v>
      </c>
      <c r="E468" s="2">
        <v>1</v>
      </c>
      <c r="G468" s="2">
        <v>2</v>
      </c>
    </row>
    <row r="469" spans="1:7" x14ac:dyDescent="0.2">
      <c r="A469" s="2" t="s">
        <v>13</v>
      </c>
      <c r="B469" s="14">
        <v>38473</v>
      </c>
      <c r="C469" s="2">
        <v>-9.0909090910999996E-2</v>
      </c>
      <c r="E469" s="2">
        <v>1</v>
      </c>
      <c r="G469" s="2">
        <v>2</v>
      </c>
    </row>
    <row r="470" spans="1:7" x14ac:dyDescent="0.2">
      <c r="A470" s="2" t="s">
        <v>13</v>
      </c>
      <c r="B470" s="14">
        <v>38504</v>
      </c>
      <c r="C470" s="2">
        <v>0.11907563059</v>
      </c>
      <c r="E470" s="2">
        <v>1</v>
      </c>
      <c r="G470" s="2">
        <v>2</v>
      </c>
    </row>
    <row r="471" spans="1:7" x14ac:dyDescent="0.2">
      <c r="A471" s="2" t="s">
        <v>13</v>
      </c>
      <c r="B471" s="14">
        <v>38534</v>
      </c>
      <c r="C471" s="2">
        <v>-1.8192550488999999E-2</v>
      </c>
      <c r="E471" s="2">
        <v>1</v>
      </c>
      <c r="G471" s="2">
        <v>2</v>
      </c>
    </row>
    <row r="472" spans="1:7" x14ac:dyDescent="0.2">
      <c r="A472" s="2" t="s">
        <v>13</v>
      </c>
      <c r="B472" s="14">
        <v>38565</v>
      </c>
      <c r="C472" s="2">
        <v>3.5897435897E-2</v>
      </c>
      <c r="E472" s="2">
        <v>1</v>
      </c>
      <c r="F472" s="2">
        <v>2.41646826527195E-2</v>
      </c>
      <c r="G472" s="2">
        <v>2</v>
      </c>
    </row>
    <row r="473" spans="1:7" x14ac:dyDescent="0.2">
      <c r="A473" s="2" t="s">
        <v>13</v>
      </c>
      <c r="B473" s="14">
        <v>38596</v>
      </c>
      <c r="C473" s="2">
        <v>3.4653465347E-2</v>
      </c>
      <c r="E473" s="2">
        <v>1</v>
      </c>
      <c r="F473" s="2">
        <v>2.4612680518246399E-2</v>
      </c>
      <c r="G473" s="2">
        <v>2</v>
      </c>
    </row>
    <row r="474" spans="1:7" x14ac:dyDescent="0.2">
      <c r="A474" s="2" t="s">
        <v>13</v>
      </c>
      <c r="B474" s="14">
        <v>38626</v>
      </c>
      <c r="C474" s="2">
        <v>-2.4063484654E-2</v>
      </c>
      <c r="E474" s="2">
        <v>1</v>
      </c>
      <c r="F474" s="2">
        <v>2.0090354620513201E-2</v>
      </c>
      <c r="G474" s="2">
        <v>2</v>
      </c>
    </row>
    <row r="475" spans="1:7" x14ac:dyDescent="0.2">
      <c r="A475" s="2" t="s">
        <v>13</v>
      </c>
      <c r="B475" s="14">
        <v>38657</v>
      </c>
      <c r="C475" s="2">
        <v>-5.9108910890999997E-2</v>
      </c>
      <c r="E475" s="2">
        <v>1</v>
      </c>
      <c r="F475" s="2">
        <v>2.0350146092708399E-2</v>
      </c>
      <c r="G475" s="2">
        <v>2</v>
      </c>
    </row>
    <row r="476" spans="1:7" x14ac:dyDescent="0.2">
      <c r="A476" s="2" t="s">
        <v>13</v>
      </c>
      <c r="B476" s="14">
        <v>38687</v>
      </c>
      <c r="C476" s="2">
        <v>-3.7146164369E-2</v>
      </c>
      <c r="E476" s="2">
        <v>1</v>
      </c>
      <c r="F476" s="2">
        <v>2.1372337954484701E-2</v>
      </c>
      <c r="G476" s="2">
        <v>2</v>
      </c>
    </row>
    <row r="477" spans="1:7" x14ac:dyDescent="0.2">
      <c r="A477" s="2" t="s">
        <v>13</v>
      </c>
      <c r="B477" s="14">
        <v>38718</v>
      </c>
      <c r="C477" s="2">
        <v>5.4295508233000001E-2</v>
      </c>
      <c r="E477" s="2">
        <v>1</v>
      </c>
      <c r="F477" s="2">
        <v>1.6974427482557598E-2</v>
      </c>
      <c r="G477" s="2">
        <v>2</v>
      </c>
    </row>
    <row r="478" spans="1:7" x14ac:dyDescent="0.2">
      <c r="A478" s="2" t="s">
        <v>13</v>
      </c>
      <c r="B478" s="14">
        <v>38749</v>
      </c>
      <c r="C478" s="2">
        <v>6.25E-2</v>
      </c>
      <c r="E478" s="2">
        <v>1</v>
      </c>
      <c r="F478" s="2">
        <v>1.7953740736498299E-2</v>
      </c>
      <c r="G478" s="2">
        <v>2</v>
      </c>
    </row>
    <row r="479" spans="1:7" x14ac:dyDescent="0.2">
      <c r="A479" s="2" t="s">
        <v>13</v>
      </c>
      <c r="B479" s="14">
        <v>38777</v>
      </c>
      <c r="C479" s="2">
        <v>9.8039215685E-2</v>
      </c>
      <c r="E479" s="2">
        <v>1</v>
      </c>
      <c r="F479" s="2">
        <v>1.8607100919287599E-2</v>
      </c>
      <c r="G479" s="2">
        <v>2</v>
      </c>
    </row>
    <row r="480" spans="1:7" x14ac:dyDescent="0.2">
      <c r="A480" s="2" t="s">
        <v>13</v>
      </c>
      <c r="B480" s="14">
        <v>38808</v>
      </c>
      <c r="C480" s="2">
        <v>5.9927650733E-2</v>
      </c>
      <c r="E480" s="2">
        <v>1</v>
      </c>
      <c r="F480" s="2">
        <v>1.9977575870936602E-2</v>
      </c>
      <c r="G480" s="2">
        <v>2</v>
      </c>
    </row>
    <row r="481" spans="1:7" x14ac:dyDescent="0.2">
      <c r="A481" s="2" t="s">
        <v>13</v>
      </c>
      <c r="B481" s="14">
        <v>38838</v>
      </c>
      <c r="C481" s="2">
        <v>-1.7094017095E-2</v>
      </c>
      <c r="E481" s="2">
        <v>1</v>
      </c>
      <c r="F481" s="2">
        <v>2.22990876740294E-2</v>
      </c>
      <c r="G481" s="2">
        <v>2</v>
      </c>
    </row>
    <row r="482" spans="1:7" x14ac:dyDescent="0.2">
      <c r="A482" s="2" t="s">
        <v>13</v>
      </c>
      <c r="B482" s="14">
        <v>38869</v>
      </c>
      <c r="C482" s="2">
        <v>-6.9652173913999998E-2</v>
      </c>
      <c r="E482" s="2">
        <v>1</v>
      </c>
      <c r="F482" s="2">
        <v>2.3392936014468398E-2</v>
      </c>
      <c r="G482" s="2">
        <v>2</v>
      </c>
    </row>
    <row r="483" spans="1:7" x14ac:dyDescent="0.2">
      <c r="A483" s="2" t="s">
        <v>13</v>
      </c>
      <c r="B483" s="14">
        <v>38899</v>
      </c>
      <c r="C483" s="2">
        <v>4.3491835586E-3</v>
      </c>
      <c r="E483" s="2">
        <v>1</v>
      </c>
      <c r="F483" s="2">
        <v>2.2578227313271599E-2</v>
      </c>
      <c r="G483" s="2">
        <v>2</v>
      </c>
    </row>
    <row r="484" spans="1:7" x14ac:dyDescent="0.2">
      <c r="A484" s="2" t="s">
        <v>13</v>
      </c>
      <c r="B484" s="14">
        <v>38930</v>
      </c>
      <c r="C484" s="2">
        <v>-1.4018691589E-2</v>
      </c>
      <c r="E484" s="2">
        <v>1</v>
      </c>
      <c r="F484" s="2">
        <v>1.7938306479976698E-2</v>
      </c>
      <c r="G484" s="2">
        <v>2</v>
      </c>
    </row>
    <row r="485" spans="1:7" x14ac:dyDescent="0.2">
      <c r="A485" s="2" t="s">
        <v>13</v>
      </c>
      <c r="B485" s="14">
        <v>38961</v>
      </c>
      <c r="C485" s="2">
        <v>5.2132701421000002E-2</v>
      </c>
      <c r="E485" s="2">
        <v>1</v>
      </c>
      <c r="F485" s="2">
        <v>1.5757933396549802E-2</v>
      </c>
      <c r="G485" s="2">
        <v>2</v>
      </c>
    </row>
    <row r="486" spans="1:7" x14ac:dyDescent="0.2">
      <c r="A486" s="2" t="s">
        <v>13</v>
      </c>
      <c r="B486" s="14">
        <v>38991</v>
      </c>
      <c r="C486" s="2">
        <v>0.13543464438</v>
      </c>
      <c r="E486" s="2">
        <v>1</v>
      </c>
      <c r="F486" s="2">
        <v>1.4335342835422701E-2</v>
      </c>
      <c r="G486" s="2">
        <v>2</v>
      </c>
    </row>
    <row r="487" spans="1:7" x14ac:dyDescent="0.2">
      <c r="A487" s="2" t="s">
        <v>13</v>
      </c>
      <c r="B487" s="14">
        <v>39022</v>
      </c>
      <c r="C487" s="2">
        <v>0</v>
      </c>
      <c r="E487" s="2">
        <v>1</v>
      </c>
      <c r="F487" s="2">
        <v>1.64292126450797E-2</v>
      </c>
      <c r="G487" s="2">
        <v>2</v>
      </c>
    </row>
    <row r="488" spans="1:7" x14ac:dyDescent="0.2">
      <c r="A488" s="2" t="s">
        <v>13</v>
      </c>
      <c r="B488" s="14">
        <v>39052</v>
      </c>
      <c r="C488" s="2">
        <v>-1.2799999999E-2</v>
      </c>
      <c r="E488" s="2">
        <v>1</v>
      </c>
      <c r="F488" s="2">
        <v>1.6834288980206901E-2</v>
      </c>
      <c r="G488" s="2">
        <v>2</v>
      </c>
    </row>
    <row r="489" spans="1:7" x14ac:dyDescent="0.2">
      <c r="A489" s="2" t="s">
        <v>13</v>
      </c>
      <c r="B489" s="14">
        <v>39083</v>
      </c>
      <c r="C489" s="2">
        <v>0.19562872298</v>
      </c>
      <c r="E489" s="2">
        <v>1</v>
      </c>
      <c r="F489" s="2">
        <v>1.84682003608749E-2</v>
      </c>
      <c r="G489" s="2">
        <v>2</v>
      </c>
    </row>
    <row r="490" spans="1:7" x14ac:dyDescent="0.2">
      <c r="A490" s="2" t="s">
        <v>13</v>
      </c>
      <c r="B490" s="14">
        <v>39114</v>
      </c>
      <c r="C490" s="2">
        <v>-4.1095890410000002E-2</v>
      </c>
      <c r="D490" s="2">
        <v>0</v>
      </c>
      <c r="E490" s="2">
        <v>1</v>
      </c>
      <c r="F490" s="2">
        <v>2.3938250792351502E-2</v>
      </c>
      <c r="G490" s="2">
        <v>2</v>
      </c>
    </row>
    <row r="491" spans="1:7" x14ac:dyDescent="0.2">
      <c r="A491" s="2" t="s">
        <v>13</v>
      </c>
      <c r="B491" s="14">
        <v>39142</v>
      </c>
      <c r="C491" s="2">
        <v>0.12857142857000001</v>
      </c>
      <c r="D491" s="2">
        <v>0</v>
      </c>
      <c r="E491" s="2">
        <v>1</v>
      </c>
      <c r="F491" s="2">
        <v>2.3311893881621599E-2</v>
      </c>
      <c r="G491" s="2">
        <v>2</v>
      </c>
    </row>
    <row r="492" spans="1:7" x14ac:dyDescent="0.2">
      <c r="A492" s="2" t="s">
        <v>13</v>
      </c>
      <c r="B492" s="14">
        <v>39173</v>
      </c>
      <c r="C492" s="2">
        <v>0.21381686180000001</v>
      </c>
      <c r="D492" s="2">
        <v>-1.7447445000000001E-3</v>
      </c>
      <c r="E492" s="2">
        <v>1</v>
      </c>
      <c r="F492" s="2">
        <v>2.5278040986055701E-2</v>
      </c>
      <c r="G492" s="2">
        <v>2</v>
      </c>
    </row>
    <row r="493" spans="1:7" x14ac:dyDescent="0.2">
      <c r="A493" s="2" t="s">
        <v>13</v>
      </c>
      <c r="B493" s="14">
        <v>39203</v>
      </c>
      <c r="C493" s="2">
        <v>2.5789473683999999E-2</v>
      </c>
      <c r="D493" s="2">
        <v>0</v>
      </c>
      <c r="E493" s="2">
        <v>1</v>
      </c>
      <c r="F493" s="2">
        <v>2.74057972416662E-2</v>
      </c>
      <c r="G493" s="2">
        <v>2</v>
      </c>
    </row>
    <row r="494" spans="1:7" x14ac:dyDescent="0.2">
      <c r="A494" s="2" t="s">
        <v>13</v>
      </c>
      <c r="B494" s="14">
        <v>39234</v>
      </c>
      <c r="C494" s="2">
        <v>-2.0010261671999999E-2</v>
      </c>
      <c r="D494" s="2">
        <v>0</v>
      </c>
      <c r="E494" s="2">
        <v>1</v>
      </c>
      <c r="F494" s="2">
        <v>2.8058048773483699E-2</v>
      </c>
      <c r="G494" s="2">
        <v>2</v>
      </c>
    </row>
    <row r="495" spans="1:7" x14ac:dyDescent="0.2">
      <c r="A495" s="2" t="s">
        <v>13</v>
      </c>
      <c r="B495" s="14">
        <v>39264</v>
      </c>
      <c r="C495" s="2">
        <v>-3.2150020158000003E-2</v>
      </c>
      <c r="D495" s="2">
        <v>0</v>
      </c>
      <c r="E495" s="2">
        <v>1</v>
      </c>
      <c r="F495" s="2">
        <v>2.7804907662921201E-2</v>
      </c>
      <c r="G495" s="2">
        <v>2</v>
      </c>
    </row>
    <row r="496" spans="1:7" x14ac:dyDescent="0.2">
      <c r="A496" s="2" t="s">
        <v>13</v>
      </c>
      <c r="B496" s="14">
        <v>39295</v>
      </c>
      <c r="C496" s="2">
        <v>3.2608695649999998E-2</v>
      </c>
      <c r="D496" s="2">
        <v>0</v>
      </c>
      <c r="E496" s="2">
        <v>1</v>
      </c>
      <c r="F496" s="2">
        <v>1.81391634295332E-2</v>
      </c>
      <c r="G496" s="2">
        <v>2</v>
      </c>
    </row>
    <row r="497" spans="1:7" x14ac:dyDescent="0.2">
      <c r="A497" s="2" t="s">
        <v>13</v>
      </c>
      <c r="B497" s="14">
        <v>39326</v>
      </c>
      <c r="C497" s="2">
        <v>1.0526315789E-2</v>
      </c>
      <c r="D497" s="2">
        <v>0</v>
      </c>
      <c r="E497" s="2">
        <v>1</v>
      </c>
      <c r="F497" s="2">
        <v>2.0155889404865901E-2</v>
      </c>
      <c r="G497" s="2">
        <v>2</v>
      </c>
    </row>
    <row r="498" spans="1:7" x14ac:dyDescent="0.2">
      <c r="A498" s="2" t="s">
        <v>13</v>
      </c>
      <c r="B498" s="14">
        <v>39356</v>
      </c>
      <c r="C498" s="2">
        <v>-1.2954478962000001E-2</v>
      </c>
      <c r="D498" s="2">
        <v>0</v>
      </c>
      <c r="E498" s="2">
        <v>1</v>
      </c>
      <c r="F498" s="2">
        <v>1.6740086363069399E-2</v>
      </c>
      <c r="G498" s="2">
        <v>2</v>
      </c>
    </row>
    <row r="499" spans="1:7" x14ac:dyDescent="0.2">
      <c r="A499" s="2" t="s">
        <v>13</v>
      </c>
      <c r="B499" s="14">
        <v>39387</v>
      </c>
      <c r="C499" s="2">
        <v>-0.15119363394999999</v>
      </c>
      <c r="D499" s="2">
        <v>8.5274828999999999E-4</v>
      </c>
      <c r="E499" s="2">
        <v>1</v>
      </c>
      <c r="F499" s="2">
        <v>1.0189677528859801E-2</v>
      </c>
      <c r="G499" s="2">
        <v>2</v>
      </c>
    </row>
    <row r="500" spans="1:7" x14ac:dyDescent="0.2">
      <c r="A500" s="2" t="s">
        <v>13</v>
      </c>
      <c r="B500" s="14">
        <v>39417</v>
      </c>
      <c r="C500" s="2">
        <v>-6.2500000001000006E-2</v>
      </c>
      <c r="D500" s="2">
        <v>0</v>
      </c>
      <c r="E500" s="2">
        <v>1</v>
      </c>
      <c r="F500" s="2">
        <v>5.7436521109773698E-3</v>
      </c>
      <c r="G500" s="2">
        <v>2</v>
      </c>
    </row>
    <row r="501" spans="1:7" x14ac:dyDescent="0.2">
      <c r="A501" s="2" t="s">
        <v>13</v>
      </c>
      <c r="B501" s="14">
        <v>39448</v>
      </c>
      <c r="C501" s="2">
        <v>-0.12537119524000001</v>
      </c>
      <c r="D501" s="2">
        <v>2.9705273999999999E-3</v>
      </c>
      <c r="E501" s="2">
        <v>1</v>
      </c>
      <c r="F501" s="2">
        <v>4.7140051240321399E-3</v>
      </c>
      <c r="G501" s="2">
        <v>2</v>
      </c>
    </row>
    <row r="502" spans="1:7" x14ac:dyDescent="0.2">
      <c r="A502" s="2" t="s">
        <v>13</v>
      </c>
      <c r="B502" s="14">
        <v>39479</v>
      </c>
      <c r="C502" s="2">
        <v>2.6923076923E-2</v>
      </c>
      <c r="D502" s="2">
        <v>4.1655147999999998E-3</v>
      </c>
      <c r="E502" s="2">
        <v>1</v>
      </c>
      <c r="F502" s="2">
        <v>2.2162805070504699E-3</v>
      </c>
      <c r="G502" s="2">
        <v>2</v>
      </c>
    </row>
    <row r="503" spans="1:7" x14ac:dyDescent="0.2">
      <c r="A503" s="2" t="s">
        <v>13</v>
      </c>
      <c r="B503" s="14">
        <v>39508</v>
      </c>
      <c r="C503" s="2">
        <v>-2.6217228464E-2</v>
      </c>
      <c r="D503" s="2">
        <v>5.5604023000000004E-3</v>
      </c>
      <c r="E503" s="2">
        <v>1</v>
      </c>
      <c r="F503" s="2">
        <v>1.9833345725239399E-3</v>
      </c>
      <c r="G503" s="2">
        <v>2</v>
      </c>
    </row>
    <row r="504" spans="1:7" x14ac:dyDescent="0.2">
      <c r="A504" s="2" t="s">
        <v>13</v>
      </c>
      <c r="B504" s="14">
        <v>39539</v>
      </c>
      <c r="C504" s="2">
        <v>9.5467781510000002E-2</v>
      </c>
      <c r="D504" s="2">
        <v>5.8755069E-4</v>
      </c>
      <c r="E504" s="2">
        <v>1</v>
      </c>
      <c r="F504" s="2">
        <v>8.3081489810517403E-4</v>
      </c>
      <c r="G504" s="2">
        <v>2</v>
      </c>
    </row>
    <row r="505" spans="1:7" x14ac:dyDescent="0.2">
      <c r="A505" s="2" t="s">
        <v>13</v>
      </c>
      <c r="B505" s="14">
        <v>39569</v>
      </c>
      <c r="C505" s="2">
        <v>7.1428571428000007E-2</v>
      </c>
      <c r="D505" s="2">
        <v>0</v>
      </c>
      <c r="E505" s="2">
        <v>1</v>
      </c>
      <c r="F505" s="2">
        <v>3.3669156619189201E-3</v>
      </c>
      <c r="G505" s="2">
        <v>2</v>
      </c>
    </row>
    <row r="506" spans="1:7" x14ac:dyDescent="0.2">
      <c r="A506" s="2" t="s">
        <v>13</v>
      </c>
      <c r="B506" s="14">
        <v>39600</v>
      </c>
      <c r="C506" s="2">
        <v>2.5999999999999999E-2</v>
      </c>
      <c r="D506" s="2">
        <v>-2.1407906999999999E-3</v>
      </c>
      <c r="E506" s="2">
        <v>1</v>
      </c>
      <c r="F506" s="2">
        <v>9.7151507155350293E-3</v>
      </c>
      <c r="G506" s="2">
        <v>2</v>
      </c>
    </row>
    <row r="507" spans="1:7" x14ac:dyDescent="0.2">
      <c r="A507" s="2" t="s">
        <v>13</v>
      </c>
      <c r="B507" s="14">
        <v>39630</v>
      </c>
      <c r="C507" s="2">
        <v>-5.5390038490000001E-2</v>
      </c>
      <c r="D507" s="2">
        <v>0</v>
      </c>
      <c r="E507" s="2">
        <v>1</v>
      </c>
      <c r="F507" s="2">
        <v>1.22320632476798E-2</v>
      </c>
      <c r="G507" s="2">
        <v>2</v>
      </c>
    </row>
    <row r="508" spans="1:7" x14ac:dyDescent="0.2">
      <c r="A508" s="2" t="s">
        <v>13</v>
      </c>
      <c r="B508" s="14">
        <v>39661</v>
      </c>
      <c r="C508" s="2">
        <v>-0.17241379309999999</v>
      </c>
      <c r="D508" s="2">
        <v>1.0201063999999999E-3</v>
      </c>
      <c r="E508" s="2">
        <v>1</v>
      </c>
      <c r="F508" s="2">
        <v>1.3094915655589101E-2</v>
      </c>
      <c r="G508" s="2">
        <v>2</v>
      </c>
    </row>
    <row r="509" spans="1:7" x14ac:dyDescent="0.2">
      <c r="A509" s="2" t="s">
        <v>13</v>
      </c>
      <c r="B509" s="14">
        <v>39692</v>
      </c>
      <c r="C509" s="2">
        <v>-8.3333333334000004E-2</v>
      </c>
      <c r="D509" s="19">
        <v>3.3289295999999998E-6</v>
      </c>
      <c r="E509" s="2">
        <v>1</v>
      </c>
      <c r="F509" s="2">
        <v>7.9726790646099492E-3</v>
      </c>
      <c r="G509" s="2">
        <v>2</v>
      </c>
    </row>
    <row r="510" spans="1:7" x14ac:dyDescent="0.2">
      <c r="A510" s="2" t="s">
        <v>13</v>
      </c>
      <c r="B510" s="14">
        <v>39722</v>
      </c>
      <c r="C510" s="2">
        <v>-0.17729784028000001</v>
      </c>
      <c r="D510" s="19">
        <v>4.7436356000000002E-6</v>
      </c>
      <c r="E510" s="2">
        <v>1</v>
      </c>
      <c r="F510" s="2">
        <v>6.5227250237055402E-3</v>
      </c>
      <c r="G510" s="2">
        <v>2</v>
      </c>
    </row>
    <row r="511" spans="1:7" x14ac:dyDescent="0.2">
      <c r="A511" s="2" t="s">
        <v>13</v>
      </c>
      <c r="B511" s="14">
        <v>39753</v>
      </c>
      <c r="C511" s="2">
        <v>-3.3333333333000002E-2</v>
      </c>
      <c r="D511" s="2">
        <v>0</v>
      </c>
      <c r="E511" s="2">
        <v>1</v>
      </c>
      <c r="F511" s="2">
        <v>-7.4749673205119196E-4</v>
      </c>
      <c r="G511" s="2">
        <v>2</v>
      </c>
    </row>
    <row r="512" spans="1:7" x14ac:dyDescent="0.2">
      <c r="A512" s="2" t="s">
        <v>13</v>
      </c>
      <c r="B512" s="14">
        <v>39783</v>
      </c>
      <c r="C512" s="2">
        <v>-8.0459770114999996E-2</v>
      </c>
      <c r="D512" s="2">
        <v>0</v>
      </c>
      <c r="E512" s="2">
        <v>1</v>
      </c>
      <c r="F512" s="2">
        <v>-3.79482545526111E-3</v>
      </c>
      <c r="G512" s="2">
        <v>2</v>
      </c>
    </row>
    <row r="513" spans="1:7" x14ac:dyDescent="0.2">
      <c r="A513" s="2" t="s">
        <v>14</v>
      </c>
      <c r="B513" s="14">
        <v>37591</v>
      </c>
      <c r="C513" s="2">
        <v>9.6000000000999994E-2</v>
      </c>
      <c r="D513" s="2">
        <v>5.0222134000000001E-4</v>
      </c>
      <c r="E513" s="2">
        <v>1</v>
      </c>
      <c r="G513" s="2">
        <v>2</v>
      </c>
    </row>
    <row r="514" spans="1:7" x14ac:dyDescent="0.2">
      <c r="A514" s="2" t="s">
        <v>14</v>
      </c>
      <c r="B514" s="14">
        <v>37622</v>
      </c>
      <c r="C514" s="2">
        <v>-1.6058394161000002E-2</v>
      </c>
      <c r="D514" s="19">
        <v>2.1911733E-6</v>
      </c>
      <c r="E514" s="2">
        <v>1</v>
      </c>
      <c r="G514" s="2">
        <v>2</v>
      </c>
    </row>
    <row r="515" spans="1:7" x14ac:dyDescent="0.2">
      <c r="A515" s="2" t="s">
        <v>14</v>
      </c>
      <c r="B515" s="14">
        <v>37653</v>
      </c>
      <c r="C515" s="2">
        <v>3.8575667655E-2</v>
      </c>
      <c r="D515" s="19">
        <v>8.4853192999999997E-5</v>
      </c>
      <c r="E515" s="2">
        <v>1</v>
      </c>
      <c r="G515" s="2">
        <v>2</v>
      </c>
    </row>
    <row r="516" spans="1:7" x14ac:dyDescent="0.2">
      <c r="A516" s="2" t="s">
        <v>14</v>
      </c>
      <c r="B516" s="14">
        <v>37681</v>
      </c>
      <c r="C516" s="2">
        <v>2.8571428571E-2</v>
      </c>
      <c r="D516" s="2">
        <v>2.9673747000000001E-4</v>
      </c>
      <c r="E516" s="2">
        <v>1</v>
      </c>
      <c r="G516" s="2">
        <v>2</v>
      </c>
    </row>
    <row r="517" spans="1:7" x14ac:dyDescent="0.2">
      <c r="A517" s="2" t="s">
        <v>14</v>
      </c>
      <c r="B517" s="14">
        <v>37712</v>
      </c>
      <c r="C517" s="2">
        <v>0.17222222222</v>
      </c>
      <c r="D517" s="19">
        <v>5.8826429999999998E-5</v>
      </c>
      <c r="E517" s="2">
        <v>1</v>
      </c>
      <c r="G517" s="2">
        <v>2</v>
      </c>
    </row>
    <row r="518" spans="1:7" x14ac:dyDescent="0.2">
      <c r="A518" s="2" t="s">
        <v>14</v>
      </c>
      <c r="B518" s="14">
        <v>37742</v>
      </c>
      <c r="C518" s="2">
        <v>9.3150011591000004E-2</v>
      </c>
      <c r="D518" s="19">
        <v>5.3179778000000002E-5</v>
      </c>
      <c r="E518" s="2">
        <v>1</v>
      </c>
      <c r="G518" s="2">
        <v>2</v>
      </c>
    </row>
    <row r="519" spans="1:7" x14ac:dyDescent="0.2">
      <c r="A519" s="2" t="s">
        <v>14</v>
      </c>
      <c r="B519" s="14">
        <v>37773</v>
      </c>
      <c r="C519" s="2">
        <v>4.4422200521000002E-2</v>
      </c>
      <c r="D519" s="2">
        <v>2.2626561000000001E-3</v>
      </c>
      <c r="E519" s="2">
        <v>1</v>
      </c>
      <c r="G519" s="2">
        <v>2</v>
      </c>
    </row>
    <row r="520" spans="1:7" x14ac:dyDescent="0.2">
      <c r="A520" s="2" t="s">
        <v>14</v>
      </c>
      <c r="B520" s="14">
        <v>37803</v>
      </c>
      <c r="C520" s="2">
        <v>4.4703100496999999E-2</v>
      </c>
      <c r="D520" s="2">
        <v>1.6526926E-4</v>
      </c>
      <c r="E520" s="2">
        <v>1</v>
      </c>
      <c r="G520" s="2">
        <v>2</v>
      </c>
    </row>
    <row r="521" spans="1:7" x14ac:dyDescent="0.2">
      <c r="A521" s="2" t="s">
        <v>14</v>
      </c>
      <c r="B521" s="14">
        <v>37834</v>
      </c>
      <c r="C521" s="2">
        <v>0.14050914508000001</v>
      </c>
      <c r="D521" s="2">
        <v>6.1560358000000001E-4</v>
      </c>
      <c r="E521" s="2">
        <v>1</v>
      </c>
      <c r="F521" s="2">
        <v>3.5883198252248498E-2</v>
      </c>
      <c r="G521" s="2">
        <v>2</v>
      </c>
    </row>
    <row r="522" spans="1:7" x14ac:dyDescent="0.2">
      <c r="A522" s="2" t="s">
        <v>14</v>
      </c>
      <c r="B522" s="14">
        <v>37865</v>
      </c>
      <c r="C522" s="2">
        <v>8.0376454131999994E-2</v>
      </c>
      <c r="D522" s="2">
        <v>1.3050191000000001E-4</v>
      </c>
      <c r="E522" s="2">
        <v>1</v>
      </c>
      <c r="F522" s="2">
        <v>3.8581683490297301E-2</v>
      </c>
      <c r="G522" s="2">
        <v>2</v>
      </c>
    </row>
    <row r="523" spans="1:7" x14ac:dyDescent="0.2">
      <c r="A523" s="2" t="s">
        <v>14</v>
      </c>
      <c r="B523" s="14">
        <v>37895</v>
      </c>
      <c r="C523" s="2">
        <v>-8.4297520660999992E-3</v>
      </c>
      <c r="D523" s="2">
        <v>1.2998786E-3</v>
      </c>
      <c r="E523" s="2">
        <v>1</v>
      </c>
      <c r="F523" s="2">
        <v>3.9829467781544899E-2</v>
      </c>
      <c r="G523" s="2">
        <v>2</v>
      </c>
    </row>
    <row r="524" spans="1:7" x14ac:dyDescent="0.2">
      <c r="A524" s="2" t="s">
        <v>14</v>
      </c>
      <c r="B524" s="14">
        <v>37926</v>
      </c>
      <c r="C524" s="2">
        <v>-3.3172195364999997E-2</v>
      </c>
      <c r="D524" s="19">
        <v>-8.5547792000000006E-5</v>
      </c>
      <c r="E524" s="2">
        <v>1</v>
      </c>
      <c r="F524" s="2">
        <v>3.4665344905803898E-2</v>
      </c>
      <c r="G524" s="2">
        <v>2</v>
      </c>
    </row>
    <row r="525" spans="1:7" x14ac:dyDescent="0.2">
      <c r="A525" s="2" t="s">
        <v>14</v>
      </c>
      <c r="B525" s="14">
        <v>37956</v>
      </c>
      <c r="C525" s="2">
        <v>-1.7258620690999999E-2</v>
      </c>
      <c r="D525" s="2">
        <v>6.9000927000000001E-4</v>
      </c>
      <c r="E525" s="2">
        <v>1</v>
      </c>
      <c r="F525" s="2">
        <v>3.1160788497766601E-2</v>
      </c>
      <c r="G525" s="2">
        <v>2</v>
      </c>
    </row>
    <row r="526" spans="1:7" x14ac:dyDescent="0.2">
      <c r="A526" s="2" t="s">
        <v>14</v>
      </c>
      <c r="B526" s="14">
        <v>37987</v>
      </c>
      <c r="C526" s="2">
        <v>-5.2439516482000001E-2</v>
      </c>
      <c r="E526" s="2">
        <v>1</v>
      </c>
      <c r="F526" s="2">
        <v>2.9424111222695601E-2</v>
      </c>
      <c r="G526" s="2">
        <v>2</v>
      </c>
    </row>
    <row r="527" spans="1:7" x14ac:dyDescent="0.2">
      <c r="A527" s="2" t="s">
        <v>14</v>
      </c>
      <c r="B527" s="14">
        <v>38018</v>
      </c>
      <c r="C527" s="2">
        <v>0.14052953156</v>
      </c>
      <c r="E527" s="2">
        <v>1</v>
      </c>
      <c r="F527" s="2">
        <v>2.6814781076447899E-2</v>
      </c>
      <c r="G527" s="2">
        <v>2</v>
      </c>
    </row>
    <row r="528" spans="1:7" x14ac:dyDescent="0.2">
      <c r="A528" s="2" t="s">
        <v>14</v>
      </c>
      <c r="B528" s="14">
        <v>38047</v>
      </c>
      <c r="C528" s="2">
        <v>6.4935064928999999E-3</v>
      </c>
      <c r="D528" s="2">
        <v>2.4007284000000001E-3</v>
      </c>
      <c r="E528" s="2">
        <v>1</v>
      </c>
      <c r="F528" s="2">
        <v>2.6616439419755999E-2</v>
      </c>
      <c r="G528" s="2">
        <v>2</v>
      </c>
    </row>
    <row r="529" spans="1:7" x14ac:dyDescent="0.2">
      <c r="A529" s="2" t="s">
        <v>14</v>
      </c>
      <c r="B529" s="14">
        <v>38078</v>
      </c>
      <c r="C529" s="2">
        <v>-4.0483870967999998E-2</v>
      </c>
      <c r="D529" s="19">
        <v>2.8730665E-5</v>
      </c>
      <c r="E529" s="2">
        <v>1</v>
      </c>
      <c r="F529" s="2">
        <v>2.4484559129538501E-2</v>
      </c>
      <c r="G529" s="2">
        <v>2</v>
      </c>
    </row>
    <row r="530" spans="1:7" x14ac:dyDescent="0.2">
      <c r="A530" s="2" t="s">
        <v>14</v>
      </c>
      <c r="B530" s="14">
        <v>38108</v>
      </c>
      <c r="C530" s="2">
        <v>8.7784489733000004E-4</v>
      </c>
      <c r="D530" s="19">
        <v>8.6928229999999994E-5</v>
      </c>
      <c r="E530" s="2">
        <v>1</v>
      </c>
      <c r="F530" s="2">
        <v>2.3531853632651999E-2</v>
      </c>
      <c r="G530" s="2">
        <v>2</v>
      </c>
    </row>
    <row r="531" spans="1:7" x14ac:dyDescent="0.2">
      <c r="A531" s="2" t="s">
        <v>14</v>
      </c>
      <c r="B531" s="14">
        <v>38139</v>
      </c>
      <c r="C531" s="2">
        <v>2.7491408934999999E-2</v>
      </c>
      <c r="D531" s="2">
        <v>1.8285341999999999E-4</v>
      </c>
      <c r="E531" s="2">
        <v>1</v>
      </c>
      <c r="F531" s="2">
        <v>2.4524139055139699E-2</v>
      </c>
      <c r="G531" s="2">
        <v>2</v>
      </c>
    </row>
    <row r="532" spans="1:7" x14ac:dyDescent="0.2">
      <c r="A532" s="2" t="s">
        <v>14</v>
      </c>
      <c r="B532" s="14">
        <v>38169</v>
      </c>
      <c r="C532" s="2">
        <v>3.5117056856000001E-2</v>
      </c>
      <c r="D532" s="2">
        <v>1.9592595E-4</v>
      </c>
      <c r="E532" s="2">
        <v>1</v>
      </c>
      <c r="F532" s="2">
        <v>2.5750424057612398E-2</v>
      </c>
      <c r="G532" s="2">
        <v>2</v>
      </c>
    </row>
    <row r="533" spans="1:7" x14ac:dyDescent="0.2">
      <c r="A533" s="2" t="s">
        <v>14</v>
      </c>
      <c r="B533" s="14">
        <v>38200</v>
      </c>
      <c r="C533" s="2">
        <v>-3.7156704360999999E-2</v>
      </c>
      <c r="D533" s="2">
        <v>1.3381802999999999E-3</v>
      </c>
      <c r="E533" s="2">
        <v>1</v>
      </c>
      <c r="F533" s="2">
        <v>1.7673853547544999E-2</v>
      </c>
      <c r="G533" s="2">
        <v>2</v>
      </c>
    </row>
    <row r="534" spans="1:7" x14ac:dyDescent="0.2">
      <c r="A534" s="2" t="s">
        <v>14</v>
      </c>
      <c r="B534" s="14">
        <v>38231</v>
      </c>
      <c r="C534" s="2">
        <v>-9.9496644297999998E-3</v>
      </c>
      <c r="D534" s="2">
        <v>9.2752586000000004E-4</v>
      </c>
      <c r="E534" s="2">
        <v>1</v>
      </c>
      <c r="F534" s="2">
        <v>1.2448536553327999E-2</v>
      </c>
      <c r="G534" s="2">
        <v>2</v>
      </c>
    </row>
    <row r="535" spans="1:7" x14ac:dyDescent="0.2">
      <c r="A535" s="2" t="s">
        <v>14</v>
      </c>
      <c r="B535" s="14">
        <v>38261</v>
      </c>
      <c r="C535" s="2">
        <v>2.5302082802000001E-2</v>
      </c>
      <c r="D535" s="2">
        <v>3.1078289999999999E-4</v>
      </c>
      <c r="E535" s="2">
        <v>1</v>
      </c>
      <c r="F535" s="2">
        <v>1.19089995105368E-2</v>
      </c>
      <c r="G535" s="2">
        <v>2</v>
      </c>
    </row>
    <row r="536" spans="1:7" x14ac:dyDescent="0.2">
      <c r="A536" s="2" t="s">
        <v>14</v>
      </c>
      <c r="B536" s="14">
        <v>38292</v>
      </c>
      <c r="C536" s="2">
        <v>4.9586776860000001E-2</v>
      </c>
      <c r="D536" s="19">
        <v>1.0517632E-6</v>
      </c>
      <c r="E536" s="2">
        <v>1</v>
      </c>
      <c r="F536" s="2">
        <v>1.37595076479034E-2</v>
      </c>
      <c r="G536" s="2">
        <v>2</v>
      </c>
    </row>
    <row r="537" spans="1:7" x14ac:dyDescent="0.2">
      <c r="A537" s="2" t="s">
        <v>14</v>
      </c>
      <c r="B537" s="14">
        <v>38322</v>
      </c>
      <c r="C537" s="2">
        <v>-2.7133858269E-2</v>
      </c>
      <c r="D537" s="2">
        <v>2.8172354000000001E-4</v>
      </c>
      <c r="E537" s="2">
        <v>1</v>
      </c>
      <c r="F537" s="2">
        <v>1.5059304300356201E-2</v>
      </c>
      <c r="G537" s="2">
        <v>2</v>
      </c>
    </row>
    <row r="538" spans="1:7" x14ac:dyDescent="0.2">
      <c r="A538" s="2" t="s">
        <v>14</v>
      </c>
      <c r="B538" s="14">
        <v>38353</v>
      </c>
      <c r="C538" s="2">
        <v>-1.273936902E-2</v>
      </c>
      <c r="D538" s="2">
        <v>2.1941533E-4</v>
      </c>
      <c r="E538" s="2">
        <v>1</v>
      </c>
      <c r="F538" s="2">
        <v>1.35541787957233E-2</v>
      </c>
      <c r="G538" s="2">
        <v>2</v>
      </c>
    </row>
    <row r="539" spans="1:7" x14ac:dyDescent="0.2">
      <c r="A539" s="2" t="s">
        <v>14</v>
      </c>
      <c r="B539" s="14">
        <v>38384</v>
      </c>
      <c r="C539" s="2">
        <v>4.8532546317999997E-2</v>
      </c>
      <c r="D539" s="2">
        <v>2.9572513000000001E-4</v>
      </c>
      <c r="E539" s="2">
        <v>1</v>
      </c>
      <c r="F539" s="2">
        <v>1.2142193277951E-2</v>
      </c>
      <c r="G539" s="2">
        <v>2</v>
      </c>
    </row>
    <row r="540" spans="1:7" x14ac:dyDescent="0.2">
      <c r="A540" s="2" t="s">
        <v>14</v>
      </c>
      <c r="B540" s="14">
        <v>38412</v>
      </c>
      <c r="C540" s="2">
        <v>6.6458170445999998E-2</v>
      </c>
      <c r="D540" s="2">
        <v>2.6207310000000002E-4</v>
      </c>
      <c r="E540" s="2">
        <v>1</v>
      </c>
      <c r="F540" s="2">
        <v>1.41811242236083E-2</v>
      </c>
      <c r="G540" s="2">
        <v>2</v>
      </c>
    </row>
    <row r="541" spans="1:7" x14ac:dyDescent="0.2">
      <c r="A541" s="2" t="s">
        <v>14</v>
      </c>
      <c r="B541" s="14">
        <v>38443</v>
      </c>
      <c r="C541" s="2">
        <v>-8.3431085045000006E-2</v>
      </c>
      <c r="D541" s="2">
        <v>1.406558E-4</v>
      </c>
      <c r="E541" s="2">
        <v>1</v>
      </c>
      <c r="F541" s="2">
        <v>1.6327539246125799E-2</v>
      </c>
      <c r="G541" s="2">
        <v>2</v>
      </c>
    </row>
    <row r="542" spans="1:7" x14ac:dyDescent="0.2">
      <c r="A542" s="2" t="s">
        <v>14</v>
      </c>
      <c r="B542" s="14">
        <v>38473</v>
      </c>
      <c r="C542" s="2">
        <v>8.0709788323999998E-2</v>
      </c>
      <c r="D542" s="2">
        <v>-3.0012832000000001E-3</v>
      </c>
      <c r="E542" s="2">
        <v>1</v>
      </c>
      <c r="F542" s="2">
        <v>1.35141074379605E-2</v>
      </c>
      <c r="G542" s="2">
        <v>2</v>
      </c>
    </row>
    <row r="543" spans="1:7" x14ac:dyDescent="0.2">
      <c r="A543" s="2" t="s">
        <v>14</v>
      </c>
      <c r="B543" s="14">
        <v>38504</v>
      </c>
      <c r="C543" s="2">
        <v>-1.8264840181000001E-2</v>
      </c>
      <c r="D543" s="2">
        <v>-2.3373902999999999E-4</v>
      </c>
      <c r="E543" s="2">
        <v>1</v>
      </c>
      <c r="F543" s="2">
        <v>1.43909094004074E-2</v>
      </c>
      <c r="G543" s="2">
        <v>2</v>
      </c>
    </row>
    <row r="544" spans="1:7" x14ac:dyDescent="0.2">
      <c r="A544" s="2" t="s">
        <v>14</v>
      </c>
      <c r="B544" s="14">
        <v>38534</v>
      </c>
      <c r="C544" s="2">
        <v>2.3255813954000001E-2</v>
      </c>
      <c r="D544" s="2">
        <v>-2.3920600999999999E-4</v>
      </c>
      <c r="E544" s="2">
        <v>1</v>
      </c>
      <c r="F544" s="2">
        <v>1.47004140846295E-2</v>
      </c>
      <c r="G544" s="2">
        <v>2</v>
      </c>
    </row>
    <row r="545" spans="1:7" x14ac:dyDescent="0.2">
      <c r="A545" s="2" t="s">
        <v>14</v>
      </c>
      <c r="B545" s="14">
        <v>38565</v>
      </c>
      <c r="C545" s="2">
        <v>-2.8030303031000001E-2</v>
      </c>
      <c r="D545" s="2">
        <v>1.3396177E-4</v>
      </c>
      <c r="E545" s="2">
        <v>1</v>
      </c>
      <c r="F545" s="2">
        <v>1.5721975183162099E-2</v>
      </c>
      <c r="G545" s="2">
        <v>2</v>
      </c>
    </row>
    <row r="546" spans="1:7" x14ac:dyDescent="0.2">
      <c r="A546" s="2" t="s">
        <v>14</v>
      </c>
      <c r="B546" s="14">
        <v>38596</v>
      </c>
      <c r="C546" s="2">
        <v>3.6632891660999999E-2</v>
      </c>
      <c r="D546" s="2">
        <v>2.3087954999999999E-4</v>
      </c>
      <c r="E546" s="2">
        <v>1</v>
      </c>
      <c r="F546" s="2">
        <v>1.35611647784914E-2</v>
      </c>
      <c r="G546" s="2">
        <v>2</v>
      </c>
    </row>
    <row r="547" spans="1:7" x14ac:dyDescent="0.2">
      <c r="A547" s="2" t="s">
        <v>14</v>
      </c>
      <c r="B547" s="14">
        <v>38626</v>
      </c>
      <c r="C547" s="2">
        <v>-3.3082706767000002E-2</v>
      </c>
      <c r="D547" s="19">
        <v>2.5689315999999999E-5</v>
      </c>
      <c r="E547" s="2">
        <v>1</v>
      </c>
      <c r="F547" s="2">
        <v>1.2620760071762899E-2</v>
      </c>
      <c r="G547" s="2">
        <v>2</v>
      </c>
    </row>
    <row r="548" spans="1:7" x14ac:dyDescent="0.2">
      <c r="A548" s="2" t="s">
        <v>14</v>
      </c>
      <c r="B548" s="14">
        <v>38657</v>
      </c>
      <c r="C548" s="2">
        <v>-2.4105754276999999E-2</v>
      </c>
      <c r="D548" s="19">
        <v>-2.2459526000000002E-6</v>
      </c>
      <c r="E548" s="2">
        <v>1</v>
      </c>
      <c r="F548" s="2">
        <v>1.41823392572026E-2</v>
      </c>
      <c r="G548" s="2">
        <v>2</v>
      </c>
    </row>
    <row r="549" spans="1:7" x14ac:dyDescent="0.2">
      <c r="A549" s="2" t="s">
        <v>14</v>
      </c>
      <c r="B549" s="14">
        <v>38687</v>
      </c>
      <c r="C549" s="2">
        <v>-8.8733067728999998E-2</v>
      </c>
      <c r="D549" s="2">
        <v>-1.4113565999999999E-4</v>
      </c>
      <c r="E549" s="2">
        <v>1</v>
      </c>
      <c r="F549" s="2">
        <v>1.11909819876953E-2</v>
      </c>
      <c r="G549" s="2">
        <v>2</v>
      </c>
    </row>
    <row r="550" spans="1:7" x14ac:dyDescent="0.2">
      <c r="A550" s="2" t="s">
        <v>14</v>
      </c>
      <c r="B550" s="14">
        <v>38718</v>
      </c>
      <c r="C550" s="2">
        <v>6.6769263053999994E-2</v>
      </c>
      <c r="D550" s="19">
        <v>-7.9955917000000001E-6</v>
      </c>
      <c r="E550" s="2">
        <v>1</v>
      </c>
      <c r="F550" s="2">
        <v>9.4841414480430607E-3</v>
      </c>
      <c r="G550" s="2">
        <v>2</v>
      </c>
    </row>
    <row r="551" spans="1:7" x14ac:dyDescent="0.2">
      <c r="A551" s="2" t="s">
        <v>14</v>
      </c>
      <c r="B551" s="14">
        <v>38749</v>
      </c>
      <c r="C551" s="2">
        <v>3.3688524588999999E-2</v>
      </c>
      <c r="D551" s="2">
        <v>2.0338691E-4</v>
      </c>
      <c r="E551" s="2">
        <v>1</v>
      </c>
      <c r="F551" s="2">
        <v>1.06577590893867E-2</v>
      </c>
      <c r="G551" s="2">
        <v>2</v>
      </c>
    </row>
    <row r="552" spans="1:7" x14ac:dyDescent="0.2">
      <c r="A552" s="2" t="s">
        <v>14</v>
      </c>
      <c r="B552" s="14">
        <v>38777</v>
      </c>
      <c r="C552" s="2">
        <v>3.8775672031999997E-2</v>
      </c>
      <c r="D552" s="2">
        <v>7.5075735000000002E-4</v>
      </c>
      <c r="E552" s="2">
        <v>1</v>
      </c>
      <c r="F552" s="2">
        <v>1.2348876284782101E-2</v>
      </c>
      <c r="G552" s="2">
        <v>2</v>
      </c>
    </row>
    <row r="553" spans="1:7" x14ac:dyDescent="0.2">
      <c r="A553" s="2" t="s">
        <v>14</v>
      </c>
      <c r="B553" s="14">
        <v>38808</v>
      </c>
      <c r="C553" s="2">
        <v>7.6335877874999999E-3</v>
      </c>
      <c r="D553" s="2">
        <v>5.9527386000000004E-4</v>
      </c>
      <c r="E553" s="2">
        <v>1</v>
      </c>
      <c r="F553" s="2">
        <v>1.2281206137571001E-2</v>
      </c>
      <c r="G553" s="2">
        <v>2</v>
      </c>
    </row>
    <row r="554" spans="1:7" x14ac:dyDescent="0.2">
      <c r="A554" s="2" t="s">
        <v>14</v>
      </c>
      <c r="B554" s="14">
        <v>38838</v>
      </c>
      <c r="C554" s="2">
        <v>-6.8962938557999998E-3</v>
      </c>
      <c r="D554" s="2">
        <v>1.0212402E-4</v>
      </c>
      <c r="E554" s="2">
        <v>1</v>
      </c>
      <c r="F554" s="2">
        <v>1.3313575812149999E-2</v>
      </c>
      <c r="G554" s="2">
        <v>2</v>
      </c>
    </row>
    <row r="555" spans="1:7" x14ac:dyDescent="0.2">
      <c r="A555" s="2" t="s">
        <v>14</v>
      </c>
      <c r="B555" s="14">
        <v>38869</v>
      </c>
      <c r="C555" s="2">
        <v>7.8125E-3</v>
      </c>
      <c r="D555" s="2">
        <v>1.5431996E-4</v>
      </c>
      <c r="E555" s="2">
        <v>1</v>
      </c>
      <c r="F555" s="2">
        <v>1.37731794928178E-2</v>
      </c>
      <c r="G555" s="2">
        <v>2</v>
      </c>
    </row>
    <row r="556" spans="1:7" x14ac:dyDescent="0.2">
      <c r="A556" s="2" t="s">
        <v>14</v>
      </c>
      <c r="B556" s="14">
        <v>38899</v>
      </c>
      <c r="C556" s="2">
        <v>-2.7906976744999999E-2</v>
      </c>
      <c r="D556" s="2">
        <v>8.8021625000000005E-4</v>
      </c>
      <c r="E556" s="2">
        <v>1</v>
      </c>
      <c r="F556" s="2">
        <v>1.6537431215571999E-2</v>
      </c>
      <c r="G556" s="2">
        <v>2</v>
      </c>
    </row>
    <row r="557" spans="1:7" x14ac:dyDescent="0.2">
      <c r="A557" s="2" t="s">
        <v>14</v>
      </c>
      <c r="B557" s="14">
        <v>38930</v>
      </c>
      <c r="C557" s="2">
        <v>3.9872408292999997E-2</v>
      </c>
      <c r="D557" s="2">
        <v>6.7910819999999995E-4</v>
      </c>
      <c r="E557" s="2">
        <v>1</v>
      </c>
      <c r="F557" s="2">
        <v>1.6356582845115701E-2</v>
      </c>
      <c r="G557" s="2">
        <v>2</v>
      </c>
    </row>
    <row r="558" spans="1:7" x14ac:dyDescent="0.2">
      <c r="A558" s="2" t="s">
        <v>14</v>
      </c>
      <c r="B558" s="14">
        <v>38961</v>
      </c>
      <c r="C558" s="2">
        <v>6.3650306749000005E-2</v>
      </c>
      <c r="D558" s="2">
        <v>4.9108797E-4</v>
      </c>
      <c r="E558" s="2">
        <v>1</v>
      </c>
      <c r="F558" s="2">
        <v>1.6458619652727401E-2</v>
      </c>
      <c r="G558" s="2">
        <v>2</v>
      </c>
    </row>
    <row r="559" spans="1:7" x14ac:dyDescent="0.2">
      <c r="A559" s="2" t="s">
        <v>14</v>
      </c>
      <c r="B559" s="14">
        <v>38991</v>
      </c>
      <c r="C559" s="2">
        <v>5.4073540013999999E-2</v>
      </c>
      <c r="D559" s="2">
        <v>1.2648548E-4</v>
      </c>
      <c r="E559" s="2">
        <v>1</v>
      </c>
      <c r="F559" s="2">
        <v>1.70835249635597E-2</v>
      </c>
      <c r="G559" s="2">
        <v>2</v>
      </c>
    </row>
    <row r="560" spans="1:7" x14ac:dyDescent="0.2">
      <c r="A560" s="2" t="s">
        <v>14</v>
      </c>
      <c r="B560" s="14">
        <v>39022</v>
      </c>
      <c r="C560" s="2">
        <v>2.8372093024000001E-2</v>
      </c>
      <c r="D560" s="2">
        <v>2.1140659999999999E-4</v>
      </c>
      <c r="E560" s="2">
        <v>1</v>
      </c>
      <c r="F560" s="2">
        <v>1.8306731186546601E-2</v>
      </c>
      <c r="G560" s="2">
        <v>2</v>
      </c>
    </row>
    <row r="561" spans="1:7" x14ac:dyDescent="0.2">
      <c r="A561" s="2" t="s">
        <v>14</v>
      </c>
      <c r="B561" s="14">
        <v>39052</v>
      </c>
      <c r="C561" s="2">
        <v>0.18220395348999999</v>
      </c>
      <c r="D561" s="2">
        <v>6.2476266999999999E-4</v>
      </c>
      <c r="E561" s="2">
        <v>1</v>
      </c>
      <c r="F561" s="2">
        <v>1.9234528102658299E-2</v>
      </c>
      <c r="G561" s="2">
        <v>2</v>
      </c>
    </row>
    <row r="562" spans="1:7" x14ac:dyDescent="0.2">
      <c r="A562" s="2" t="s">
        <v>14</v>
      </c>
      <c r="B562" s="14">
        <v>39083</v>
      </c>
      <c r="C562" s="2">
        <v>1.2703806642E-2</v>
      </c>
      <c r="D562" s="2">
        <v>-1.2754821000000001E-4</v>
      </c>
      <c r="E562" s="2">
        <v>1</v>
      </c>
      <c r="F562" s="2">
        <v>2.4057267618645298E-2</v>
      </c>
      <c r="G562" s="2">
        <v>2</v>
      </c>
    </row>
    <row r="563" spans="1:7" x14ac:dyDescent="0.2">
      <c r="A563" s="2" t="s">
        <v>14</v>
      </c>
      <c r="B563" s="14">
        <v>39114</v>
      </c>
      <c r="C563" s="2">
        <v>-3.3333333334000001E-2</v>
      </c>
      <c r="D563" s="2">
        <v>2.7293913000000001E-4</v>
      </c>
      <c r="E563" s="2">
        <v>1</v>
      </c>
      <c r="F563" s="2">
        <v>2.5199525692468298E-2</v>
      </c>
      <c r="G563" s="2">
        <v>2</v>
      </c>
    </row>
    <row r="564" spans="1:7" x14ac:dyDescent="0.2">
      <c r="A564" s="2" t="s">
        <v>14</v>
      </c>
      <c r="B564" s="14">
        <v>39142</v>
      </c>
      <c r="C564" s="2">
        <v>4.5977011493999999E-2</v>
      </c>
      <c r="D564" s="19">
        <v>4.8922328000000001E-5</v>
      </c>
      <c r="E564" s="2">
        <v>1</v>
      </c>
      <c r="F564" s="2">
        <v>2.3231081722058601E-2</v>
      </c>
      <c r="G564" s="2">
        <v>2</v>
      </c>
    </row>
    <row r="565" spans="1:7" x14ac:dyDescent="0.2">
      <c r="A565" s="2" t="s">
        <v>14</v>
      </c>
      <c r="B565" s="14">
        <v>39173</v>
      </c>
      <c r="C565" s="2">
        <v>8.3516483515000003E-2</v>
      </c>
      <c r="D565" s="2">
        <v>1.1337043E-3</v>
      </c>
      <c r="E565" s="2">
        <v>1</v>
      </c>
      <c r="F565" s="2">
        <v>2.2620714207838399E-2</v>
      </c>
      <c r="G565" s="2">
        <v>2</v>
      </c>
    </row>
    <row r="566" spans="1:7" x14ac:dyDescent="0.2">
      <c r="A566" s="2" t="s">
        <v>14</v>
      </c>
      <c r="B566" s="14">
        <v>39203</v>
      </c>
      <c r="C566" s="2">
        <v>9.9415424264999996E-3</v>
      </c>
      <c r="D566" s="2">
        <v>4.8810359999999997E-4</v>
      </c>
      <c r="E566" s="2">
        <v>1</v>
      </c>
      <c r="F566" s="2">
        <v>2.33142105263438E-2</v>
      </c>
      <c r="G566" s="2">
        <v>2</v>
      </c>
    </row>
    <row r="567" spans="1:7" x14ac:dyDescent="0.2">
      <c r="A567" s="2" t="s">
        <v>14</v>
      </c>
      <c r="B567" s="14">
        <v>39234</v>
      </c>
      <c r="C567" s="2">
        <v>2.3125964010999998E-2</v>
      </c>
      <c r="D567" s="2">
        <v>-1.0555758000000001E-4</v>
      </c>
      <c r="E567" s="2">
        <v>1</v>
      </c>
      <c r="F567" s="2">
        <v>2.2794790872420499E-2</v>
      </c>
      <c r="G567" s="2">
        <v>2</v>
      </c>
    </row>
    <row r="568" spans="1:7" x14ac:dyDescent="0.2">
      <c r="A568" s="2" t="s">
        <v>14</v>
      </c>
      <c r="B568" s="14">
        <v>39264</v>
      </c>
      <c r="C568" s="2">
        <v>6.5337340073000003E-2</v>
      </c>
      <c r="D568" s="19">
        <v>2.8555370999999998E-5</v>
      </c>
      <c r="E568" s="2">
        <v>1</v>
      </c>
      <c r="F568" s="2">
        <v>1.8135809170725801E-2</v>
      </c>
      <c r="G568" s="2">
        <v>2</v>
      </c>
    </row>
    <row r="569" spans="1:7" x14ac:dyDescent="0.2">
      <c r="A569" s="2" t="s">
        <v>14</v>
      </c>
      <c r="B569" s="14">
        <v>39295</v>
      </c>
      <c r="C569" s="2">
        <v>-6.1320754720999996E-3</v>
      </c>
      <c r="D569" s="2">
        <v>1.1533679E-4</v>
      </c>
      <c r="E569" s="2">
        <v>1</v>
      </c>
      <c r="F569" s="2">
        <v>1.35104892368412E-2</v>
      </c>
      <c r="G569" s="2">
        <v>2</v>
      </c>
    </row>
    <row r="570" spans="1:7" x14ac:dyDescent="0.2">
      <c r="A570" s="2" t="s">
        <v>14</v>
      </c>
      <c r="B570" s="14">
        <v>39326</v>
      </c>
      <c r="C570" s="2">
        <v>-1.2814428096000001E-2</v>
      </c>
      <c r="D570" s="2">
        <v>1.1630091E-4</v>
      </c>
      <c r="E570" s="2">
        <v>1</v>
      </c>
      <c r="F570" s="2">
        <v>1.4353017497114999E-2</v>
      </c>
      <c r="G570" s="2">
        <v>2</v>
      </c>
    </row>
    <row r="571" spans="1:7" x14ac:dyDescent="0.2">
      <c r="A571" s="2" t="s">
        <v>14</v>
      </c>
      <c r="B571" s="14">
        <v>39356</v>
      </c>
      <c r="C571" s="2">
        <v>7.5961538460999997E-2</v>
      </c>
      <c r="D571" s="2">
        <v>2.324068E-4</v>
      </c>
      <c r="E571" s="2">
        <v>1</v>
      </c>
      <c r="F571" s="2">
        <v>1.2720129317645001E-2</v>
      </c>
      <c r="G571" s="2">
        <v>2</v>
      </c>
    </row>
    <row r="572" spans="1:7" x14ac:dyDescent="0.2">
      <c r="A572" s="2" t="s">
        <v>14</v>
      </c>
      <c r="B572" s="14">
        <v>39387</v>
      </c>
      <c r="C572" s="2">
        <v>-8.0428954415999992E-3</v>
      </c>
      <c r="D572" s="2">
        <v>-1.1217493E-4</v>
      </c>
      <c r="E572" s="2">
        <v>1</v>
      </c>
      <c r="F572" s="2">
        <v>1.23525037289712E-2</v>
      </c>
      <c r="G572" s="2">
        <v>2</v>
      </c>
    </row>
    <row r="573" spans="1:7" x14ac:dyDescent="0.2">
      <c r="A573" s="2" t="s">
        <v>14</v>
      </c>
      <c r="B573" s="14">
        <v>39417</v>
      </c>
      <c r="C573" s="2">
        <v>3.6036036036000002E-2</v>
      </c>
      <c r="D573" s="2">
        <v>-1.2667173E-4</v>
      </c>
      <c r="E573" s="2">
        <v>1</v>
      </c>
      <c r="F573" s="2">
        <v>1.1880939404026999E-2</v>
      </c>
      <c r="G573" s="2">
        <v>2</v>
      </c>
    </row>
    <row r="574" spans="1:7" x14ac:dyDescent="0.2">
      <c r="A574" s="2" t="s">
        <v>14</v>
      </c>
      <c r="B574" s="14">
        <v>39448</v>
      </c>
      <c r="C574" s="2">
        <v>-6.0869565218E-2</v>
      </c>
      <c r="D574" s="2">
        <v>2.4036558E-3</v>
      </c>
      <c r="E574" s="2">
        <v>1</v>
      </c>
      <c r="F574" s="2">
        <v>1.1768052382088501E-2</v>
      </c>
      <c r="G574" s="2">
        <v>2</v>
      </c>
    </row>
    <row r="575" spans="1:7" x14ac:dyDescent="0.2">
      <c r="A575" s="2" t="s">
        <v>14</v>
      </c>
      <c r="B575" s="14">
        <v>39479</v>
      </c>
      <c r="C575" s="2">
        <v>9.2592592591000007E-3</v>
      </c>
      <c r="D575" s="2">
        <v>1.6337674000000001E-3</v>
      </c>
      <c r="E575" s="2">
        <v>1</v>
      </c>
      <c r="F575" s="2">
        <v>8.4027497080252193E-3</v>
      </c>
      <c r="G575" s="2">
        <v>2</v>
      </c>
    </row>
    <row r="576" spans="1:7" x14ac:dyDescent="0.2">
      <c r="A576" s="2" t="s">
        <v>14</v>
      </c>
      <c r="B576" s="14">
        <v>39508</v>
      </c>
      <c r="C576" s="2">
        <v>-5.0458715605000001E-3</v>
      </c>
      <c r="D576" s="2">
        <v>1.3084505E-3</v>
      </c>
      <c r="E576" s="2">
        <v>1</v>
      </c>
      <c r="F576" s="2">
        <v>8.7729550502110808E-3</v>
      </c>
      <c r="G576" s="2">
        <v>2</v>
      </c>
    </row>
    <row r="577" spans="1:7" x14ac:dyDescent="0.2">
      <c r="A577" s="2" t="s">
        <v>14</v>
      </c>
      <c r="B577" s="14">
        <v>39539</v>
      </c>
      <c r="C577" s="2">
        <v>-5.5970493315000001E-2</v>
      </c>
      <c r="D577" s="2">
        <v>1.0580081E-4</v>
      </c>
      <c r="E577" s="2">
        <v>1</v>
      </c>
      <c r="F577" s="2">
        <v>9.0072122087744792E-3</v>
      </c>
      <c r="G577" s="2">
        <v>2</v>
      </c>
    </row>
    <row r="578" spans="1:7" x14ac:dyDescent="0.2">
      <c r="A578" s="2" t="s">
        <v>14</v>
      </c>
      <c r="B578" s="14">
        <v>39569</v>
      </c>
      <c r="C578" s="2">
        <v>1.8601223885E-2</v>
      </c>
      <c r="D578" s="2">
        <v>-4.6106891000000002E-4</v>
      </c>
      <c r="E578" s="2">
        <v>1</v>
      </c>
      <c r="F578" s="2">
        <v>5.3148592218701897E-3</v>
      </c>
      <c r="G578" s="2">
        <v>2</v>
      </c>
    </row>
    <row r="579" spans="1:7" x14ac:dyDescent="0.2">
      <c r="A579" s="2" t="s">
        <v>14</v>
      </c>
      <c r="B579" s="14">
        <v>39600</v>
      </c>
      <c r="C579" s="2">
        <v>-0.13842364532000001</v>
      </c>
      <c r="D579" s="19">
        <v>-2.3406114000000001E-5</v>
      </c>
      <c r="E579" s="2">
        <v>1</v>
      </c>
      <c r="F579" s="2">
        <v>6.1071240041325496E-3</v>
      </c>
      <c r="G579" s="2">
        <v>2</v>
      </c>
    </row>
    <row r="580" spans="1:7" x14ac:dyDescent="0.2">
      <c r="A580" s="2" t="s">
        <v>14</v>
      </c>
      <c r="B580" s="14">
        <v>39630</v>
      </c>
      <c r="C580" s="2">
        <v>-2.2801600915000001E-2</v>
      </c>
      <c r="D580" s="19">
        <v>-7.2308720999999997E-6</v>
      </c>
      <c r="E580" s="2">
        <v>1</v>
      </c>
      <c r="F580" s="2">
        <v>1.7229893014227601E-3</v>
      </c>
      <c r="G580" s="2">
        <v>2</v>
      </c>
    </row>
    <row r="581" spans="1:7" x14ac:dyDescent="0.2">
      <c r="A581" s="2" t="s">
        <v>14</v>
      </c>
      <c r="B581" s="14">
        <v>39661</v>
      </c>
      <c r="C581" s="2">
        <v>-5.2143793297000002E-2</v>
      </c>
      <c r="D581" s="19">
        <v>2.3022658000000001E-5</v>
      </c>
      <c r="E581" s="2">
        <v>1</v>
      </c>
      <c r="F581" s="2">
        <v>-7.1382358359955902E-4</v>
      </c>
      <c r="G581" s="2">
        <v>2</v>
      </c>
    </row>
    <row r="582" spans="1:7" x14ac:dyDescent="0.2">
      <c r="A582" s="2" t="s">
        <v>14</v>
      </c>
      <c r="B582" s="14">
        <v>39692</v>
      </c>
      <c r="C582" s="2">
        <v>-7.4061728394999998E-2</v>
      </c>
      <c r="D582" s="19">
        <v>5.5563774E-5</v>
      </c>
      <c r="E582" s="2">
        <v>1</v>
      </c>
      <c r="F582" s="2">
        <v>-2.3471735074933201E-3</v>
      </c>
      <c r="G582" s="2">
        <v>2</v>
      </c>
    </row>
    <row r="583" spans="1:7" x14ac:dyDescent="0.2">
      <c r="A583" s="2" t="s">
        <v>14</v>
      </c>
      <c r="B583" s="14">
        <v>39722</v>
      </c>
      <c r="C583" s="2">
        <v>-9.3345422060000002E-2</v>
      </c>
      <c r="D583" s="19">
        <v>1.5719477000000001E-5</v>
      </c>
      <c r="E583" s="2">
        <v>1</v>
      </c>
      <c r="F583" s="2">
        <v>-4.12342575524253E-3</v>
      </c>
      <c r="G583" s="2">
        <v>2</v>
      </c>
    </row>
    <row r="584" spans="1:7" x14ac:dyDescent="0.2">
      <c r="A584" s="2" t="s">
        <v>14</v>
      </c>
      <c r="B584" s="14">
        <v>39753</v>
      </c>
      <c r="C584" s="2">
        <v>-7.0588235294999996E-2</v>
      </c>
      <c r="D584" s="2">
        <v>2.1661721E-4</v>
      </c>
      <c r="E584" s="2">
        <v>1</v>
      </c>
      <c r="F584" s="2">
        <v>-5.0948980966808001E-3</v>
      </c>
      <c r="G584" s="2">
        <v>2</v>
      </c>
    </row>
    <row r="585" spans="1:7" x14ac:dyDescent="0.2">
      <c r="A585" s="2" t="s">
        <v>14</v>
      </c>
      <c r="B585" s="14">
        <v>39783</v>
      </c>
      <c r="C585" s="2">
        <v>-2.9240506328000002E-2</v>
      </c>
      <c r="D585" s="19">
        <v>-1.9615382999999999E-5</v>
      </c>
      <c r="E585" s="2">
        <v>1</v>
      </c>
      <c r="F585" s="2">
        <v>-7.5062048835233802E-3</v>
      </c>
      <c r="G585" s="2">
        <v>2</v>
      </c>
    </row>
    <row r="586" spans="1:7" x14ac:dyDescent="0.2">
      <c r="A586" s="2" t="s">
        <v>15</v>
      </c>
      <c r="B586" s="14">
        <v>37591</v>
      </c>
      <c r="C586" s="19">
        <v>6.6634485847E-5</v>
      </c>
      <c r="D586" s="2">
        <v>5.9703725999999996E-4</v>
      </c>
      <c r="E586" s="2">
        <v>1</v>
      </c>
      <c r="G586" s="2">
        <v>2</v>
      </c>
    </row>
    <row r="587" spans="1:7" x14ac:dyDescent="0.2">
      <c r="A587" s="2" t="s">
        <v>15</v>
      </c>
      <c r="B587" s="14">
        <v>37622</v>
      </c>
      <c r="C587" s="2">
        <v>-5.3333333333999998E-2</v>
      </c>
      <c r="D587" s="2">
        <v>0</v>
      </c>
      <c r="E587" s="2">
        <v>1</v>
      </c>
      <c r="G587" s="2">
        <v>2</v>
      </c>
    </row>
    <row r="588" spans="1:7" x14ac:dyDescent="0.2">
      <c r="A588" s="2" t="s">
        <v>15</v>
      </c>
      <c r="B588" s="14">
        <v>37653</v>
      </c>
      <c r="C588" s="2">
        <v>4.2253521125999997E-2</v>
      </c>
      <c r="D588" s="2">
        <v>0</v>
      </c>
      <c r="E588" s="2">
        <v>1</v>
      </c>
      <c r="G588" s="2">
        <v>2</v>
      </c>
    </row>
    <row r="589" spans="1:7" x14ac:dyDescent="0.2">
      <c r="A589" s="2" t="s">
        <v>15</v>
      </c>
      <c r="B589" s="14">
        <v>37681</v>
      </c>
      <c r="C589" s="2">
        <v>0</v>
      </c>
      <c r="D589" s="2">
        <v>0</v>
      </c>
      <c r="E589" s="2">
        <v>1</v>
      </c>
      <c r="G589" s="2">
        <v>2</v>
      </c>
    </row>
    <row r="590" spans="1:7" x14ac:dyDescent="0.2">
      <c r="A590" s="2" t="s">
        <v>15</v>
      </c>
      <c r="B590" s="14">
        <v>37712</v>
      </c>
      <c r="C590" s="2">
        <v>2.1831028898E-2</v>
      </c>
      <c r="D590" s="2">
        <v>0</v>
      </c>
      <c r="E590" s="2">
        <v>1</v>
      </c>
      <c r="G590" s="2">
        <v>2</v>
      </c>
    </row>
    <row r="591" spans="1:7" x14ac:dyDescent="0.2">
      <c r="A591" s="2" t="s">
        <v>15</v>
      </c>
      <c r="B591" s="14">
        <v>37742</v>
      </c>
      <c r="C591" s="2">
        <v>3.3769770435999998E-2</v>
      </c>
      <c r="D591" s="2">
        <v>0</v>
      </c>
      <c r="E591" s="2">
        <v>1</v>
      </c>
      <c r="G591" s="2">
        <v>2</v>
      </c>
    </row>
    <row r="592" spans="1:7" x14ac:dyDescent="0.2">
      <c r="A592" s="2" t="s">
        <v>15</v>
      </c>
      <c r="B592" s="14">
        <v>37773</v>
      </c>
      <c r="C592" s="2">
        <v>0.1</v>
      </c>
      <c r="D592" s="2">
        <v>0</v>
      </c>
      <c r="E592" s="2">
        <v>1</v>
      </c>
      <c r="G592" s="2">
        <v>2</v>
      </c>
    </row>
    <row r="593" spans="1:7" x14ac:dyDescent="0.2">
      <c r="A593" s="2" t="s">
        <v>15</v>
      </c>
      <c r="B593" s="14">
        <v>37803</v>
      </c>
      <c r="C593" s="2">
        <v>0</v>
      </c>
      <c r="D593" s="2">
        <v>0</v>
      </c>
      <c r="E593" s="2">
        <v>1</v>
      </c>
      <c r="G593" s="2">
        <v>2</v>
      </c>
    </row>
    <row r="594" spans="1:7" x14ac:dyDescent="0.2">
      <c r="A594" s="2" t="s">
        <v>15</v>
      </c>
      <c r="B594" s="14">
        <v>37834</v>
      </c>
      <c r="C594" s="2">
        <v>-3.0303030303000002E-2</v>
      </c>
      <c r="D594" s="2">
        <v>0</v>
      </c>
      <c r="E594" s="2">
        <v>1</v>
      </c>
      <c r="F594" s="2">
        <v>1.9959677510331598E-2</v>
      </c>
      <c r="G594" s="2">
        <v>2</v>
      </c>
    </row>
    <row r="595" spans="1:7" x14ac:dyDescent="0.2">
      <c r="A595" s="2" t="s">
        <v>15</v>
      </c>
      <c r="B595" s="14">
        <v>37865</v>
      </c>
      <c r="C595" s="2">
        <v>0</v>
      </c>
      <c r="D595" s="2">
        <v>0</v>
      </c>
      <c r="E595" s="2">
        <v>1</v>
      </c>
      <c r="F595" s="2">
        <v>1.7935199261280298E-2</v>
      </c>
      <c r="G595" s="2">
        <v>2</v>
      </c>
    </row>
    <row r="596" spans="1:7" x14ac:dyDescent="0.2">
      <c r="A596" s="2" t="s">
        <v>15</v>
      </c>
      <c r="B596" s="14">
        <v>37895</v>
      </c>
      <c r="C596" s="2">
        <v>0.46875</v>
      </c>
      <c r="D596" s="2">
        <v>0</v>
      </c>
      <c r="E596" s="2">
        <v>1</v>
      </c>
      <c r="F596" s="2">
        <v>1.7882988873510999E-2</v>
      </c>
      <c r="G596" s="2">
        <v>2</v>
      </c>
    </row>
    <row r="597" spans="1:7" x14ac:dyDescent="0.2">
      <c r="A597" s="2" t="s">
        <v>15</v>
      </c>
      <c r="B597" s="14">
        <v>37926</v>
      </c>
      <c r="C597" s="2">
        <v>0</v>
      </c>
      <c r="D597" s="2">
        <v>0</v>
      </c>
      <c r="E597" s="2">
        <v>1</v>
      </c>
      <c r="F597" s="2">
        <v>3.19033209777142E-2</v>
      </c>
      <c r="G597" s="2">
        <v>2</v>
      </c>
    </row>
    <row r="598" spans="1:7" x14ac:dyDescent="0.2">
      <c r="A598" s="2" t="s">
        <v>15</v>
      </c>
      <c r="B598" s="14">
        <v>37956</v>
      </c>
      <c r="C598" s="2">
        <v>6.3829787235999996E-2</v>
      </c>
      <c r="D598" s="2">
        <v>0</v>
      </c>
      <c r="E598" s="2">
        <v>1</v>
      </c>
      <c r="F598" s="2">
        <v>3.0803546981464699E-2</v>
      </c>
      <c r="G598" s="2">
        <v>2</v>
      </c>
    </row>
    <row r="599" spans="1:7" x14ac:dyDescent="0.2">
      <c r="A599" s="2" t="s">
        <v>15</v>
      </c>
      <c r="B599" s="14">
        <v>37987</v>
      </c>
      <c r="C599" s="2">
        <v>0.02</v>
      </c>
      <c r="E599" s="2">
        <v>1</v>
      </c>
      <c r="F599" s="2">
        <v>2.9493301042350401E-2</v>
      </c>
      <c r="G599" s="2">
        <v>2</v>
      </c>
    </row>
    <row r="600" spans="1:7" x14ac:dyDescent="0.2">
      <c r="A600" s="2" t="s">
        <v>15</v>
      </c>
      <c r="B600" s="14">
        <v>38018</v>
      </c>
      <c r="C600" s="2">
        <v>5.8823529410999997E-2</v>
      </c>
      <c r="E600" s="2">
        <v>1</v>
      </c>
      <c r="F600" s="2">
        <v>2.9957970822822099E-2</v>
      </c>
      <c r="G600" s="2">
        <v>2</v>
      </c>
    </row>
    <row r="601" spans="1:7" x14ac:dyDescent="0.2">
      <c r="A601" s="2" t="s">
        <v>15</v>
      </c>
      <c r="B601" s="14">
        <v>38047</v>
      </c>
      <c r="C601" s="2">
        <v>-3.7037037036000003E-2</v>
      </c>
      <c r="D601" s="2">
        <v>0</v>
      </c>
      <c r="E601" s="2">
        <v>1</v>
      </c>
      <c r="F601" s="2">
        <v>3.24007136558873E-2</v>
      </c>
      <c r="G601" s="2">
        <v>2</v>
      </c>
    </row>
    <row r="602" spans="1:7" x14ac:dyDescent="0.2">
      <c r="A602" s="2" t="s">
        <v>15</v>
      </c>
      <c r="B602" s="14">
        <v>38078</v>
      </c>
      <c r="C602" s="2">
        <v>3.4937295949999999E-3</v>
      </c>
      <c r="D602" s="2">
        <v>-9.5690000999999996E-4</v>
      </c>
      <c r="E602" s="2">
        <v>1</v>
      </c>
      <c r="F602" s="2">
        <v>3.1453412458192699E-2</v>
      </c>
      <c r="G602" s="2">
        <v>2</v>
      </c>
    </row>
    <row r="603" spans="1:7" x14ac:dyDescent="0.2">
      <c r="A603" s="2" t="s">
        <v>15</v>
      </c>
      <c r="B603" s="14">
        <v>38108</v>
      </c>
      <c r="C603" s="2">
        <v>-1.9999999999000002E-2</v>
      </c>
      <c r="D603" s="2">
        <v>0</v>
      </c>
      <c r="E603" s="2">
        <v>1</v>
      </c>
      <c r="F603" s="2">
        <v>1.8111382997605799E-2</v>
      </c>
      <c r="G603" s="2">
        <v>2</v>
      </c>
    </row>
    <row r="604" spans="1:7" x14ac:dyDescent="0.2">
      <c r="A604" s="2" t="s">
        <v>15</v>
      </c>
      <c r="B604" s="14">
        <v>38139</v>
      </c>
      <c r="C604" s="2">
        <v>0.10204081632000001</v>
      </c>
      <c r="D604" s="2">
        <v>-3.5630520000000001E-3</v>
      </c>
      <c r="E604" s="2">
        <v>1</v>
      </c>
      <c r="F604" s="2">
        <v>1.7611504490796001E-2</v>
      </c>
      <c r="G604" s="2">
        <v>2</v>
      </c>
    </row>
    <row r="605" spans="1:7" x14ac:dyDescent="0.2">
      <c r="A605" s="2" t="s">
        <v>15</v>
      </c>
      <c r="B605" s="14">
        <v>38169</v>
      </c>
      <c r="C605" s="2">
        <v>1.1111111111000001E-2</v>
      </c>
      <c r="D605" s="2">
        <v>0</v>
      </c>
      <c r="E605" s="2">
        <v>1</v>
      </c>
      <c r="F605" s="2">
        <v>1.8495628153413698E-2</v>
      </c>
      <c r="G605" s="2">
        <v>2</v>
      </c>
    </row>
    <row r="606" spans="1:7" x14ac:dyDescent="0.2">
      <c r="A606" s="2" t="s">
        <v>15</v>
      </c>
      <c r="B606" s="14">
        <v>38200</v>
      </c>
      <c r="C606" s="2">
        <v>9.8974358974000004E-2</v>
      </c>
      <c r="D606" s="2">
        <v>0</v>
      </c>
      <c r="E606" s="2">
        <v>1</v>
      </c>
      <c r="F606" s="2">
        <v>9.6664552024174396E-3</v>
      </c>
      <c r="G606" s="2">
        <v>2</v>
      </c>
    </row>
    <row r="607" spans="1:7" x14ac:dyDescent="0.2">
      <c r="A607" s="2" t="s">
        <v>15</v>
      </c>
      <c r="B607" s="14">
        <v>38231</v>
      </c>
      <c r="C607" s="2">
        <v>0.16658889406999999</v>
      </c>
      <c r="D607" s="19">
        <v>1.1745015E-5</v>
      </c>
      <c r="E607" s="2">
        <v>1</v>
      </c>
      <c r="F607" s="2">
        <v>1.05721550135125E-2</v>
      </c>
      <c r="G607" s="2">
        <v>2</v>
      </c>
    </row>
    <row r="608" spans="1:7" x14ac:dyDescent="0.2">
      <c r="A608" s="2" t="s">
        <v>15</v>
      </c>
      <c r="B608" s="14">
        <v>38261</v>
      </c>
      <c r="C608" s="2">
        <v>2.8571428571E-2</v>
      </c>
      <c r="D608" s="19">
        <v>3.7281818000000002E-5</v>
      </c>
      <c r="E608" s="2">
        <v>1</v>
      </c>
      <c r="F608" s="2">
        <v>1.61300136356601E-2</v>
      </c>
      <c r="G608" s="2">
        <v>2</v>
      </c>
    </row>
    <row r="609" spans="1:7" x14ac:dyDescent="0.2">
      <c r="A609" s="2" t="s">
        <v>15</v>
      </c>
      <c r="B609" s="14">
        <v>38292</v>
      </c>
      <c r="C609" s="2">
        <v>5.5555555554999997E-2</v>
      </c>
      <c r="D609" s="2">
        <v>0</v>
      </c>
      <c r="E609" s="2">
        <v>1</v>
      </c>
      <c r="F609" s="2">
        <v>1.53384925798519E-2</v>
      </c>
      <c r="G609" s="2">
        <v>2</v>
      </c>
    </row>
    <row r="610" spans="1:7" x14ac:dyDescent="0.2">
      <c r="A610" s="2" t="s">
        <v>15</v>
      </c>
      <c r="B610" s="14">
        <v>38322</v>
      </c>
      <c r="C610" s="2">
        <v>-2.0473684209999999E-2</v>
      </c>
      <c r="D610" s="2">
        <v>0</v>
      </c>
      <c r="E610" s="2">
        <v>1</v>
      </c>
      <c r="F610" s="2">
        <v>1.7372462300374401E-2</v>
      </c>
      <c r="G610" s="2">
        <v>2</v>
      </c>
    </row>
    <row r="611" spans="1:7" x14ac:dyDescent="0.2">
      <c r="A611" s="2" t="s">
        <v>15</v>
      </c>
      <c r="B611" s="14">
        <v>38353</v>
      </c>
      <c r="C611" s="2">
        <v>7.4955671370999996E-3</v>
      </c>
      <c r="D611" s="2">
        <v>0</v>
      </c>
      <c r="E611" s="2">
        <v>1</v>
      </c>
      <c r="F611" s="2">
        <v>1.3930786839383501E-2</v>
      </c>
      <c r="G611" s="2">
        <v>2</v>
      </c>
    </row>
    <row r="612" spans="1:7" x14ac:dyDescent="0.2">
      <c r="A612" s="2" t="s">
        <v>15</v>
      </c>
      <c r="B612" s="14">
        <v>38384</v>
      </c>
      <c r="C612" s="2">
        <v>5.3305245193999998E-2</v>
      </c>
      <c r="D612" s="2">
        <v>0</v>
      </c>
      <c r="E612" s="2">
        <v>1</v>
      </c>
      <c r="F612" s="2">
        <v>1.38180529096064E-2</v>
      </c>
      <c r="G612" s="2">
        <v>2</v>
      </c>
    </row>
    <row r="613" spans="1:7" x14ac:dyDescent="0.2">
      <c r="A613" s="2" t="s">
        <v>15</v>
      </c>
      <c r="B613" s="14">
        <v>38412</v>
      </c>
      <c r="C613" s="2">
        <v>5.0632911391999998E-2</v>
      </c>
      <c r="D613" s="2">
        <v>0</v>
      </c>
      <c r="E613" s="2">
        <v>1</v>
      </c>
      <c r="F613" s="2">
        <v>1.23776351227408E-2</v>
      </c>
      <c r="G613" s="2">
        <v>2</v>
      </c>
    </row>
    <row r="614" spans="1:7" x14ac:dyDescent="0.2">
      <c r="A614" s="2" t="s">
        <v>15</v>
      </c>
      <c r="B614" s="14">
        <v>38443</v>
      </c>
      <c r="C614" s="2">
        <v>1.7587939699000001E-2</v>
      </c>
      <c r="D614" s="2">
        <v>0</v>
      </c>
      <c r="E614" s="2">
        <v>1</v>
      </c>
      <c r="F614" s="2">
        <v>8.8270221507164796E-3</v>
      </c>
      <c r="G614" s="2">
        <v>2</v>
      </c>
    </row>
    <row r="615" spans="1:7" x14ac:dyDescent="0.2">
      <c r="A615" s="2" t="s">
        <v>15</v>
      </c>
      <c r="B615" s="14">
        <v>38473</v>
      </c>
      <c r="C615" s="2">
        <v>6.1728395061000002E-2</v>
      </c>
      <c r="D615" s="2">
        <v>0</v>
      </c>
      <c r="E615" s="2">
        <v>1</v>
      </c>
      <c r="F615" s="2">
        <v>8.5500947650294801E-3</v>
      </c>
      <c r="G615" s="2">
        <v>2</v>
      </c>
    </row>
    <row r="616" spans="1:7" x14ac:dyDescent="0.2">
      <c r="A616" s="2" t="s">
        <v>15</v>
      </c>
      <c r="B616" s="14">
        <v>38504</v>
      </c>
      <c r="C616" s="2">
        <v>6.9767441861000007E-2</v>
      </c>
      <c r="D616" s="2">
        <v>0</v>
      </c>
      <c r="E616" s="2">
        <v>1</v>
      </c>
      <c r="F616" s="2">
        <v>8.5172831395732996E-3</v>
      </c>
      <c r="G616" s="2">
        <v>2</v>
      </c>
    </row>
    <row r="617" spans="1:7" x14ac:dyDescent="0.2">
      <c r="A617" s="2" t="s">
        <v>15</v>
      </c>
      <c r="B617" s="14">
        <v>38534</v>
      </c>
      <c r="C617" s="2">
        <v>1.5217391303E-2</v>
      </c>
      <c r="D617" s="2">
        <v>0</v>
      </c>
      <c r="E617" s="2">
        <v>1</v>
      </c>
      <c r="F617" s="2">
        <v>1.093303566589E-2</v>
      </c>
      <c r="G617" s="2">
        <v>2</v>
      </c>
    </row>
    <row r="618" spans="1:7" x14ac:dyDescent="0.2">
      <c r="A618" s="2" t="s">
        <v>15</v>
      </c>
      <c r="B618" s="14">
        <v>38565</v>
      </c>
      <c r="C618" s="2">
        <v>4.9250535332000002E-2</v>
      </c>
      <c r="D618" s="2">
        <v>0</v>
      </c>
      <c r="E618" s="2">
        <v>1</v>
      </c>
      <c r="F618" s="2">
        <v>6.1041802739637101E-3</v>
      </c>
      <c r="G618" s="2">
        <v>2</v>
      </c>
    </row>
    <row r="619" spans="1:7" x14ac:dyDescent="0.2">
      <c r="A619" s="2" t="s">
        <v>15</v>
      </c>
      <c r="B619" s="14">
        <v>38596</v>
      </c>
      <c r="C619" s="2">
        <v>-3.0612244896999999E-2</v>
      </c>
      <c r="D619" s="2">
        <v>0</v>
      </c>
      <c r="E619" s="2">
        <v>1</v>
      </c>
      <c r="F619" s="2">
        <v>5.8316438061849097E-3</v>
      </c>
      <c r="G619" s="2">
        <v>2</v>
      </c>
    </row>
    <row r="620" spans="1:7" x14ac:dyDescent="0.2">
      <c r="A620" s="2" t="s">
        <v>15</v>
      </c>
      <c r="B620" s="14">
        <v>38626</v>
      </c>
      <c r="C620" s="2">
        <v>-6.3157894738000001E-2</v>
      </c>
      <c r="D620" s="19">
        <v>-3.9767273999999997E-5</v>
      </c>
      <c r="E620" s="2">
        <v>1</v>
      </c>
      <c r="F620" s="2">
        <v>3.2999023441350099E-3</v>
      </c>
      <c r="G620" s="2">
        <v>2</v>
      </c>
    </row>
    <row r="621" spans="1:7" x14ac:dyDescent="0.2">
      <c r="A621" s="2" t="s">
        <v>15</v>
      </c>
      <c r="B621" s="14">
        <v>38657</v>
      </c>
      <c r="C621" s="2">
        <v>-6.7415730337000004E-2</v>
      </c>
      <c r="D621" s="2">
        <v>0</v>
      </c>
      <c r="E621" s="2">
        <v>1</v>
      </c>
      <c r="F621" s="2">
        <v>1.2963823349411E-3</v>
      </c>
      <c r="G621" s="2">
        <v>2</v>
      </c>
    </row>
    <row r="622" spans="1:7" x14ac:dyDescent="0.2">
      <c r="A622" s="2" t="s">
        <v>15</v>
      </c>
      <c r="B622" s="14">
        <v>38687</v>
      </c>
      <c r="C622" s="2">
        <v>2.4096385543000001E-2</v>
      </c>
      <c r="D622" s="2">
        <v>3.4496917000000002E-3</v>
      </c>
      <c r="E622" s="2">
        <v>1</v>
      </c>
      <c r="F622" s="2">
        <v>-2.1690641051215899E-3</v>
      </c>
      <c r="G622" s="2">
        <v>2</v>
      </c>
    </row>
    <row r="623" spans="1:7" x14ac:dyDescent="0.2">
      <c r="A623" s="2" t="s">
        <v>15</v>
      </c>
      <c r="B623" s="14">
        <v>38718</v>
      </c>
      <c r="C623" s="2">
        <v>4.7058823527999998E-2</v>
      </c>
      <c r="D623" s="2">
        <v>0</v>
      </c>
      <c r="E623" s="2">
        <v>1</v>
      </c>
      <c r="F623" s="2">
        <v>-3.5618991643780401E-3</v>
      </c>
      <c r="G623" s="2">
        <v>2</v>
      </c>
    </row>
    <row r="624" spans="1:7" x14ac:dyDescent="0.2">
      <c r="A624" s="2" t="s">
        <v>15</v>
      </c>
      <c r="B624" s="14">
        <v>38749</v>
      </c>
      <c r="C624" s="2">
        <v>1.1235955057000001E-2</v>
      </c>
      <c r="D624" s="2">
        <v>0</v>
      </c>
      <c r="E624" s="2">
        <v>1</v>
      </c>
      <c r="F624" s="2">
        <v>-2.7323869218849801E-3</v>
      </c>
      <c r="G624" s="2">
        <v>2</v>
      </c>
    </row>
    <row r="625" spans="1:7" x14ac:dyDescent="0.2">
      <c r="A625" s="2" t="s">
        <v>15</v>
      </c>
      <c r="B625" s="14">
        <v>38777</v>
      </c>
      <c r="C625" s="2">
        <v>3.2644444443999998E-2</v>
      </c>
      <c r="D625" s="2">
        <v>-2.7104878E-4</v>
      </c>
      <c r="E625" s="2">
        <v>1</v>
      </c>
      <c r="F625" s="2">
        <v>-3.8790221257141398E-3</v>
      </c>
      <c r="G625" s="2">
        <v>2</v>
      </c>
    </row>
    <row r="626" spans="1:7" x14ac:dyDescent="0.2">
      <c r="A626" s="2" t="s">
        <v>15</v>
      </c>
      <c r="B626" s="14">
        <v>38808</v>
      </c>
      <c r="C626" s="2">
        <v>6.7378252166000005E-2</v>
      </c>
      <c r="D626" s="2">
        <v>0</v>
      </c>
      <c r="E626" s="2">
        <v>1</v>
      </c>
      <c r="F626" s="2">
        <v>-2.1425248667762201E-3</v>
      </c>
      <c r="G626" s="2">
        <v>2</v>
      </c>
    </row>
    <row r="627" spans="1:7" x14ac:dyDescent="0.2">
      <c r="A627" s="2" t="s">
        <v>15</v>
      </c>
      <c r="B627" s="14">
        <v>38838</v>
      </c>
      <c r="C627" s="2">
        <v>-2.1505376343E-2</v>
      </c>
      <c r="D627" s="2">
        <v>-5.4058635999999999E-4</v>
      </c>
      <c r="E627" s="2">
        <v>1</v>
      </c>
      <c r="F627" s="2">
        <v>1.67522600322125E-3</v>
      </c>
      <c r="G627" s="2">
        <v>2</v>
      </c>
    </row>
    <row r="628" spans="1:7" x14ac:dyDescent="0.2">
      <c r="A628" s="2" t="s">
        <v>15</v>
      </c>
      <c r="B628" s="14">
        <v>38869</v>
      </c>
      <c r="C628" s="2">
        <v>-2.8571428571999999E-2</v>
      </c>
      <c r="D628" s="2">
        <v>0</v>
      </c>
      <c r="E628" s="2">
        <v>1</v>
      </c>
      <c r="F628" s="2">
        <v>3.0347538429399299E-3</v>
      </c>
      <c r="G628" s="2">
        <v>2</v>
      </c>
    </row>
    <row r="629" spans="1:7" x14ac:dyDescent="0.2">
      <c r="A629" s="2" t="s">
        <v>15</v>
      </c>
      <c r="B629" s="14">
        <v>38899</v>
      </c>
      <c r="C629" s="2">
        <v>-4.5248868782000002E-3</v>
      </c>
      <c r="D629" s="2">
        <v>0</v>
      </c>
      <c r="E629" s="2">
        <v>1</v>
      </c>
      <c r="F629" s="2">
        <v>1.5296623834006001E-3</v>
      </c>
      <c r="G629" s="2">
        <v>2</v>
      </c>
    </row>
    <row r="630" spans="1:7" x14ac:dyDescent="0.2">
      <c r="A630" s="2" t="s">
        <v>15</v>
      </c>
      <c r="B630" s="14">
        <v>38930</v>
      </c>
      <c r="C630" s="2">
        <v>5.6840909090000002E-2</v>
      </c>
      <c r="D630" s="2">
        <v>0</v>
      </c>
      <c r="E630" s="2">
        <v>1</v>
      </c>
      <c r="F630" s="2">
        <v>1.86892221681771E-4</v>
      </c>
      <c r="G630" s="2">
        <v>2</v>
      </c>
    </row>
    <row r="631" spans="1:7" x14ac:dyDescent="0.2">
      <c r="A631" s="2" t="s">
        <v>15</v>
      </c>
      <c r="B631" s="14">
        <v>38961</v>
      </c>
      <c r="C631" s="19">
        <v>-2.1504914002E-5</v>
      </c>
      <c r="D631" s="2">
        <v>0</v>
      </c>
      <c r="E631" s="2">
        <v>1</v>
      </c>
      <c r="F631" s="2">
        <v>1.39351247537551E-3</v>
      </c>
      <c r="G631" s="2">
        <v>2</v>
      </c>
    </row>
    <row r="632" spans="1:7" x14ac:dyDescent="0.2">
      <c r="A632" s="2" t="s">
        <v>15</v>
      </c>
      <c r="B632" s="14">
        <v>38991</v>
      </c>
      <c r="C632" s="2">
        <v>0.10107526880999999</v>
      </c>
      <c r="D632" s="2">
        <v>0</v>
      </c>
      <c r="E632" s="2">
        <v>1</v>
      </c>
      <c r="F632" s="2">
        <v>4.2816117976905103E-4</v>
      </c>
      <c r="G632" s="2">
        <v>2</v>
      </c>
    </row>
    <row r="633" spans="1:7" x14ac:dyDescent="0.2">
      <c r="A633" s="2" t="s">
        <v>15</v>
      </c>
      <c r="B633" s="14">
        <v>39022</v>
      </c>
      <c r="C633" s="2">
        <v>1.857421875E-2</v>
      </c>
      <c r="D633" s="2">
        <v>2.9097963E-4</v>
      </c>
      <c r="E633" s="2">
        <v>1</v>
      </c>
      <c r="F633" s="2">
        <v>1.2296314922035801E-3</v>
      </c>
      <c r="G633" s="2">
        <v>2</v>
      </c>
    </row>
    <row r="634" spans="1:7" x14ac:dyDescent="0.2">
      <c r="A634" s="2" t="s">
        <v>15</v>
      </c>
      <c r="B634" s="14">
        <v>39052</v>
      </c>
      <c r="C634" s="2">
        <v>0.13133017583000001</v>
      </c>
      <c r="D634" s="2">
        <v>0</v>
      </c>
      <c r="E634" s="2">
        <v>1</v>
      </c>
      <c r="F634" s="2">
        <v>2.1856909658527299E-3</v>
      </c>
      <c r="G634" s="2">
        <v>2</v>
      </c>
    </row>
    <row r="635" spans="1:7" x14ac:dyDescent="0.2">
      <c r="A635" s="2" t="s">
        <v>15</v>
      </c>
      <c r="B635" s="14">
        <v>39083</v>
      </c>
      <c r="C635" s="2">
        <v>0.10169491525</v>
      </c>
      <c r="D635" s="2">
        <v>0</v>
      </c>
      <c r="E635" s="2">
        <v>1</v>
      </c>
      <c r="F635" s="2">
        <v>6.72620422564741E-3</v>
      </c>
      <c r="G635" s="2">
        <v>2</v>
      </c>
    </row>
    <row r="636" spans="1:7" x14ac:dyDescent="0.2">
      <c r="A636" s="2" t="s">
        <v>15</v>
      </c>
      <c r="B636" s="14">
        <v>39114</v>
      </c>
      <c r="C636" s="2">
        <v>3.0692307693E-2</v>
      </c>
      <c r="D636" s="2">
        <v>0</v>
      </c>
      <c r="E636" s="2">
        <v>1</v>
      </c>
      <c r="F636" s="2">
        <v>9.6441336913261101E-3</v>
      </c>
      <c r="G636" s="2">
        <v>2</v>
      </c>
    </row>
    <row r="637" spans="1:7" x14ac:dyDescent="0.2">
      <c r="A637" s="2" t="s">
        <v>15</v>
      </c>
      <c r="B637" s="14">
        <v>39142</v>
      </c>
      <c r="C637" s="2">
        <v>2.2464363011999999E-2</v>
      </c>
      <c r="D637" s="2">
        <v>0</v>
      </c>
      <c r="E637" s="2">
        <v>1</v>
      </c>
      <c r="F637" s="2">
        <v>8.8080284422305394E-3</v>
      </c>
      <c r="G637" s="2">
        <v>2</v>
      </c>
    </row>
    <row r="638" spans="1:7" x14ac:dyDescent="0.2">
      <c r="A638" s="2" t="s">
        <v>15</v>
      </c>
      <c r="B638" s="14">
        <v>39173</v>
      </c>
      <c r="C638" s="2">
        <v>8.5106887766000006E-2</v>
      </c>
      <c r="D638" s="2">
        <v>0</v>
      </c>
      <c r="E638" s="2">
        <v>1</v>
      </c>
      <c r="F638" s="2">
        <v>9.4112881300475095E-3</v>
      </c>
      <c r="G638" s="2">
        <v>2</v>
      </c>
    </row>
    <row r="639" spans="1:7" x14ac:dyDescent="0.2">
      <c r="A639" s="2" t="s">
        <v>15</v>
      </c>
      <c r="B639" s="14">
        <v>39203</v>
      </c>
      <c r="C639" s="2">
        <v>-2.8032117200000001E-2</v>
      </c>
      <c r="D639" s="2">
        <v>0</v>
      </c>
      <c r="E639" s="2">
        <v>1</v>
      </c>
      <c r="F639" s="2">
        <v>8.8893109870631006E-3</v>
      </c>
      <c r="G639" s="2">
        <v>2</v>
      </c>
    </row>
    <row r="640" spans="1:7" x14ac:dyDescent="0.2">
      <c r="A640" s="2" t="s">
        <v>15</v>
      </c>
      <c r="B640" s="14">
        <v>39234</v>
      </c>
      <c r="C640" s="2">
        <v>2.8985507245999999E-2</v>
      </c>
      <c r="D640" s="2">
        <v>0</v>
      </c>
      <c r="E640" s="2">
        <v>1</v>
      </c>
      <c r="F640" s="2">
        <v>7.6211249994635301E-3</v>
      </c>
      <c r="G640" s="2">
        <v>2</v>
      </c>
    </row>
    <row r="641" spans="1:7" x14ac:dyDescent="0.2">
      <c r="A641" s="2" t="s">
        <v>15</v>
      </c>
      <c r="B641" s="14">
        <v>39264</v>
      </c>
      <c r="C641" s="2">
        <v>-2.8169014084999999E-2</v>
      </c>
      <c r="D641" s="2">
        <v>0</v>
      </c>
      <c r="E641" s="2">
        <v>1</v>
      </c>
      <c r="F641" s="2">
        <v>4.51830413449899E-3</v>
      </c>
      <c r="G641" s="2">
        <v>2</v>
      </c>
    </row>
    <row r="642" spans="1:7" x14ac:dyDescent="0.2">
      <c r="A642" s="2" t="s">
        <v>15</v>
      </c>
      <c r="B642" s="14">
        <v>39295</v>
      </c>
      <c r="C642" s="2">
        <v>-4.347826087E-2</v>
      </c>
      <c r="D642" s="2">
        <v>0</v>
      </c>
      <c r="E642" s="2">
        <v>1</v>
      </c>
      <c r="F642" s="2">
        <v>-4.5131185791190296E-3</v>
      </c>
      <c r="G642" s="2">
        <v>2</v>
      </c>
    </row>
    <row r="643" spans="1:7" x14ac:dyDescent="0.2">
      <c r="A643" s="2" t="s">
        <v>15</v>
      </c>
      <c r="B643" s="14">
        <v>39326</v>
      </c>
      <c r="C643" s="2">
        <v>0</v>
      </c>
      <c r="D643" s="2">
        <v>0</v>
      </c>
      <c r="E643" s="2">
        <v>1</v>
      </c>
      <c r="F643" s="2">
        <v>-6.4535192336227102E-3</v>
      </c>
      <c r="G643" s="2">
        <v>2</v>
      </c>
    </row>
    <row r="644" spans="1:7" x14ac:dyDescent="0.2">
      <c r="A644" s="2" t="s">
        <v>15</v>
      </c>
      <c r="B644" s="14">
        <v>39356</v>
      </c>
      <c r="C644" s="2">
        <v>3.0303030304E-2</v>
      </c>
      <c r="D644" s="2">
        <v>-5.2200507999999998E-4</v>
      </c>
      <c r="E644" s="2">
        <v>1</v>
      </c>
      <c r="F644" s="2">
        <v>-7.1025544007546999E-3</v>
      </c>
      <c r="G644" s="2">
        <v>2</v>
      </c>
    </row>
    <row r="645" spans="1:7" x14ac:dyDescent="0.2">
      <c r="A645" s="2" t="s">
        <v>15</v>
      </c>
      <c r="B645" s="14">
        <v>39387</v>
      </c>
      <c r="C645" s="2">
        <v>-2.9411764706000001E-2</v>
      </c>
      <c r="D645" s="2">
        <v>0</v>
      </c>
      <c r="E645" s="2">
        <v>1</v>
      </c>
      <c r="F645" s="2">
        <v>-8.8266841955999507E-3</v>
      </c>
      <c r="G645" s="2">
        <v>2</v>
      </c>
    </row>
    <row r="646" spans="1:7" x14ac:dyDescent="0.2">
      <c r="A646" s="2" t="s">
        <v>15</v>
      </c>
      <c r="B646" s="14">
        <v>39417</v>
      </c>
      <c r="C646" s="2">
        <v>3.0287878787999999E-2</v>
      </c>
      <c r="D646" s="2">
        <v>0</v>
      </c>
      <c r="E646" s="2">
        <v>1</v>
      </c>
      <c r="F646" s="2">
        <v>-8.7502190091551992E-3</v>
      </c>
      <c r="G646" s="2">
        <v>2</v>
      </c>
    </row>
    <row r="647" spans="1:7" x14ac:dyDescent="0.2">
      <c r="A647" s="2" t="s">
        <v>15</v>
      </c>
      <c r="B647" s="14">
        <v>39448</v>
      </c>
      <c r="C647" s="2">
        <v>-0.14704628009000001</v>
      </c>
      <c r="D647" s="2">
        <v>-2.4613082999999999E-4</v>
      </c>
      <c r="E647" s="2">
        <v>1</v>
      </c>
      <c r="F647" s="2">
        <v>-8.9832868514445902E-3</v>
      </c>
      <c r="G647" s="2">
        <v>2</v>
      </c>
    </row>
    <row r="648" spans="1:7" x14ac:dyDescent="0.2">
      <c r="A648" s="2" t="s">
        <v>15</v>
      </c>
      <c r="B648" s="14">
        <v>39479</v>
      </c>
      <c r="C648" s="2">
        <v>-3.4482758619999998E-3</v>
      </c>
      <c r="D648" s="2">
        <v>0</v>
      </c>
      <c r="E648" s="2">
        <v>1</v>
      </c>
      <c r="F648" s="2">
        <v>-1.18183628606071E-2</v>
      </c>
      <c r="G648" s="2">
        <v>2</v>
      </c>
    </row>
    <row r="649" spans="1:7" x14ac:dyDescent="0.2">
      <c r="A649" s="2" t="s">
        <v>15</v>
      </c>
      <c r="B649" s="14">
        <v>39508</v>
      </c>
      <c r="C649" s="2">
        <v>-4.8615916953999999E-2</v>
      </c>
      <c r="D649" s="2">
        <v>0</v>
      </c>
      <c r="E649" s="2">
        <v>1</v>
      </c>
      <c r="F649" s="2">
        <v>-1.06732665573251E-2</v>
      </c>
      <c r="G649" s="2">
        <v>2</v>
      </c>
    </row>
    <row r="650" spans="1:7" x14ac:dyDescent="0.2">
      <c r="A650" s="2" t="s">
        <v>15</v>
      </c>
      <c r="B650" s="14">
        <v>39539</v>
      </c>
      <c r="C650" s="2">
        <v>4.2924419280000001E-2</v>
      </c>
      <c r="D650" s="2">
        <v>0</v>
      </c>
      <c r="E650" s="2">
        <v>1</v>
      </c>
      <c r="F650" s="2">
        <v>-1.19575736510589E-2</v>
      </c>
      <c r="G650" s="2">
        <v>2</v>
      </c>
    </row>
    <row r="651" spans="1:7" x14ac:dyDescent="0.2">
      <c r="A651" s="2" t="s">
        <v>15</v>
      </c>
      <c r="B651" s="14">
        <v>39569</v>
      </c>
      <c r="C651" s="2">
        <v>9.0090090089000006E-3</v>
      </c>
      <c r="D651" s="2">
        <v>-2.3611817999999999E-4</v>
      </c>
      <c r="E651" s="2">
        <v>1</v>
      </c>
      <c r="F651" s="2">
        <v>-1.17171804669731E-2</v>
      </c>
      <c r="G651" s="2">
        <v>2</v>
      </c>
    </row>
    <row r="652" spans="1:7" x14ac:dyDescent="0.2">
      <c r="A652" s="2" t="s">
        <v>15</v>
      </c>
      <c r="B652" s="14">
        <v>39600</v>
      </c>
      <c r="C652" s="2">
        <v>-5.3571428572E-2</v>
      </c>
      <c r="D652" s="19">
        <v>-2.0165735000000001E-5</v>
      </c>
      <c r="E652" s="2">
        <v>1</v>
      </c>
      <c r="F652" s="2">
        <v>-1.06212157021859E-2</v>
      </c>
      <c r="G652" s="2">
        <v>2</v>
      </c>
    </row>
    <row r="653" spans="1:7" x14ac:dyDescent="0.2">
      <c r="A653" s="2" t="s">
        <v>15</v>
      </c>
      <c r="B653" s="14">
        <v>39630</v>
      </c>
      <c r="C653" s="2">
        <v>9.4339622647000004E-3</v>
      </c>
      <c r="D653" s="2">
        <v>5.0519411000000004E-3</v>
      </c>
      <c r="E653" s="2">
        <v>1</v>
      </c>
      <c r="F653" s="2">
        <v>-1.29305380343983E-2</v>
      </c>
      <c r="G653" s="2">
        <v>2</v>
      </c>
    </row>
    <row r="654" spans="1:7" x14ac:dyDescent="0.2">
      <c r="A654" s="2" t="s">
        <v>15</v>
      </c>
      <c r="B654" s="14">
        <v>39661</v>
      </c>
      <c r="C654" s="2">
        <v>-3.7383177570000002E-2</v>
      </c>
      <c r="D654" s="2">
        <v>3.4766787000000001E-4</v>
      </c>
      <c r="E654" s="2">
        <v>1</v>
      </c>
      <c r="F654" s="2">
        <v>-9.6667356642508601E-3</v>
      </c>
      <c r="G654" s="2">
        <v>2</v>
      </c>
    </row>
    <row r="655" spans="1:7" x14ac:dyDescent="0.2">
      <c r="A655" s="2" t="s">
        <v>15</v>
      </c>
      <c r="B655" s="14">
        <v>39692</v>
      </c>
      <c r="C655" s="2">
        <v>-6.7961165047999997E-2</v>
      </c>
      <c r="D655" s="19">
        <v>5.0100549E-5</v>
      </c>
      <c r="E655" s="2">
        <v>1</v>
      </c>
      <c r="F655" s="2">
        <v>-1.0565187292720799E-2</v>
      </c>
      <c r="G655" s="2">
        <v>2</v>
      </c>
    </row>
    <row r="656" spans="1:7" x14ac:dyDescent="0.2">
      <c r="A656" s="2" t="s">
        <v>15</v>
      </c>
      <c r="B656" s="14">
        <v>39722</v>
      </c>
      <c r="C656" s="2">
        <v>-0.125</v>
      </c>
      <c r="D656" s="2">
        <v>-5.1224473999999997E-3</v>
      </c>
      <c r="E656" s="2">
        <v>1</v>
      </c>
      <c r="F656" s="2">
        <v>-1.09317854031343E-2</v>
      </c>
      <c r="G656" s="2">
        <v>2</v>
      </c>
    </row>
    <row r="657" spans="1:7" x14ac:dyDescent="0.2">
      <c r="A657" s="2" t="s">
        <v>15</v>
      </c>
      <c r="B657" s="14">
        <v>39753</v>
      </c>
      <c r="C657" s="2">
        <v>-3.5714285712999998E-2</v>
      </c>
      <c r="D657" s="2">
        <v>0</v>
      </c>
      <c r="E657" s="2">
        <v>1</v>
      </c>
      <c r="F657" s="2">
        <v>-1.53909626411827E-2</v>
      </c>
      <c r="G657" s="2">
        <v>2</v>
      </c>
    </row>
    <row r="658" spans="1:7" x14ac:dyDescent="0.2">
      <c r="A658" s="2" t="s">
        <v>15</v>
      </c>
      <c r="B658" s="14">
        <v>39783</v>
      </c>
      <c r="C658" s="2">
        <v>6.1728395061000002E-2</v>
      </c>
      <c r="D658" s="2">
        <v>0</v>
      </c>
      <c r="E658" s="2">
        <v>1</v>
      </c>
      <c r="F658" s="2">
        <v>-1.66008229217584E-2</v>
      </c>
      <c r="G658" s="2">
        <v>2</v>
      </c>
    </row>
    <row r="659" spans="1:7" x14ac:dyDescent="0.2">
      <c r="A659" s="2" t="s">
        <v>16</v>
      </c>
      <c r="B659" s="14">
        <v>37591</v>
      </c>
      <c r="C659" s="2">
        <v>-6.6666666666999996E-2</v>
      </c>
      <c r="D659" s="2">
        <v>0</v>
      </c>
      <c r="E659" s="2">
        <v>1</v>
      </c>
      <c r="G659" s="2">
        <v>2</v>
      </c>
    </row>
    <row r="660" spans="1:7" x14ac:dyDescent="0.2">
      <c r="A660" s="2" t="s">
        <v>16</v>
      </c>
      <c r="B660" s="14">
        <v>37622</v>
      </c>
      <c r="C660" s="2">
        <v>-3.5714285714000003E-2</v>
      </c>
      <c r="D660" s="2">
        <v>0</v>
      </c>
      <c r="E660" s="2">
        <v>1</v>
      </c>
      <c r="G660" s="2">
        <v>2</v>
      </c>
    </row>
    <row r="661" spans="1:7" x14ac:dyDescent="0.2">
      <c r="A661" s="2" t="s">
        <v>16</v>
      </c>
      <c r="B661" s="14">
        <v>37653</v>
      </c>
      <c r="C661" s="2">
        <v>0</v>
      </c>
      <c r="D661" s="2">
        <v>0</v>
      </c>
      <c r="E661" s="2">
        <v>1</v>
      </c>
      <c r="G661" s="2">
        <v>2</v>
      </c>
    </row>
    <row r="662" spans="1:7" x14ac:dyDescent="0.2">
      <c r="A662" s="2" t="s">
        <v>16</v>
      </c>
      <c r="B662" s="14">
        <v>37681</v>
      </c>
      <c r="C662" s="2">
        <v>-2.7777777776999999E-2</v>
      </c>
      <c r="D662" s="2">
        <v>0</v>
      </c>
      <c r="E662" s="2">
        <v>1</v>
      </c>
      <c r="G662" s="2">
        <v>2</v>
      </c>
    </row>
    <row r="663" spans="1:7" x14ac:dyDescent="0.2">
      <c r="A663" s="2" t="s">
        <v>16</v>
      </c>
      <c r="B663" s="14">
        <v>37712</v>
      </c>
      <c r="C663" s="2">
        <v>0.13233172056</v>
      </c>
      <c r="D663" s="2">
        <v>0</v>
      </c>
      <c r="E663" s="2">
        <v>1</v>
      </c>
      <c r="G663" s="2">
        <v>2</v>
      </c>
    </row>
    <row r="664" spans="1:7" x14ac:dyDescent="0.2">
      <c r="A664" s="2" t="s">
        <v>16</v>
      </c>
      <c r="B664" s="14">
        <v>37742</v>
      </c>
      <c r="C664" s="2">
        <v>0.17241379309999999</v>
      </c>
      <c r="D664" s="2">
        <v>0</v>
      </c>
      <c r="E664" s="2">
        <v>1</v>
      </c>
      <c r="G664" s="2">
        <v>2</v>
      </c>
    </row>
    <row r="665" spans="1:7" x14ac:dyDescent="0.2">
      <c r="A665" s="2" t="s">
        <v>16</v>
      </c>
      <c r="B665" s="14">
        <v>37773</v>
      </c>
      <c r="C665" s="2">
        <v>2.9411764704000001E-2</v>
      </c>
      <c r="D665" s="2">
        <v>0</v>
      </c>
      <c r="E665" s="2">
        <v>1</v>
      </c>
      <c r="G665" s="2">
        <v>2</v>
      </c>
    </row>
    <row r="666" spans="1:7" x14ac:dyDescent="0.2">
      <c r="A666" s="2" t="s">
        <v>16</v>
      </c>
      <c r="B666" s="14">
        <v>37803</v>
      </c>
      <c r="C666" s="2">
        <v>5.7142857143999998E-2</v>
      </c>
      <c r="D666" s="2">
        <v>0</v>
      </c>
      <c r="E666" s="2">
        <v>1</v>
      </c>
      <c r="G666" s="2">
        <v>2</v>
      </c>
    </row>
    <row r="667" spans="1:7" x14ac:dyDescent="0.2">
      <c r="A667" s="2" t="s">
        <v>16</v>
      </c>
      <c r="B667" s="14">
        <v>37834</v>
      </c>
      <c r="C667" s="2">
        <v>0.16216216216000001</v>
      </c>
      <c r="D667" s="2">
        <v>0</v>
      </c>
      <c r="E667" s="2">
        <v>1</v>
      </c>
      <c r="G667" s="2">
        <v>2</v>
      </c>
    </row>
    <row r="668" spans="1:7" x14ac:dyDescent="0.2">
      <c r="A668" s="2" t="s">
        <v>16</v>
      </c>
      <c r="B668" s="14">
        <v>37865</v>
      </c>
      <c r="C668" s="2">
        <v>7.6422773018000004E-2</v>
      </c>
      <c r="D668" s="2">
        <v>0</v>
      </c>
      <c r="E668" s="2">
        <v>1</v>
      </c>
      <c r="G668" s="2">
        <v>2</v>
      </c>
    </row>
    <row r="669" spans="1:7" x14ac:dyDescent="0.2">
      <c r="A669" s="2" t="s">
        <v>16</v>
      </c>
      <c r="B669" s="14">
        <v>37895</v>
      </c>
      <c r="C669" s="2">
        <v>3.8674033149000003E-2</v>
      </c>
      <c r="D669" s="2">
        <v>0</v>
      </c>
      <c r="E669" s="2">
        <v>1</v>
      </c>
      <c r="G669" s="2">
        <v>2</v>
      </c>
    </row>
    <row r="670" spans="1:7" x14ac:dyDescent="0.2">
      <c r="A670" s="2" t="s">
        <v>16</v>
      </c>
      <c r="B670" s="14">
        <v>37926</v>
      </c>
      <c r="C670" s="2">
        <v>3.1914893617999998E-2</v>
      </c>
      <c r="D670" s="2">
        <v>0</v>
      </c>
      <c r="E670" s="2">
        <v>1</v>
      </c>
      <c r="G670" s="2">
        <v>2</v>
      </c>
    </row>
    <row r="671" spans="1:7" x14ac:dyDescent="0.2">
      <c r="A671" s="2" t="s">
        <v>16</v>
      </c>
      <c r="B671" s="14">
        <v>37956</v>
      </c>
      <c r="C671" s="2">
        <v>5.1546391753E-2</v>
      </c>
      <c r="D671" s="2">
        <v>0</v>
      </c>
      <c r="E671" s="2">
        <v>1</v>
      </c>
      <c r="G671" s="2">
        <v>2</v>
      </c>
    </row>
    <row r="672" spans="1:7" x14ac:dyDescent="0.2">
      <c r="A672" s="2" t="s">
        <v>16</v>
      </c>
      <c r="B672" s="14">
        <v>37987</v>
      </c>
      <c r="C672" s="2">
        <v>9.8039215681999994E-3</v>
      </c>
      <c r="E672" s="2">
        <v>1</v>
      </c>
      <c r="G672" s="2">
        <v>2</v>
      </c>
    </row>
    <row r="673" spans="1:7" x14ac:dyDescent="0.2">
      <c r="A673" s="2" t="s">
        <v>16</v>
      </c>
      <c r="B673" s="14">
        <v>38018</v>
      </c>
      <c r="C673" s="2">
        <v>-2.9126213591999999E-2</v>
      </c>
      <c r="E673" s="2">
        <v>1</v>
      </c>
      <c r="G673" s="2">
        <v>2</v>
      </c>
    </row>
    <row r="674" spans="1:7" x14ac:dyDescent="0.2">
      <c r="A674" s="2" t="s">
        <v>16</v>
      </c>
      <c r="B674" s="14">
        <v>38047</v>
      </c>
      <c r="C674" s="2">
        <v>0.1699</v>
      </c>
      <c r="D674" s="2">
        <v>0</v>
      </c>
      <c r="E674" s="2">
        <v>1</v>
      </c>
      <c r="G674" s="2">
        <v>2</v>
      </c>
    </row>
    <row r="675" spans="1:7" x14ac:dyDescent="0.2">
      <c r="A675" s="2" t="s">
        <v>16</v>
      </c>
      <c r="B675" s="14">
        <v>38078</v>
      </c>
      <c r="C675" s="2">
        <v>-6.8296435592999999E-2</v>
      </c>
      <c r="D675" s="2">
        <v>0</v>
      </c>
      <c r="E675" s="2">
        <v>1</v>
      </c>
      <c r="G675" s="2">
        <v>2</v>
      </c>
    </row>
    <row r="676" spans="1:7" x14ac:dyDescent="0.2">
      <c r="A676" s="2" t="s">
        <v>16</v>
      </c>
      <c r="B676" s="14">
        <v>38108</v>
      </c>
      <c r="C676" s="2">
        <v>-0.11926605504</v>
      </c>
      <c r="D676" s="2">
        <v>0</v>
      </c>
      <c r="E676" s="2">
        <v>1</v>
      </c>
      <c r="G676" s="2">
        <v>2</v>
      </c>
    </row>
    <row r="677" spans="1:7" x14ac:dyDescent="0.2">
      <c r="A677" s="2" t="s">
        <v>16</v>
      </c>
      <c r="B677" s="14">
        <v>38139</v>
      </c>
      <c r="C677" s="2">
        <v>9.375E-2</v>
      </c>
      <c r="D677" s="2">
        <v>-2.7662950999999998E-3</v>
      </c>
      <c r="E677" s="2">
        <v>1</v>
      </c>
      <c r="G677" s="2">
        <v>2</v>
      </c>
    </row>
    <row r="678" spans="1:7" x14ac:dyDescent="0.2">
      <c r="A678" s="2" t="s">
        <v>16</v>
      </c>
      <c r="B678" s="14">
        <v>38169</v>
      </c>
      <c r="C678" s="2">
        <v>2.7619047617999999E-2</v>
      </c>
      <c r="D678" s="2">
        <v>0</v>
      </c>
      <c r="E678" s="2">
        <v>1</v>
      </c>
      <c r="G678" s="2">
        <v>2</v>
      </c>
    </row>
    <row r="679" spans="1:7" x14ac:dyDescent="0.2">
      <c r="A679" s="2" t="s">
        <v>16</v>
      </c>
      <c r="B679" s="14">
        <v>38200</v>
      </c>
      <c r="C679" s="2">
        <v>0.15848007414000001</v>
      </c>
      <c r="D679" s="2">
        <v>0</v>
      </c>
      <c r="E679" s="2">
        <v>1</v>
      </c>
      <c r="G679" s="2">
        <v>2</v>
      </c>
    </row>
    <row r="680" spans="1:7" x14ac:dyDescent="0.2">
      <c r="A680" s="2" t="s">
        <v>16</v>
      </c>
      <c r="B680" s="14">
        <v>38231</v>
      </c>
      <c r="C680" s="2">
        <v>6.4000000000000001E-2</v>
      </c>
      <c r="D680" s="2">
        <v>0</v>
      </c>
      <c r="E680" s="2">
        <v>1</v>
      </c>
      <c r="G680" s="2">
        <v>2</v>
      </c>
    </row>
    <row r="681" spans="1:7" x14ac:dyDescent="0.2">
      <c r="A681" s="2" t="s">
        <v>16</v>
      </c>
      <c r="B681" s="14">
        <v>38261</v>
      </c>
      <c r="C681" s="2">
        <v>8.2706766915999999E-2</v>
      </c>
      <c r="D681" s="2">
        <v>0</v>
      </c>
      <c r="E681" s="2">
        <v>1</v>
      </c>
      <c r="G681" s="2">
        <v>2</v>
      </c>
    </row>
    <row r="682" spans="1:7" x14ac:dyDescent="0.2">
      <c r="A682" s="2" t="s">
        <v>16</v>
      </c>
      <c r="B682" s="14">
        <v>38292</v>
      </c>
      <c r="C682" s="2">
        <v>0.23611111110999999</v>
      </c>
      <c r="D682" s="2">
        <v>0</v>
      </c>
      <c r="E682" s="2">
        <v>1</v>
      </c>
      <c r="G682" s="2">
        <v>2</v>
      </c>
    </row>
    <row r="683" spans="1:7" x14ac:dyDescent="0.2">
      <c r="A683" s="2" t="s">
        <v>16</v>
      </c>
      <c r="B683" s="14">
        <v>38322</v>
      </c>
      <c r="C683" s="2">
        <v>6.6853932583E-2</v>
      </c>
      <c r="D683" s="2">
        <v>0</v>
      </c>
      <c r="E683" s="2">
        <v>1</v>
      </c>
      <c r="G683" s="2">
        <v>2</v>
      </c>
    </row>
    <row r="684" spans="1:7" x14ac:dyDescent="0.2">
      <c r="A684" s="2" t="s">
        <v>16</v>
      </c>
      <c r="B684" s="14">
        <v>38353</v>
      </c>
      <c r="C684" s="2">
        <v>-2.5803054238000001E-2</v>
      </c>
      <c r="D684" s="2">
        <v>0</v>
      </c>
      <c r="E684" s="2">
        <v>1</v>
      </c>
      <c r="G684" s="2">
        <v>2</v>
      </c>
    </row>
    <row r="685" spans="1:7" x14ac:dyDescent="0.2">
      <c r="A685" s="2" t="s">
        <v>16</v>
      </c>
      <c r="B685" s="14">
        <v>38384</v>
      </c>
      <c r="C685" s="2">
        <v>1.8918918919000001E-2</v>
      </c>
      <c r="D685" s="2">
        <v>0</v>
      </c>
      <c r="E685" s="2">
        <v>1</v>
      </c>
      <c r="G685" s="2">
        <v>2</v>
      </c>
    </row>
    <row r="686" spans="1:7" x14ac:dyDescent="0.2">
      <c r="A686" s="2" t="s">
        <v>16</v>
      </c>
      <c r="B686" s="14">
        <v>38412</v>
      </c>
      <c r="C686" s="2">
        <v>-1.8673740054E-2</v>
      </c>
      <c r="D686" s="2">
        <v>0</v>
      </c>
      <c r="E686" s="2">
        <v>1</v>
      </c>
      <c r="G686" s="2">
        <v>2</v>
      </c>
    </row>
    <row r="687" spans="1:7" x14ac:dyDescent="0.2">
      <c r="A687" s="2" t="s">
        <v>16</v>
      </c>
      <c r="B687" s="14">
        <v>38443</v>
      </c>
      <c r="C687" s="2">
        <v>6.6033900483999999E-2</v>
      </c>
      <c r="D687" s="2">
        <v>0</v>
      </c>
      <c r="E687" s="2">
        <v>1</v>
      </c>
      <c r="G687" s="2">
        <v>2</v>
      </c>
    </row>
    <row r="688" spans="1:7" x14ac:dyDescent="0.2">
      <c r="A688" s="2" t="s">
        <v>16</v>
      </c>
      <c r="B688" s="14">
        <v>38473</v>
      </c>
      <c r="C688" s="2">
        <v>-5.7894736842E-2</v>
      </c>
      <c r="D688" s="2">
        <v>0</v>
      </c>
      <c r="E688" s="2">
        <v>1</v>
      </c>
      <c r="G688" s="2">
        <v>2</v>
      </c>
    </row>
    <row r="689" spans="1:7" x14ac:dyDescent="0.2">
      <c r="A689" s="2" t="s">
        <v>16</v>
      </c>
      <c r="B689" s="14">
        <v>38504</v>
      </c>
      <c r="C689" s="2">
        <v>8.4034207700999994E-2</v>
      </c>
      <c r="D689" s="2">
        <v>0</v>
      </c>
      <c r="E689" s="2">
        <v>1</v>
      </c>
      <c r="G689" s="2">
        <v>2</v>
      </c>
    </row>
    <row r="690" spans="1:7" x14ac:dyDescent="0.2">
      <c r="A690" s="2" t="s">
        <v>16</v>
      </c>
      <c r="B690" s="14">
        <v>38534</v>
      </c>
      <c r="C690" s="2">
        <v>0.18421052632000001</v>
      </c>
      <c r="D690" s="2">
        <v>0</v>
      </c>
      <c r="E690" s="2">
        <v>1</v>
      </c>
      <c r="G690" s="2">
        <v>2</v>
      </c>
    </row>
    <row r="691" spans="1:7" x14ac:dyDescent="0.2">
      <c r="A691" s="2" t="s">
        <v>16</v>
      </c>
      <c r="B691" s="14">
        <v>38565</v>
      </c>
      <c r="C691" s="2">
        <v>-9.7777777777999994E-2</v>
      </c>
      <c r="D691" s="2">
        <v>0</v>
      </c>
      <c r="E691" s="2">
        <v>1</v>
      </c>
      <c r="G691" s="2">
        <v>2</v>
      </c>
    </row>
    <row r="692" spans="1:7" x14ac:dyDescent="0.2">
      <c r="A692" s="2" t="s">
        <v>16</v>
      </c>
      <c r="B692" s="14">
        <v>38596</v>
      </c>
      <c r="C692" s="2">
        <v>-6.4105220281000005E-4</v>
      </c>
      <c r="D692" s="2">
        <v>0</v>
      </c>
      <c r="E692" s="2">
        <v>1</v>
      </c>
      <c r="G692" s="2">
        <v>2</v>
      </c>
    </row>
    <row r="693" spans="1:7" x14ac:dyDescent="0.2">
      <c r="A693" s="2" t="s">
        <v>16</v>
      </c>
      <c r="B693" s="14">
        <v>38626</v>
      </c>
      <c r="C693" s="2">
        <v>-0.1</v>
      </c>
      <c r="D693" s="2">
        <v>0</v>
      </c>
      <c r="E693" s="2">
        <v>1</v>
      </c>
      <c r="G693" s="2">
        <v>2</v>
      </c>
    </row>
    <row r="694" spans="1:7" x14ac:dyDescent="0.2">
      <c r="A694" s="2" t="s">
        <v>16</v>
      </c>
      <c r="B694" s="14">
        <v>38657</v>
      </c>
      <c r="C694" s="2">
        <v>-8.3333333334000004E-2</v>
      </c>
      <c r="D694" s="2">
        <v>0</v>
      </c>
      <c r="E694" s="2">
        <v>1</v>
      </c>
      <c r="G694" s="2">
        <v>2</v>
      </c>
    </row>
    <row r="695" spans="1:7" x14ac:dyDescent="0.2">
      <c r="A695" s="2" t="s">
        <v>16</v>
      </c>
      <c r="B695" s="14">
        <v>38687</v>
      </c>
      <c r="C695" s="2">
        <v>-1.8181818182000001E-2</v>
      </c>
      <c r="D695" s="2">
        <v>0</v>
      </c>
      <c r="E695" s="2">
        <v>1</v>
      </c>
      <c r="G695" s="2">
        <v>2</v>
      </c>
    </row>
    <row r="696" spans="1:7" x14ac:dyDescent="0.2">
      <c r="A696" s="2" t="s">
        <v>16</v>
      </c>
      <c r="B696" s="14">
        <v>38718</v>
      </c>
      <c r="C696" s="2">
        <v>9.8765432097999997E-2</v>
      </c>
      <c r="D696" s="2">
        <v>0</v>
      </c>
      <c r="E696" s="2">
        <v>1</v>
      </c>
      <c r="G696" s="2">
        <v>2</v>
      </c>
    </row>
    <row r="697" spans="1:7" x14ac:dyDescent="0.2">
      <c r="A697" s="2" t="s">
        <v>16</v>
      </c>
      <c r="B697" s="14">
        <v>38749</v>
      </c>
      <c r="C697" s="2">
        <v>1.1235955057000001E-2</v>
      </c>
      <c r="D697" s="2">
        <v>0</v>
      </c>
      <c r="E697" s="2">
        <v>1</v>
      </c>
      <c r="G697" s="2">
        <v>2</v>
      </c>
    </row>
    <row r="698" spans="1:7" x14ac:dyDescent="0.2">
      <c r="A698" s="2" t="s">
        <v>16</v>
      </c>
      <c r="B698" s="14">
        <v>38777</v>
      </c>
      <c r="C698" s="2">
        <v>-4.4444444444000003E-2</v>
      </c>
      <c r="D698" s="2">
        <v>0</v>
      </c>
      <c r="E698" s="2">
        <v>1</v>
      </c>
      <c r="G698" s="2">
        <v>2</v>
      </c>
    </row>
    <row r="699" spans="1:7" x14ac:dyDescent="0.2">
      <c r="A699" s="2" t="s">
        <v>16</v>
      </c>
      <c r="B699" s="14">
        <v>38808</v>
      </c>
      <c r="C699" s="2">
        <v>1.1627906974999999E-2</v>
      </c>
      <c r="D699" s="2">
        <v>0</v>
      </c>
      <c r="E699" s="2">
        <v>1</v>
      </c>
      <c r="G699" s="2">
        <v>2</v>
      </c>
    </row>
    <row r="700" spans="1:7" x14ac:dyDescent="0.2">
      <c r="A700" s="2" t="s">
        <v>16</v>
      </c>
      <c r="B700" s="14">
        <v>38838</v>
      </c>
      <c r="C700" s="2">
        <v>-3.6993540810000003E-2</v>
      </c>
      <c r="D700" s="2">
        <v>0</v>
      </c>
      <c r="E700" s="2">
        <v>1</v>
      </c>
      <c r="G700" s="2">
        <v>2</v>
      </c>
    </row>
    <row r="701" spans="1:7" x14ac:dyDescent="0.2">
      <c r="A701" s="2" t="s">
        <v>16</v>
      </c>
      <c r="B701" s="14">
        <v>38869</v>
      </c>
      <c r="C701" s="2">
        <v>-6.4024390244000001E-2</v>
      </c>
      <c r="D701" s="2">
        <v>0</v>
      </c>
      <c r="E701" s="2">
        <v>1</v>
      </c>
      <c r="G701" s="2">
        <v>2</v>
      </c>
    </row>
    <row r="702" spans="1:7" x14ac:dyDescent="0.2">
      <c r="A702" s="2" t="s">
        <v>16</v>
      </c>
      <c r="B702" s="14">
        <v>38899</v>
      </c>
      <c r="C702" s="2">
        <v>-4.5537459283999999E-2</v>
      </c>
      <c r="D702" s="2">
        <v>0</v>
      </c>
      <c r="E702" s="2">
        <v>1</v>
      </c>
      <c r="G702" s="2">
        <v>2</v>
      </c>
    </row>
    <row r="703" spans="1:7" x14ac:dyDescent="0.2">
      <c r="A703" s="2" t="s">
        <v>16</v>
      </c>
      <c r="B703" s="14">
        <v>38930</v>
      </c>
      <c r="C703" s="2">
        <v>0.12620298955000001</v>
      </c>
      <c r="D703" s="2">
        <v>0</v>
      </c>
      <c r="E703" s="2">
        <v>1</v>
      </c>
      <c r="G703" s="2">
        <v>2</v>
      </c>
    </row>
    <row r="704" spans="1:7" x14ac:dyDescent="0.2">
      <c r="A704" s="2" t="s">
        <v>16</v>
      </c>
      <c r="B704" s="14">
        <v>38961</v>
      </c>
      <c r="C704" s="2">
        <v>-6.0606060606000003E-2</v>
      </c>
      <c r="D704" s="2">
        <v>0</v>
      </c>
      <c r="E704" s="2">
        <v>1</v>
      </c>
      <c r="G704" s="2">
        <v>2</v>
      </c>
    </row>
    <row r="705" spans="1:7" x14ac:dyDescent="0.2">
      <c r="A705" s="2" t="s">
        <v>16</v>
      </c>
      <c r="B705" s="14">
        <v>38991</v>
      </c>
      <c r="C705" s="2">
        <v>2.6315789472999999E-2</v>
      </c>
      <c r="D705" s="2">
        <v>0</v>
      </c>
      <c r="E705" s="2">
        <v>1</v>
      </c>
      <c r="G705" s="2">
        <v>2</v>
      </c>
    </row>
    <row r="706" spans="1:7" x14ac:dyDescent="0.2">
      <c r="A706" s="2" t="s">
        <v>16</v>
      </c>
      <c r="B706" s="14">
        <v>39022</v>
      </c>
      <c r="C706" s="2">
        <v>-2.7243589743E-2</v>
      </c>
      <c r="D706" s="2">
        <v>0</v>
      </c>
      <c r="E706" s="2">
        <v>1</v>
      </c>
      <c r="G706" s="2">
        <v>2</v>
      </c>
    </row>
    <row r="707" spans="1:7" x14ac:dyDescent="0.2">
      <c r="A707" s="2" t="s">
        <v>16</v>
      </c>
      <c r="B707" s="14">
        <v>39052</v>
      </c>
      <c r="C707" s="2">
        <v>0.13344316309000001</v>
      </c>
      <c r="D707" s="2">
        <v>0</v>
      </c>
      <c r="E707" s="2">
        <v>1</v>
      </c>
      <c r="G707" s="2">
        <v>2</v>
      </c>
    </row>
    <row r="708" spans="1:7" x14ac:dyDescent="0.2">
      <c r="A708" s="2" t="s">
        <v>16</v>
      </c>
      <c r="B708" s="14">
        <v>39083</v>
      </c>
      <c r="C708" s="2">
        <v>0.13372093023000001</v>
      </c>
      <c r="D708" s="2">
        <v>0</v>
      </c>
      <c r="E708" s="2">
        <v>1</v>
      </c>
      <c r="G708" s="2">
        <v>2</v>
      </c>
    </row>
    <row r="709" spans="1:7" x14ac:dyDescent="0.2">
      <c r="A709" s="2" t="s">
        <v>16</v>
      </c>
      <c r="B709" s="14">
        <v>39114</v>
      </c>
      <c r="C709" s="2">
        <v>2.5641025641000001E-2</v>
      </c>
      <c r="D709" s="2">
        <v>0</v>
      </c>
      <c r="E709" s="2">
        <v>1</v>
      </c>
      <c r="G709" s="2">
        <v>2</v>
      </c>
    </row>
    <row r="710" spans="1:7" x14ac:dyDescent="0.2">
      <c r="A710" s="2" t="s">
        <v>16</v>
      </c>
      <c r="B710" s="14">
        <v>39142</v>
      </c>
      <c r="C710" s="2">
        <v>-5.0000000001E-3</v>
      </c>
      <c r="D710" s="2">
        <v>-4.1317962999999997E-3</v>
      </c>
      <c r="E710" s="2">
        <v>1</v>
      </c>
      <c r="G710" s="2">
        <v>2</v>
      </c>
    </row>
    <row r="711" spans="1:7" x14ac:dyDescent="0.2">
      <c r="A711" s="2" t="s">
        <v>16</v>
      </c>
      <c r="B711" s="14">
        <v>39173</v>
      </c>
      <c r="C711" s="2">
        <v>5.5276381909E-2</v>
      </c>
      <c r="D711" s="2">
        <v>0</v>
      </c>
      <c r="E711" s="2">
        <v>1</v>
      </c>
      <c r="G711" s="2">
        <v>2</v>
      </c>
    </row>
    <row r="712" spans="1:7" x14ac:dyDescent="0.2">
      <c r="A712" s="2" t="s">
        <v>16</v>
      </c>
      <c r="B712" s="14">
        <v>39203</v>
      </c>
      <c r="C712" s="2">
        <v>-4.7386419148E-2</v>
      </c>
      <c r="D712" s="2">
        <v>0</v>
      </c>
      <c r="E712" s="2">
        <v>1</v>
      </c>
      <c r="G712" s="2">
        <v>2</v>
      </c>
    </row>
    <row r="713" spans="1:7" x14ac:dyDescent="0.2">
      <c r="A713" s="2" t="s">
        <v>16</v>
      </c>
      <c r="B713" s="14">
        <v>39234</v>
      </c>
      <c r="C713" s="2">
        <v>0.16923076922999999</v>
      </c>
      <c r="D713" s="2">
        <v>0</v>
      </c>
      <c r="E713" s="2">
        <v>1</v>
      </c>
      <c r="G713" s="2">
        <v>2</v>
      </c>
    </row>
    <row r="714" spans="1:7" x14ac:dyDescent="0.2">
      <c r="A714" s="2" t="s">
        <v>16</v>
      </c>
      <c r="B714" s="14">
        <v>39264</v>
      </c>
      <c r="C714" s="2">
        <v>8.7719298244000002E-2</v>
      </c>
      <c r="D714" s="2">
        <v>0</v>
      </c>
      <c r="E714" s="2">
        <v>1</v>
      </c>
      <c r="G714" s="2">
        <v>2</v>
      </c>
    </row>
    <row r="715" spans="1:7" x14ac:dyDescent="0.2">
      <c r="A715" s="2" t="s">
        <v>16</v>
      </c>
      <c r="B715" s="14">
        <v>39295</v>
      </c>
      <c r="C715" s="2">
        <v>2.8225806453000001E-2</v>
      </c>
      <c r="D715" s="2">
        <v>0</v>
      </c>
      <c r="E715" s="2">
        <v>1</v>
      </c>
      <c r="G715" s="2">
        <v>2</v>
      </c>
    </row>
    <row r="716" spans="1:7" x14ac:dyDescent="0.2">
      <c r="A716" s="2" t="s">
        <v>16</v>
      </c>
      <c r="B716" s="14">
        <v>39326</v>
      </c>
      <c r="C716" s="2">
        <v>-3.9215686274000003E-2</v>
      </c>
      <c r="D716" s="2">
        <v>0</v>
      </c>
      <c r="E716" s="2">
        <v>1</v>
      </c>
      <c r="G716" s="2">
        <v>2</v>
      </c>
    </row>
    <row r="717" spans="1:7" x14ac:dyDescent="0.2">
      <c r="A717" s="2" t="s">
        <v>16</v>
      </c>
      <c r="B717" s="14">
        <v>39356</v>
      </c>
      <c r="C717" s="2">
        <v>0.24010275486999999</v>
      </c>
      <c r="D717" s="2">
        <v>0</v>
      </c>
      <c r="E717" s="2">
        <v>1</v>
      </c>
      <c r="G717" s="2">
        <v>2</v>
      </c>
    </row>
    <row r="718" spans="1:7" x14ac:dyDescent="0.2">
      <c r="A718" s="2" t="s">
        <v>16</v>
      </c>
      <c r="B718" s="14">
        <v>39387</v>
      </c>
      <c r="C718" s="2">
        <v>-7.0203016824E-2</v>
      </c>
      <c r="D718" s="2">
        <v>0</v>
      </c>
      <c r="E718" s="2">
        <v>1</v>
      </c>
      <c r="G718" s="2">
        <v>2</v>
      </c>
    </row>
    <row r="719" spans="1:7" x14ac:dyDescent="0.2">
      <c r="A719" s="2" t="s">
        <v>16</v>
      </c>
      <c r="B719" s="14">
        <v>39417</v>
      </c>
      <c r="C719" s="2">
        <v>-1.0791366905E-2</v>
      </c>
      <c r="D719" s="2">
        <v>0</v>
      </c>
      <c r="E719" s="2">
        <v>1</v>
      </c>
      <c r="G719" s="2">
        <v>2</v>
      </c>
    </row>
    <row r="720" spans="1:7" x14ac:dyDescent="0.2">
      <c r="A720" s="2" t="s">
        <v>16</v>
      </c>
      <c r="B720" s="14">
        <v>39448</v>
      </c>
      <c r="C720" s="2">
        <v>-0.26574545454999998</v>
      </c>
      <c r="D720" s="2">
        <v>-2.1118881999999999E-4</v>
      </c>
      <c r="E720" s="2">
        <v>1</v>
      </c>
      <c r="G720" s="2">
        <v>2</v>
      </c>
    </row>
    <row r="721" spans="1:7" x14ac:dyDescent="0.2">
      <c r="A721" s="2" t="s">
        <v>16</v>
      </c>
      <c r="B721" s="14">
        <v>39479</v>
      </c>
      <c r="C721" s="2">
        <v>0.18858954041000001</v>
      </c>
      <c r="D721" s="19">
        <v>7.6923078999999995E-6</v>
      </c>
      <c r="E721" s="2">
        <v>1</v>
      </c>
      <c r="G721" s="2">
        <v>2</v>
      </c>
    </row>
    <row r="722" spans="1:7" x14ac:dyDescent="0.2">
      <c r="A722" s="2" t="s">
        <v>16</v>
      </c>
      <c r="B722" s="14">
        <v>39508</v>
      </c>
      <c r="C722" s="2">
        <v>-0.17083333333</v>
      </c>
      <c r="D722" s="2">
        <v>0</v>
      </c>
      <c r="E722" s="2">
        <v>1</v>
      </c>
      <c r="G722" s="2">
        <v>2</v>
      </c>
    </row>
    <row r="723" spans="1:7" x14ac:dyDescent="0.2">
      <c r="A723" s="2" t="s">
        <v>16</v>
      </c>
      <c r="B723" s="14">
        <v>39539</v>
      </c>
      <c r="C723" s="2">
        <v>-5.0251256261999999E-3</v>
      </c>
      <c r="D723" s="2">
        <v>0</v>
      </c>
      <c r="E723" s="2">
        <v>1</v>
      </c>
      <c r="G723" s="2">
        <v>2</v>
      </c>
    </row>
    <row r="724" spans="1:7" x14ac:dyDescent="0.2">
      <c r="A724" s="2" t="s">
        <v>16</v>
      </c>
      <c r="B724" s="14">
        <v>39569</v>
      </c>
      <c r="C724" s="2">
        <v>-5.2631578948000003E-2</v>
      </c>
      <c r="D724" s="19">
        <v>6.9930069999999998E-6</v>
      </c>
      <c r="E724" s="2">
        <v>1</v>
      </c>
      <c r="G724" s="2">
        <v>2</v>
      </c>
    </row>
    <row r="725" spans="1:7" x14ac:dyDescent="0.2">
      <c r="A725" s="2" t="s">
        <v>16</v>
      </c>
      <c r="B725" s="14">
        <v>39600</v>
      </c>
      <c r="C725" s="2">
        <v>-3.3333333333000002E-2</v>
      </c>
      <c r="D725" s="2">
        <v>0</v>
      </c>
      <c r="E725" s="2">
        <v>1</v>
      </c>
      <c r="G725" s="2">
        <v>2</v>
      </c>
    </row>
    <row r="726" spans="1:7" x14ac:dyDescent="0.2">
      <c r="A726" s="2" t="s">
        <v>16</v>
      </c>
      <c r="B726" s="14">
        <v>39630</v>
      </c>
      <c r="C726" s="2">
        <v>-6.8333333334000004E-2</v>
      </c>
      <c r="D726" s="2">
        <v>0</v>
      </c>
      <c r="E726" s="2">
        <v>1</v>
      </c>
      <c r="G726" s="2">
        <v>2</v>
      </c>
    </row>
    <row r="727" spans="1:7" x14ac:dyDescent="0.2">
      <c r="A727" s="2" t="s">
        <v>16</v>
      </c>
      <c r="B727" s="14">
        <v>39661</v>
      </c>
      <c r="C727" s="2">
        <v>-1.3015853433E-2</v>
      </c>
      <c r="D727" s="2">
        <v>0</v>
      </c>
      <c r="E727" s="2">
        <v>1</v>
      </c>
      <c r="G727" s="2">
        <v>2</v>
      </c>
    </row>
    <row r="728" spans="1:7" x14ac:dyDescent="0.2">
      <c r="A728" s="2" t="s">
        <v>16</v>
      </c>
      <c r="B728" s="14">
        <v>39692</v>
      </c>
      <c r="C728" s="2">
        <v>-0.125</v>
      </c>
      <c r="D728" s="2">
        <v>0</v>
      </c>
      <c r="E728" s="2">
        <v>1</v>
      </c>
      <c r="G728" s="2">
        <v>2</v>
      </c>
    </row>
    <row r="729" spans="1:7" x14ac:dyDescent="0.2">
      <c r="A729" s="2" t="s">
        <v>16</v>
      </c>
      <c r="B729" s="14">
        <v>39722</v>
      </c>
      <c r="C729" s="2">
        <v>-0.10714285714000001</v>
      </c>
      <c r="D729" s="2">
        <v>0</v>
      </c>
      <c r="E729" s="2">
        <v>1</v>
      </c>
      <c r="G729" s="2">
        <v>2</v>
      </c>
    </row>
    <row r="730" spans="1:7" x14ac:dyDescent="0.2">
      <c r="A730" s="2" t="s">
        <v>16</v>
      </c>
      <c r="B730" s="14">
        <v>39753</v>
      </c>
      <c r="C730" s="2">
        <v>-0.16</v>
      </c>
      <c r="D730" s="2">
        <v>0</v>
      </c>
      <c r="E730" s="2">
        <v>1</v>
      </c>
      <c r="G730" s="2">
        <v>2</v>
      </c>
    </row>
    <row r="731" spans="1:7" x14ac:dyDescent="0.2">
      <c r="A731" s="2" t="s">
        <v>16</v>
      </c>
      <c r="B731" s="14">
        <v>39783</v>
      </c>
      <c r="C731" s="2">
        <v>4.7619047618000003E-2</v>
      </c>
      <c r="D731" s="2">
        <v>0</v>
      </c>
      <c r="E731" s="2">
        <v>1</v>
      </c>
      <c r="G731" s="2">
        <v>2</v>
      </c>
    </row>
    <row r="732" spans="1:7" x14ac:dyDescent="0.2">
      <c r="A732" s="2" t="s">
        <v>17</v>
      </c>
      <c r="B732" s="14">
        <v>37591</v>
      </c>
      <c r="C732" s="2">
        <v>0.16049382715999999</v>
      </c>
      <c r="E732" s="2">
        <v>1</v>
      </c>
      <c r="G732" s="2">
        <v>2</v>
      </c>
    </row>
    <row r="733" spans="1:7" x14ac:dyDescent="0.2">
      <c r="A733" s="2" t="s">
        <v>17</v>
      </c>
      <c r="B733" s="14">
        <v>37622</v>
      </c>
      <c r="C733" s="2">
        <v>5.8510638296999998E-2</v>
      </c>
      <c r="E733" s="2">
        <v>1</v>
      </c>
      <c r="G733" s="2">
        <v>2</v>
      </c>
    </row>
    <row r="734" spans="1:7" x14ac:dyDescent="0.2">
      <c r="A734" s="2" t="s">
        <v>17</v>
      </c>
      <c r="B734" s="14">
        <v>37653</v>
      </c>
      <c r="C734" s="2">
        <v>-6.0301507537999996E-3</v>
      </c>
      <c r="E734" s="2">
        <v>1</v>
      </c>
      <c r="G734" s="2">
        <v>2</v>
      </c>
    </row>
    <row r="735" spans="1:7" x14ac:dyDescent="0.2">
      <c r="A735" s="2" t="s">
        <v>17</v>
      </c>
      <c r="B735" s="14">
        <v>37681</v>
      </c>
      <c r="C735" s="2">
        <v>1.1122345804000001E-2</v>
      </c>
      <c r="E735" s="2">
        <v>1</v>
      </c>
      <c r="G735" s="2">
        <v>2</v>
      </c>
    </row>
    <row r="736" spans="1:7" x14ac:dyDescent="0.2">
      <c r="A736" s="2" t="s">
        <v>17</v>
      </c>
      <c r="B736" s="14">
        <v>37712</v>
      </c>
      <c r="C736" s="2">
        <v>0.12248421052</v>
      </c>
      <c r="E736" s="2">
        <v>1</v>
      </c>
      <c r="G736" s="2">
        <v>2</v>
      </c>
    </row>
    <row r="737" spans="1:7" x14ac:dyDescent="0.2">
      <c r="A737" s="2" t="s">
        <v>17</v>
      </c>
      <c r="B737" s="14">
        <v>37742</v>
      </c>
      <c r="C737" s="2">
        <v>1.8867924529000001E-2</v>
      </c>
      <c r="D737" s="19">
        <v>3.0452184999999999E-5</v>
      </c>
      <c r="E737" s="2">
        <v>1</v>
      </c>
      <c r="G737" s="2">
        <v>2</v>
      </c>
    </row>
    <row r="738" spans="1:7" x14ac:dyDescent="0.2">
      <c r="A738" s="2" t="s">
        <v>17</v>
      </c>
      <c r="B738" s="14">
        <v>37773</v>
      </c>
      <c r="C738" s="2">
        <v>-4.6296296296000003E-3</v>
      </c>
      <c r="D738" s="19">
        <v>5.9174133999999999E-5</v>
      </c>
      <c r="E738" s="2">
        <v>1</v>
      </c>
      <c r="G738" s="2">
        <v>2</v>
      </c>
    </row>
    <row r="739" spans="1:7" x14ac:dyDescent="0.2">
      <c r="A739" s="2" t="s">
        <v>17</v>
      </c>
      <c r="B739" s="14">
        <v>37803</v>
      </c>
      <c r="C739" s="2">
        <v>9.3023255812999996E-3</v>
      </c>
      <c r="D739" s="2">
        <v>6.2750879000000002E-4</v>
      </c>
      <c r="E739" s="2">
        <v>1</v>
      </c>
      <c r="G739" s="2">
        <v>2</v>
      </c>
    </row>
    <row r="740" spans="1:7" x14ac:dyDescent="0.2">
      <c r="A740" s="2" t="s">
        <v>17</v>
      </c>
      <c r="B740" s="14">
        <v>37834</v>
      </c>
      <c r="C740" s="2">
        <v>0.1797235023</v>
      </c>
      <c r="D740" s="2">
        <v>-7.2295424000000004E-3</v>
      </c>
      <c r="E740" s="2">
        <v>1</v>
      </c>
      <c r="F740" s="2">
        <v>2.3912501692491601E-2</v>
      </c>
      <c r="G740" s="2">
        <v>2</v>
      </c>
    </row>
    <row r="741" spans="1:7" x14ac:dyDescent="0.2">
      <c r="A741" s="2" t="s">
        <v>17</v>
      </c>
      <c r="B741" s="14">
        <v>37865</v>
      </c>
      <c r="C741" s="2">
        <v>1.5625E-2</v>
      </c>
      <c r="D741" s="19">
        <v>4.4294086999999998E-5</v>
      </c>
      <c r="E741" s="2">
        <v>1</v>
      </c>
      <c r="F741" s="2">
        <v>2.9313360163460499E-2</v>
      </c>
      <c r="G741" s="2">
        <v>2</v>
      </c>
    </row>
    <row r="742" spans="1:7" x14ac:dyDescent="0.2">
      <c r="A742" s="2" t="s">
        <v>17</v>
      </c>
      <c r="B742" s="14">
        <v>37895</v>
      </c>
      <c r="C742" s="2">
        <v>0.34615384615</v>
      </c>
      <c r="D742" s="2">
        <v>4.7336067000000003E-3</v>
      </c>
      <c r="E742" s="2">
        <v>1</v>
      </c>
      <c r="F742" s="2">
        <v>2.9343563732580201E-2</v>
      </c>
      <c r="G742" s="2">
        <v>2</v>
      </c>
    </row>
    <row r="743" spans="1:7" x14ac:dyDescent="0.2">
      <c r="A743" s="2" t="s">
        <v>17</v>
      </c>
      <c r="B743" s="14">
        <v>37926</v>
      </c>
      <c r="C743" s="2">
        <v>-0.14285714285000001</v>
      </c>
      <c r="D743" s="19">
        <v>2.6853291000000001E-5</v>
      </c>
      <c r="E743" s="2">
        <v>1</v>
      </c>
      <c r="F743" s="2">
        <v>3.60371765158604E-2</v>
      </c>
      <c r="G743" s="2">
        <v>2</v>
      </c>
    </row>
    <row r="744" spans="1:7" x14ac:dyDescent="0.2">
      <c r="A744" s="2" t="s">
        <v>17</v>
      </c>
      <c r="B744" s="14">
        <v>37956</v>
      </c>
      <c r="C744" s="2">
        <v>4.6666666666999999E-2</v>
      </c>
      <c r="D744" s="2">
        <v>0</v>
      </c>
      <c r="E744" s="2">
        <v>1</v>
      </c>
      <c r="F744" s="2">
        <v>3.1954163178950903E-2</v>
      </c>
      <c r="G744" s="2">
        <v>2</v>
      </c>
    </row>
    <row r="745" spans="1:7" x14ac:dyDescent="0.2">
      <c r="A745" s="2" t="s">
        <v>17</v>
      </c>
      <c r="B745" s="14">
        <v>37987</v>
      </c>
      <c r="C745" s="2">
        <v>-9.2356687898000001E-2</v>
      </c>
      <c r="E745" s="2">
        <v>1</v>
      </c>
      <c r="F745" s="2">
        <v>3.3223192305096898E-2</v>
      </c>
      <c r="G745" s="2">
        <v>2</v>
      </c>
    </row>
    <row r="746" spans="1:7" x14ac:dyDescent="0.2">
      <c r="A746" s="2" t="s">
        <v>17</v>
      </c>
      <c r="B746" s="14">
        <v>38018</v>
      </c>
      <c r="C746" s="2">
        <v>0.11578947368</v>
      </c>
      <c r="E746" s="2">
        <v>1</v>
      </c>
      <c r="F746" s="2">
        <v>3.0642286344877801E-2</v>
      </c>
      <c r="G746" s="2">
        <v>2</v>
      </c>
    </row>
    <row r="747" spans="1:7" x14ac:dyDescent="0.2">
      <c r="A747" s="2" t="s">
        <v>17</v>
      </c>
      <c r="B747" s="14">
        <v>38047</v>
      </c>
      <c r="C747" s="2">
        <v>3.0758349103000002E-2</v>
      </c>
      <c r="D747" s="2">
        <v>0</v>
      </c>
      <c r="E747" s="2">
        <v>1</v>
      </c>
      <c r="F747" s="2">
        <v>2.8558611523609698E-2</v>
      </c>
      <c r="G747" s="2">
        <v>2</v>
      </c>
    </row>
    <row r="748" spans="1:7" x14ac:dyDescent="0.2">
      <c r="A748" s="2" t="s">
        <v>17</v>
      </c>
      <c r="B748" s="14">
        <v>38078</v>
      </c>
      <c r="C748" s="2">
        <v>-6.2499999999000001E-2</v>
      </c>
      <c r="D748" s="2">
        <v>0</v>
      </c>
      <c r="E748" s="2">
        <v>1</v>
      </c>
      <c r="F748" s="2">
        <v>2.8973166503697401E-2</v>
      </c>
      <c r="G748" s="2">
        <v>2</v>
      </c>
    </row>
    <row r="749" spans="1:7" x14ac:dyDescent="0.2">
      <c r="A749" s="2" t="s">
        <v>17</v>
      </c>
      <c r="B749" s="14">
        <v>38108</v>
      </c>
      <c r="C749" s="2">
        <v>3.3333333333000002E-2</v>
      </c>
      <c r="D749" s="2">
        <v>0</v>
      </c>
      <c r="E749" s="2">
        <v>1</v>
      </c>
      <c r="F749" s="2">
        <v>1.73531466740959E-2</v>
      </c>
      <c r="G749" s="2">
        <v>2</v>
      </c>
    </row>
    <row r="750" spans="1:7" x14ac:dyDescent="0.2">
      <c r="A750" s="2" t="s">
        <v>17</v>
      </c>
      <c r="B750" s="14">
        <v>38139</v>
      </c>
      <c r="C750" s="2">
        <v>-3.2258064516000003E-2</v>
      </c>
      <c r="D750" s="2">
        <v>0</v>
      </c>
      <c r="E750" s="2">
        <v>1</v>
      </c>
      <c r="F750" s="2">
        <v>2.23663755257224E-2</v>
      </c>
      <c r="G750" s="2">
        <v>2</v>
      </c>
    </row>
    <row r="751" spans="1:7" x14ac:dyDescent="0.2">
      <c r="A751" s="2" t="s">
        <v>17</v>
      </c>
      <c r="B751" s="14">
        <v>38169</v>
      </c>
      <c r="C751" s="2">
        <v>0</v>
      </c>
      <c r="D751" s="2">
        <v>0</v>
      </c>
      <c r="E751" s="2">
        <v>1</v>
      </c>
      <c r="F751" s="2">
        <v>2.0181378725475301E-2</v>
      </c>
      <c r="G751" s="2">
        <v>2</v>
      </c>
    </row>
    <row r="752" spans="1:7" x14ac:dyDescent="0.2">
      <c r="A752" s="2" t="s">
        <v>17</v>
      </c>
      <c r="B752" s="14">
        <v>38200</v>
      </c>
      <c r="C752" s="2">
        <v>2.6666666666999999E-2</v>
      </c>
      <c r="D752" s="2">
        <v>0</v>
      </c>
      <c r="E752" s="2">
        <v>1</v>
      </c>
      <c r="F752" s="2">
        <v>1.31452989728E-2</v>
      </c>
      <c r="G752" s="2">
        <v>2</v>
      </c>
    </row>
    <row r="753" spans="1:7" x14ac:dyDescent="0.2">
      <c r="A753" s="2" t="s">
        <v>17</v>
      </c>
      <c r="B753" s="14">
        <v>38231</v>
      </c>
      <c r="C753" s="2">
        <v>-2.6623376622999999E-2</v>
      </c>
      <c r="D753" s="2">
        <v>0</v>
      </c>
      <c r="E753" s="2">
        <v>1</v>
      </c>
      <c r="F753" s="2">
        <v>1.03602216194558E-2</v>
      </c>
      <c r="G753" s="2">
        <v>2</v>
      </c>
    </row>
    <row r="754" spans="1:7" x14ac:dyDescent="0.2">
      <c r="A754" s="2" t="s">
        <v>17</v>
      </c>
      <c r="B754" s="14">
        <v>38261</v>
      </c>
      <c r="C754" s="2">
        <v>2.7351567713E-2</v>
      </c>
      <c r="D754" s="2">
        <v>0</v>
      </c>
      <c r="E754" s="2">
        <v>1</v>
      </c>
      <c r="F754" s="2">
        <v>8.7798817479769198E-3</v>
      </c>
      <c r="G754" s="2">
        <v>2</v>
      </c>
    </row>
    <row r="755" spans="1:7" x14ac:dyDescent="0.2">
      <c r="A755" s="2" t="s">
        <v>17</v>
      </c>
      <c r="B755" s="14">
        <v>38292</v>
      </c>
      <c r="C755" s="2">
        <v>7.7922077921999996E-2</v>
      </c>
      <c r="D755" s="2">
        <v>0</v>
      </c>
      <c r="E755" s="2">
        <v>1</v>
      </c>
      <c r="F755" s="2">
        <v>1.0302912348750699E-2</v>
      </c>
      <c r="G755" s="2">
        <v>2</v>
      </c>
    </row>
    <row r="756" spans="1:7" x14ac:dyDescent="0.2">
      <c r="A756" s="2" t="s">
        <v>17</v>
      </c>
      <c r="B756" s="14">
        <v>38322</v>
      </c>
      <c r="C756" s="2">
        <v>7.2289156625999995E-2</v>
      </c>
      <c r="D756" s="2">
        <v>0</v>
      </c>
      <c r="E756" s="2">
        <v>1</v>
      </c>
      <c r="F756" s="2">
        <v>1.12128292756799E-2</v>
      </c>
      <c r="G756" s="2">
        <v>2</v>
      </c>
    </row>
    <row r="757" spans="1:7" x14ac:dyDescent="0.2">
      <c r="A757" s="2" t="s">
        <v>17</v>
      </c>
      <c r="B757" s="14">
        <v>38353</v>
      </c>
      <c r="C757" s="2">
        <v>-5.6179775274000001E-3</v>
      </c>
      <c r="D757" s="2">
        <v>9.9934246000000001E-3</v>
      </c>
      <c r="E757" s="2">
        <v>1</v>
      </c>
      <c r="F757" s="2">
        <v>1.4108556036911199E-2</v>
      </c>
      <c r="G757" s="2">
        <v>2</v>
      </c>
    </row>
    <row r="758" spans="1:7" x14ac:dyDescent="0.2">
      <c r="A758" s="2" t="s">
        <v>17</v>
      </c>
      <c r="B758" s="14">
        <v>38384</v>
      </c>
      <c r="C758" s="2">
        <v>-1.4124293786000001E-2</v>
      </c>
      <c r="D758" s="2">
        <v>0</v>
      </c>
      <c r="E758" s="2">
        <v>1</v>
      </c>
      <c r="F758" s="2">
        <v>1.3781391716859499E-2</v>
      </c>
      <c r="G758" s="2">
        <v>2</v>
      </c>
    </row>
    <row r="759" spans="1:7" x14ac:dyDescent="0.2">
      <c r="A759" s="2" t="s">
        <v>17</v>
      </c>
      <c r="B759" s="14">
        <v>38412</v>
      </c>
      <c r="C759" s="2">
        <v>1.7677683316E-2</v>
      </c>
      <c r="D759" s="2">
        <v>0</v>
      </c>
      <c r="E759" s="2">
        <v>1</v>
      </c>
      <c r="F759" s="2">
        <v>1.2469117574504E-2</v>
      </c>
      <c r="G759" s="2">
        <v>2</v>
      </c>
    </row>
    <row r="760" spans="1:7" x14ac:dyDescent="0.2">
      <c r="A760" s="2" t="s">
        <v>17</v>
      </c>
      <c r="B760" s="14">
        <v>38443</v>
      </c>
      <c r="C760" s="2">
        <v>-0.10662824207</v>
      </c>
      <c r="D760" s="19">
        <v>9.7031733999999998E-6</v>
      </c>
      <c r="E760" s="2">
        <v>1</v>
      </c>
      <c r="F760" s="2">
        <v>1.37545240558894E-2</v>
      </c>
      <c r="G760" s="2">
        <v>2</v>
      </c>
    </row>
    <row r="761" spans="1:7" x14ac:dyDescent="0.2">
      <c r="A761" s="2" t="s">
        <v>17</v>
      </c>
      <c r="B761" s="14">
        <v>38473</v>
      </c>
      <c r="C761" s="2">
        <v>-3.2258064516000003E-2</v>
      </c>
      <c r="D761" s="19">
        <v>5.5367609000000001E-6</v>
      </c>
      <c r="E761" s="2">
        <v>1</v>
      </c>
      <c r="F761" s="2">
        <v>1.02923193596895E-2</v>
      </c>
      <c r="G761" s="2">
        <v>2</v>
      </c>
    </row>
    <row r="762" spans="1:7" x14ac:dyDescent="0.2">
      <c r="A762" s="2" t="s">
        <v>17</v>
      </c>
      <c r="B762" s="14">
        <v>38504</v>
      </c>
      <c r="C762" s="2">
        <v>2.6666666666999999E-2</v>
      </c>
      <c r="D762" s="2">
        <v>0</v>
      </c>
      <c r="E762" s="2">
        <v>1</v>
      </c>
      <c r="F762" s="2">
        <v>7.18947514005276E-3</v>
      </c>
      <c r="G762" s="2">
        <v>2</v>
      </c>
    </row>
    <row r="763" spans="1:7" x14ac:dyDescent="0.2">
      <c r="A763" s="2" t="s">
        <v>17</v>
      </c>
      <c r="B763" s="14">
        <v>38534</v>
      </c>
      <c r="C763" s="2">
        <v>1.3311688312000001E-2</v>
      </c>
      <c r="D763" s="2">
        <v>0</v>
      </c>
      <c r="E763" s="2">
        <v>1</v>
      </c>
      <c r="F763" s="2">
        <v>5.80017806767539E-3</v>
      </c>
      <c r="G763" s="2">
        <v>2</v>
      </c>
    </row>
    <row r="764" spans="1:7" x14ac:dyDescent="0.2">
      <c r="A764" s="2" t="s">
        <v>17</v>
      </c>
      <c r="B764" s="14">
        <v>38565</v>
      </c>
      <c r="C764" s="2">
        <v>-1.5764178148000001E-2</v>
      </c>
      <c r="D764" s="2">
        <v>0</v>
      </c>
      <c r="E764" s="2">
        <v>1</v>
      </c>
      <c r="F764" s="2">
        <v>3.9624136197145597E-3</v>
      </c>
      <c r="G764" s="2">
        <v>2</v>
      </c>
    </row>
    <row r="765" spans="1:7" x14ac:dyDescent="0.2">
      <c r="A765" s="2" t="s">
        <v>17</v>
      </c>
      <c r="B765" s="14">
        <v>38596</v>
      </c>
      <c r="C765" s="2">
        <v>-1.2956572693999999E-2</v>
      </c>
      <c r="D765" s="2">
        <v>0</v>
      </c>
      <c r="E765" s="2">
        <v>1</v>
      </c>
      <c r="F765" s="2">
        <v>3.9499659229632403E-3</v>
      </c>
      <c r="G765" s="2">
        <v>2</v>
      </c>
    </row>
    <row r="766" spans="1:7" x14ac:dyDescent="0.2">
      <c r="A766" s="2" t="s">
        <v>17</v>
      </c>
      <c r="B766" s="14">
        <v>38626</v>
      </c>
      <c r="C766" s="2">
        <v>-2.3746701846000001E-2</v>
      </c>
      <c r="D766" s="2">
        <v>0</v>
      </c>
      <c r="E766" s="2">
        <v>1</v>
      </c>
      <c r="F766" s="2">
        <v>3.0835643901757398E-3</v>
      </c>
      <c r="G766" s="2">
        <v>2</v>
      </c>
    </row>
    <row r="767" spans="1:7" x14ac:dyDescent="0.2">
      <c r="A767" s="2" t="s">
        <v>17</v>
      </c>
      <c r="B767" s="14">
        <v>38657</v>
      </c>
      <c r="C767" s="2">
        <v>0</v>
      </c>
      <c r="D767" s="2">
        <v>0</v>
      </c>
      <c r="E767" s="2">
        <v>1</v>
      </c>
      <c r="F767" s="2">
        <v>5.5328562268799003E-3</v>
      </c>
      <c r="G767" s="2">
        <v>2</v>
      </c>
    </row>
    <row r="768" spans="1:7" x14ac:dyDescent="0.2">
      <c r="A768" s="2" t="s">
        <v>17</v>
      </c>
      <c r="B768" s="14">
        <v>38687</v>
      </c>
      <c r="C768" s="2">
        <v>1.3513513513E-2</v>
      </c>
      <c r="D768" s="2">
        <v>0</v>
      </c>
      <c r="E768" s="2">
        <v>1</v>
      </c>
      <c r="F768" s="2">
        <v>6.3406666568016599E-3</v>
      </c>
      <c r="G768" s="2">
        <v>2</v>
      </c>
    </row>
    <row r="769" spans="1:7" x14ac:dyDescent="0.2">
      <c r="A769" s="2" t="s">
        <v>17</v>
      </c>
      <c r="B769" s="14">
        <v>38718</v>
      </c>
      <c r="C769" s="2">
        <v>-4.6666666666999999E-2</v>
      </c>
      <c r="D769" s="2">
        <v>-1.0008664E-2</v>
      </c>
      <c r="E769" s="2">
        <v>1</v>
      </c>
      <c r="F769" s="2">
        <v>5.7945463026223398E-3</v>
      </c>
      <c r="G769" s="2">
        <v>2</v>
      </c>
    </row>
    <row r="770" spans="1:7" x14ac:dyDescent="0.2">
      <c r="A770" s="2" t="s">
        <v>17</v>
      </c>
      <c r="B770" s="14">
        <v>38749</v>
      </c>
      <c r="C770" s="2">
        <v>3.4965034965000003E-2</v>
      </c>
      <c r="D770" s="2">
        <v>0</v>
      </c>
      <c r="E770" s="2">
        <v>1</v>
      </c>
      <c r="F770" s="2">
        <v>4.1955811598565502E-3</v>
      </c>
      <c r="G770" s="2">
        <v>2</v>
      </c>
    </row>
    <row r="771" spans="1:7" x14ac:dyDescent="0.2">
      <c r="A771" s="2" t="s">
        <v>17</v>
      </c>
      <c r="B771" s="14">
        <v>38777</v>
      </c>
      <c r="C771" s="2">
        <v>7.7503441780000001E-2</v>
      </c>
      <c r="D771" s="2">
        <v>0</v>
      </c>
      <c r="E771" s="2">
        <v>1</v>
      </c>
      <c r="F771" s="2">
        <v>5.6351652413475003E-3</v>
      </c>
      <c r="G771" s="2">
        <v>2</v>
      </c>
    </row>
    <row r="772" spans="1:7" x14ac:dyDescent="0.2">
      <c r="A772" s="2" t="s">
        <v>17</v>
      </c>
      <c r="B772" s="14">
        <v>38808</v>
      </c>
      <c r="C772" s="2">
        <v>-1.2987012979E-3</v>
      </c>
      <c r="D772" s="2">
        <v>0</v>
      </c>
      <c r="E772" s="2">
        <v>1</v>
      </c>
      <c r="F772" s="2">
        <v>8.2924728819991599E-3</v>
      </c>
      <c r="G772" s="2">
        <v>2</v>
      </c>
    </row>
    <row r="773" spans="1:7" x14ac:dyDescent="0.2">
      <c r="A773" s="2" t="s">
        <v>17</v>
      </c>
      <c r="B773" s="14">
        <v>38838</v>
      </c>
      <c r="C773" s="2">
        <v>7.8023407003999998E-3</v>
      </c>
      <c r="E773" s="2">
        <v>1</v>
      </c>
      <c r="F773" s="2">
        <v>8.7084014230618591E-3</v>
      </c>
      <c r="G773" s="2">
        <v>2</v>
      </c>
    </row>
    <row r="774" spans="1:7" x14ac:dyDescent="0.2">
      <c r="A774" s="2" t="s">
        <v>17</v>
      </c>
      <c r="B774" s="14">
        <v>38869</v>
      </c>
      <c r="C774" s="2">
        <v>0</v>
      </c>
      <c r="E774" s="2">
        <v>1</v>
      </c>
      <c r="F774" s="2">
        <v>8.8813010337376493E-3</v>
      </c>
      <c r="G774" s="2">
        <v>2</v>
      </c>
    </row>
    <row r="775" spans="1:7" x14ac:dyDescent="0.2">
      <c r="A775" s="2" t="s">
        <v>17</v>
      </c>
      <c r="B775" s="14">
        <v>38899</v>
      </c>
      <c r="C775" s="2">
        <v>0</v>
      </c>
      <c r="D775" s="2">
        <v>0</v>
      </c>
      <c r="E775" s="2">
        <v>1</v>
      </c>
      <c r="F775" s="2">
        <v>8.4788310264202905E-3</v>
      </c>
      <c r="G775" s="2">
        <v>2</v>
      </c>
    </row>
    <row r="776" spans="1:7" x14ac:dyDescent="0.2">
      <c r="A776" s="2" t="s">
        <v>17</v>
      </c>
      <c r="B776" s="14">
        <v>38930</v>
      </c>
      <c r="C776" s="2">
        <v>-3.2258064514999997E-2</v>
      </c>
      <c r="D776" s="2">
        <v>0</v>
      </c>
      <c r="E776" s="2">
        <v>1</v>
      </c>
      <c r="F776" s="2">
        <v>1.48292970315392E-2</v>
      </c>
      <c r="G776" s="2">
        <v>2</v>
      </c>
    </row>
    <row r="777" spans="1:7" x14ac:dyDescent="0.2">
      <c r="A777" s="2" t="s">
        <v>17</v>
      </c>
      <c r="B777" s="14">
        <v>38961</v>
      </c>
      <c r="C777" s="2">
        <v>5.2666666665999999E-2</v>
      </c>
      <c r="D777" s="2">
        <v>0</v>
      </c>
      <c r="E777" s="2">
        <v>1</v>
      </c>
      <c r="F777" s="2">
        <v>1.2984997031498101E-2</v>
      </c>
      <c r="G777" s="2">
        <v>2</v>
      </c>
    </row>
    <row r="778" spans="1:7" x14ac:dyDescent="0.2">
      <c r="A778" s="2" t="s">
        <v>17</v>
      </c>
      <c r="B778" s="14">
        <v>38991</v>
      </c>
      <c r="C778" s="2">
        <v>1.3299556682E-2</v>
      </c>
      <c r="D778" s="2">
        <v>0</v>
      </c>
      <c r="E778" s="2">
        <v>1</v>
      </c>
      <c r="F778" s="2">
        <v>1.2202975977761901E-2</v>
      </c>
      <c r="G778" s="2">
        <v>2</v>
      </c>
    </row>
    <row r="779" spans="1:7" x14ac:dyDescent="0.2">
      <c r="A779" s="2" t="s">
        <v>17</v>
      </c>
      <c r="B779" s="14">
        <v>39022</v>
      </c>
      <c r="C779" s="2">
        <v>0</v>
      </c>
      <c r="D779" s="2">
        <v>0</v>
      </c>
      <c r="E779" s="2">
        <v>1</v>
      </c>
      <c r="F779" s="2">
        <v>1.2569587681607101E-2</v>
      </c>
      <c r="G779" s="2">
        <v>2</v>
      </c>
    </row>
    <row r="780" spans="1:7" x14ac:dyDescent="0.2">
      <c r="A780" s="2" t="s">
        <v>17</v>
      </c>
      <c r="B780" s="14">
        <v>39052</v>
      </c>
      <c r="C780" s="2">
        <v>0</v>
      </c>
      <c r="D780" s="2">
        <v>0</v>
      </c>
      <c r="E780" s="2">
        <v>1</v>
      </c>
      <c r="F780" s="2">
        <v>1.2344172007802801E-2</v>
      </c>
      <c r="G780" s="2">
        <v>2</v>
      </c>
    </row>
    <row r="781" spans="1:7" x14ac:dyDescent="0.2">
      <c r="A781" s="2" t="s">
        <v>17</v>
      </c>
      <c r="B781" s="14">
        <v>39083</v>
      </c>
      <c r="C781" s="2">
        <v>0</v>
      </c>
      <c r="D781" s="19">
        <v>1.3980321E-5</v>
      </c>
      <c r="E781" s="2">
        <v>1</v>
      </c>
      <c r="F781" s="2">
        <v>1.23459761813666E-2</v>
      </c>
      <c r="G781" s="2">
        <v>2</v>
      </c>
    </row>
    <row r="782" spans="1:7" x14ac:dyDescent="0.2">
      <c r="A782" s="2" t="s">
        <v>17</v>
      </c>
      <c r="B782" s="14">
        <v>39114</v>
      </c>
      <c r="C782" s="2">
        <v>0</v>
      </c>
      <c r="D782" s="2">
        <v>0</v>
      </c>
      <c r="E782" s="2">
        <v>1</v>
      </c>
      <c r="F782" s="2">
        <v>1.2259726964877799E-2</v>
      </c>
      <c r="G782" s="2">
        <v>2</v>
      </c>
    </row>
    <row r="783" spans="1:7" x14ac:dyDescent="0.2">
      <c r="A783" s="2" t="s">
        <v>17</v>
      </c>
      <c r="B783" s="14">
        <v>39142</v>
      </c>
      <c r="C783" s="2">
        <v>0</v>
      </c>
      <c r="D783" s="2">
        <v>0</v>
      </c>
      <c r="E783" s="2">
        <v>1</v>
      </c>
      <c r="F783" s="2">
        <v>1.31788304153053E-2</v>
      </c>
      <c r="G783" s="2">
        <v>2</v>
      </c>
    </row>
    <row r="784" spans="1:7" x14ac:dyDescent="0.2">
      <c r="A784" s="2" t="s">
        <v>17</v>
      </c>
      <c r="B784" s="14">
        <v>39173</v>
      </c>
      <c r="C784" s="2">
        <v>2.1573604061E-2</v>
      </c>
      <c r="D784" s="2">
        <v>0</v>
      </c>
      <c r="E784" s="2">
        <v>1</v>
      </c>
      <c r="F784" s="2">
        <v>1.1512147293802099E-2</v>
      </c>
      <c r="G784" s="2">
        <v>2</v>
      </c>
    </row>
    <row r="785" spans="1:7" x14ac:dyDescent="0.2">
      <c r="A785" s="2" t="s">
        <v>17</v>
      </c>
      <c r="B785" s="14">
        <v>39203</v>
      </c>
      <c r="C785" s="2">
        <v>0</v>
      </c>
      <c r="D785" s="2">
        <v>0</v>
      </c>
      <c r="E785" s="2">
        <v>1</v>
      </c>
      <c r="F785" s="2">
        <v>1.17144748801753E-2</v>
      </c>
      <c r="G785" s="2">
        <v>2</v>
      </c>
    </row>
    <row r="786" spans="1:7" x14ac:dyDescent="0.2">
      <c r="A786" s="2" t="s">
        <v>17</v>
      </c>
      <c r="B786" s="14">
        <v>39234</v>
      </c>
      <c r="C786" s="2">
        <v>0</v>
      </c>
      <c r="D786" s="2">
        <v>0</v>
      </c>
      <c r="E786" s="2">
        <v>1</v>
      </c>
      <c r="F786" s="2">
        <v>1.17151764962248E-2</v>
      </c>
      <c r="G786" s="2">
        <v>2</v>
      </c>
    </row>
    <row r="787" spans="1:7" x14ac:dyDescent="0.2">
      <c r="A787" s="2" t="s">
        <v>17</v>
      </c>
      <c r="B787" s="14">
        <v>39264</v>
      </c>
      <c r="C787" s="2">
        <v>1.2034322141E-2</v>
      </c>
      <c r="D787" s="2">
        <v>0</v>
      </c>
      <c r="E787" s="2">
        <v>1</v>
      </c>
      <c r="F787" s="2">
        <v>1.17151764962248E-2</v>
      </c>
      <c r="G787" s="2">
        <v>2</v>
      </c>
    </row>
    <row r="788" spans="1:7" x14ac:dyDescent="0.2">
      <c r="A788" s="2" t="s">
        <v>17</v>
      </c>
      <c r="B788" s="14">
        <v>39295</v>
      </c>
      <c r="C788" s="2">
        <v>1.2891344383999999E-2</v>
      </c>
      <c r="D788" s="2">
        <v>0</v>
      </c>
      <c r="E788" s="2">
        <v>1</v>
      </c>
      <c r="F788" s="2">
        <v>1.0958750552380899E-2</v>
      </c>
      <c r="G788" s="2">
        <v>2</v>
      </c>
    </row>
    <row r="789" spans="1:7" x14ac:dyDescent="0.2">
      <c r="A789" s="2" t="s">
        <v>17</v>
      </c>
      <c r="B789" s="14">
        <v>39326</v>
      </c>
      <c r="C789" s="2">
        <v>1.2121212112E-3</v>
      </c>
      <c r="D789" s="2">
        <v>0</v>
      </c>
      <c r="E789" s="2">
        <v>1</v>
      </c>
      <c r="F789" s="2">
        <v>1.1226965480200799E-2</v>
      </c>
      <c r="G789" s="2">
        <v>2</v>
      </c>
    </row>
    <row r="790" spans="1:7" x14ac:dyDescent="0.2">
      <c r="A790" s="2" t="s">
        <v>17</v>
      </c>
      <c r="B790" s="14">
        <v>39356</v>
      </c>
      <c r="C790" s="2">
        <v>0</v>
      </c>
      <c r="D790" s="2">
        <v>0</v>
      </c>
      <c r="E790" s="2">
        <v>1</v>
      </c>
      <c r="F790" s="2">
        <v>1.1396080408447499E-2</v>
      </c>
      <c r="G790" s="2">
        <v>2</v>
      </c>
    </row>
    <row r="791" spans="1:7" x14ac:dyDescent="0.2">
      <c r="A791" s="2" t="s">
        <v>17</v>
      </c>
      <c r="B791" s="14">
        <v>39387</v>
      </c>
      <c r="C791" s="2">
        <v>-3.1476997578000002E-2</v>
      </c>
      <c r="D791" s="2">
        <v>0</v>
      </c>
      <c r="E791" s="2">
        <v>1</v>
      </c>
      <c r="F791" s="2">
        <v>1.07663853107449E-2</v>
      </c>
      <c r="G791" s="2">
        <v>2</v>
      </c>
    </row>
    <row r="792" spans="1:7" x14ac:dyDescent="0.2">
      <c r="A792" s="2" t="s">
        <v>17</v>
      </c>
      <c r="B792" s="14">
        <v>39417</v>
      </c>
      <c r="C792" s="2">
        <v>0</v>
      </c>
      <c r="D792" s="2">
        <v>0</v>
      </c>
      <c r="E792" s="2">
        <v>1</v>
      </c>
      <c r="F792" s="2">
        <v>1.00288582979119E-2</v>
      </c>
      <c r="G792" s="2">
        <v>2</v>
      </c>
    </row>
    <row r="793" spans="1:7" x14ac:dyDescent="0.2">
      <c r="A793" s="2" t="s">
        <v>17</v>
      </c>
      <c r="B793" s="14">
        <v>39448</v>
      </c>
      <c r="D793" s="2">
        <v>0</v>
      </c>
      <c r="E793" s="2">
        <v>1</v>
      </c>
      <c r="F793" s="2">
        <v>9.9296515773963905E-3</v>
      </c>
      <c r="G793" s="2">
        <v>2</v>
      </c>
    </row>
    <row r="794" spans="1:7" x14ac:dyDescent="0.2">
      <c r="A794" s="2" t="s">
        <v>17</v>
      </c>
      <c r="B794" s="14">
        <v>39479</v>
      </c>
      <c r="D794" s="2">
        <v>0</v>
      </c>
      <c r="E794" s="2">
        <v>1</v>
      </c>
      <c r="G794" s="2">
        <v>2</v>
      </c>
    </row>
    <row r="795" spans="1:7" x14ac:dyDescent="0.2">
      <c r="A795" s="2" t="s">
        <v>17</v>
      </c>
      <c r="B795" s="14">
        <v>39508</v>
      </c>
      <c r="C795" s="2">
        <v>0</v>
      </c>
      <c r="D795" s="2">
        <v>0</v>
      </c>
      <c r="E795" s="2">
        <v>1</v>
      </c>
      <c r="G795" s="2">
        <v>2</v>
      </c>
    </row>
    <row r="796" spans="1:7" x14ac:dyDescent="0.2">
      <c r="A796" s="2" t="s">
        <v>17</v>
      </c>
      <c r="B796" s="14">
        <v>39539</v>
      </c>
      <c r="D796" s="2">
        <v>0</v>
      </c>
      <c r="E796" s="2">
        <v>1</v>
      </c>
      <c r="F796" s="2">
        <v>9.2353944019448603E-3</v>
      </c>
      <c r="G796" s="2">
        <v>2</v>
      </c>
    </row>
    <row r="797" spans="1:7" x14ac:dyDescent="0.2">
      <c r="A797" s="2" t="s">
        <v>17</v>
      </c>
      <c r="B797" s="14">
        <v>39569</v>
      </c>
      <c r="C797" s="2">
        <v>7.9584423501999998E-2</v>
      </c>
      <c r="D797" s="2">
        <v>0</v>
      </c>
      <c r="E797" s="2">
        <v>1</v>
      </c>
      <c r="G797" s="2">
        <v>2</v>
      </c>
    </row>
    <row r="798" spans="1:7" x14ac:dyDescent="0.2">
      <c r="A798" s="2" t="s">
        <v>17</v>
      </c>
      <c r="B798" s="14">
        <v>39600</v>
      </c>
      <c r="D798" s="2">
        <v>0</v>
      </c>
      <c r="E798" s="2">
        <v>1</v>
      </c>
      <c r="F798" s="2">
        <v>1.2564364828178701E-2</v>
      </c>
      <c r="G798" s="2">
        <v>2</v>
      </c>
    </row>
    <row r="799" spans="1:7" x14ac:dyDescent="0.2">
      <c r="A799" s="2" t="s">
        <v>17</v>
      </c>
      <c r="B799" s="14">
        <v>39630</v>
      </c>
      <c r="C799" s="2">
        <v>-1.7647058820999999E-3</v>
      </c>
      <c r="D799" s="2">
        <v>0</v>
      </c>
      <c r="E799" s="2">
        <v>1</v>
      </c>
      <c r="G799" s="2">
        <v>2</v>
      </c>
    </row>
    <row r="800" spans="1:7" x14ac:dyDescent="0.2">
      <c r="A800" s="2" t="s">
        <v>17</v>
      </c>
      <c r="B800" s="14">
        <v>39661</v>
      </c>
      <c r="D800" s="2">
        <v>0</v>
      </c>
      <c r="E800" s="2">
        <v>1</v>
      </c>
      <c r="F800" s="2">
        <v>1.5995219634775602E-2</v>
      </c>
      <c r="G800" s="2">
        <v>2</v>
      </c>
    </row>
    <row r="801" spans="1:7" x14ac:dyDescent="0.2">
      <c r="A801" s="2" t="s">
        <v>17</v>
      </c>
      <c r="B801" s="14">
        <v>39692</v>
      </c>
      <c r="D801" s="2">
        <v>0</v>
      </c>
      <c r="E801" s="2">
        <v>1</v>
      </c>
      <c r="G801" s="2">
        <v>2</v>
      </c>
    </row>
    <row r="802" spans="1:7" x14ac:dyDescent="0.2">
      <c r="A802" s="2" t="s">
        <v>17</v>
      </c>
      <c r="B802" s="14">
        <v>39722</v>
      </c>
      <c r="D802" s="2">
        <v>0</v>
      </c>
      <c r="E802" s="2">
        <v>1</v>
      </c>
      <c r="G802" s="2">
        <v>2</v>
      </c>
    </row>
    <row r="803" spans="1:7" x14ac:dyDescent="0.2">
      <c r="A803" s="2" t="s">
        <v>17</v>
      </c>
      <c r="B803" s="14">
        <v>39753</v>
      </c>
      <c r="D803" s="2">
        <v>0</v>
      </c>
      <c r="E803" s="2">
        <v>1</v>
      </c>
      <c r="G803" s="2">
        <v>2</v>
      </c>
    </row>
    <row r="804" spans="1:7" x14ac:dyDescent="0.2">
      <c r="A804" s="2" t="s">
        <v>17</v>
      </c>
      <c r="B804" s="14">
        <v>39783</v>
      </c>
      <c r="D804" s="2">
        <v>0</v>
      </c>
      <c r="E804" s="2">
        <v>1</v>
      </c>
      <c r="G804" s="2">
        <v>2</v>
      </c>
    </row>
    <row r="805" spans="1:7" x14ac:dyDescent="0.2">
      <c r="A805" s="2" t="s">
        <v>18</v>
      </c>
      <c r="B805" s="14">
        <v>37591</v>
      </c>
      <c r="C805" s="2">
        <v>7.5471698113999994E-2</v>
      </c>
      <c r="E805" s="2">
        <v>1</v>
      </c>
      <c r="G805" s="2">
        <v>1</v>
      </c>
    </row>
    <row r="806" spans="1:7" x14ac:dyDescent="0.2">
      <c r="A806" s="2" t="s">
        <v>18</v>
      </c>
      <c r="B806" s="14">
        <v>37622</v>
      </c>
      <c r="C806" s="2">
        <v>2.2807017544E-2</v>
      </c>
      <c r="E806" s="2">
        <v>1</v>
      </c>
      <c r="G806" s="2">
        <v>1</v>
      </c>
    </row>
    <row r="807" spans="1:7" x14ac:dyDescent="0.2">
      <c r="A807" s="2" t="s">
        <v>18</v>
      </c>
      <c r="B807" s="14">
        <v>37653</v>
      </c>
      <c r="C807" s="2">
        <v>2.5728987993999999E-2</v>
      </c>
      <c r="E807" s="2">
        <v>1</v>
      </c>
      <c r="G807" s="2">
        <v>1</v>
      </c>
    </row>
    <row r="808" spans="1:7" x14ac:dyDescent="0.2">
      <c r="A808" s="2" t="s">
        <v>18</v>
      </c>
      <c r="B808" s="14">
        <v>37681</v>
      </c>
      <c r="C808" s="2">
        <v>-1.3377926421000001E-2</v>
      </c>
      <c r="E808" s="2">
        <v>1</v>
      </c>
      <c r="G808" s="2">
        <v>1</v>
      </c>
    </row>
    <row r="809" spans="1:7" x14ac:dyDescent="0.2">
      <c r="A809" s="2" t="s">
        <v>18</v>
      </c>
      <c r="B809" s="14">
        <v>37712</v>
      </c>
      <c r="C809" s="2">
        <v>0.24351931652</v>
      </c>
      <c r="E809" s="2">
        <v>1</v>
      </c>
      <c r="G809" s="2">
        <v>1</v>
      </c>
    </row>
    <row r="810" spans="1:7" x14ac:dyDescent="0.2">
      <c r="A810" s="2" t="s">
        <v>18</v>
      </c>
      <c r="B810" s="14">
        <v>37742</v>
      </c>
      <c r="C810" s="2">
        <v>8.5571428571999994E-2</v>
      </c>
      <c r="E810" s="2">
        <v>1</v>
      </c>
      <c r="G810" s="2">
        <v>1</v>
      </c>
    </row>
    <row r="811" spans="1:7" x14ac:dyDescent="0.2">
      <c r="A811" s="2" t="s">
        <v>18</v>
      </c>
      <c r="B811" s="14">
        <v>37773</v>
      </c>
      <c r="C811" s="2">
        <v>-1.3028030003999999E-2</v>
      </c>
      <c r="E811" s="2">
        <v>1</v>
      </c>
      <c r="G811" s="2">
        <v>1</v>
      </c>
    </row>
    <row r="812" spans="1:7" x14ac:dyDescent="0.2">
      <c r="A812" s="2" t="s">
        <v>18</v>
      </c>
      <c r="B812" s="14">
        <v>37803</v>
      </c>
      <c r="C812" s="2">
        <v>5.5999999999000002E-2</v>
      </c>
      <c r="E812" s="2">
        <v>1</v>
      </c>
      <c r="G812" s="2">
        <v>1</v>
      </c>
    </row>
    <row r="813" spans="1:7" x14ac:dyDescent="0.2">
      <c r="A813" s="2" t="s">
        <v>18</v>
      </c>
      <c r="B813" s="14">
        <v>37834</v>
      </c>
      <c r="C813" s="2">
        <v>0.12247474747000001</v>
      </c>
      <c r="E813" s="2">
        <v>1</v>
      </c>
      <c r="F813" s="2">
        <v>2.3708293397024099E-2</v>
      </c>
      <c r="G813" s="2">
        <v>1</v>
      </c>
    </row>
    <row r="814" spans="1:7" x14ac:dyDescent="0.2">
      <c r="A814" s="2" t="s">
        <v>18</v>
      </c>
      <c r="B814" s="14">
        <v>37865</v>
      </c>
      <c r="C814" s="2">
        <v>7.7615298089000001E-2</v>
      </c>
      <c r="E814" s="2">
        <v>1</v>
      </c>
      <c r="F814" s="2">
        <v>2.6174337489444401E-2</v>
      </c>
      <c r="G814" s="2">
        <v>1</v>
      </c>
    </row>
    <row r="815" spans="1:7" x14ac:dyDescent="0.2">
      <c r="A815" s="2" t="s">
        <v>18</v>
      </c>
      <c r="B815" s="14">
        <v>37895</v>
      </c>
      <c r="C815" s="2">
        <v>-3.4446764093000001E-2</v>
      </c>
      <c r="E815" s="2">
        <v>1</v>
      </c>
      <c r="F815" s="2">
        <v>2.85287918988145E-2</v>
      </c>
      <c r="G815" s="2">
        <v>1</v>
      </c>
    </row>
    <row r="816" spans="1:7" x14ac:dyDescent="0.2">
      <c r="A816" s="2" t="s">
        <v>18</v>
      </c>
      <c r="B816" s="14">
        <v>37926</v>
      </c>
      <c r="C816" s="2">
        <v>1.4054054054000001E-2</v>
      </c>
      <c r="E816" s="2">
        <v>1</v>
      </c>
      <c r="F816" s="2">
        <v>2.0615532836176099E-2</v>
      </c>
      <c r="G816" s="2">
        <v>1</v>
      </c>
    </row>
    <row r="817" spans="1:7" x14ac:dyDescent="0.2">
      <c r="A817" s="2" t="s">
        <v>18</v>
      </c>
      <c r="B817" s="14">
        <v>37956</v>
      </c>
      <c r="C817" s="2">
        <v>-5.1162046910000002E-2</v>
      </c>
      <c r="E817" s="2">
        <v>1</v>
      </c>
      <c r="F817" s="2">
        <v>1.84589235242822E-2</v>
      </c>
      <c r="G817" s="2">
        <v>1</v>
      </c>
    </row>
    <row r="818" spans="1:7" x14ac:dyDescent="0.2">
      <c r="A818" s="2" t="s">
        <v>18</v>
      </c>
      <c r="B818" s="14">
        <v>37987</v>
      </c>
      <c r="C818" s="2">
        <v>6.7403737039000003E-2</v>
      </c>
      <c r="E818" s="2">
        <v>1</v>
      </c>
      <c r="F818" s="2">
        <v>1.7516850125369101E-2</v>
      </c>
      <c r="G818" s="2">
        <v>1</v>
      </c>
    </row>
    <row r="819" spans="1:7" x14ac:dyDescent="0.2">
      <c r="A819" s="2" t="s">
        <v>18</v>
      </c>
      <c r="B819" s="14">
        <v>38018</v>
      </c>
      <c r="C819" s="2">
        <v>6.4736842104999998E-2</v>
      </c>
      <c r="E819" s="2">
        <v>1</v>
      </c>
      <c r="F819" s="2">
        <v>1.7696601617214199E-2</v>
      </c>
      <c r="G819" s="2">
        <v>1</v>
      </c>
    </row>
    <row r="820" spans="1:7" x14ac:dyDescent="0.2">
      <c r="A820" s="2" t="s">
        <v>18</v>
      </c>
      <c r="B820" s="14">
        <v>38047</v>
      </c>
      <c r="C820" s="2">
        <v>7.7607513594999997E-2</v>
      </c>
      <c r="E820" s="2">
        <v>1</v>
      </c>
      <c r="F820" s="2">
        <v>1.5877040937012001E-2</v>
      </c>
      <c r="G820" s="2">
        <v>1</v>
      </c>
    </row>
    <row r="821" spans="1:7" x14ac:dyDescent="0.2">
      <c r="A821" s="2" t="s">
        <v>18</v>
      </c>
      <c r="B821" s="14">
        <v>38078</v>
      </c>
      <c r="C821" s="2">
        <v>2.1800235936000001E-2</v>
      </c>
      <c r="E821" s="2">
        <v>1</v>
      </c>
      <c r="F821" s="2">
        <v>1.5661444442253002E-2</v>
      </c>
      <c r="G821" s="2">
        <v>1</v>
      </c>
    </row>
    <row r="822" spans="1:7" x14ac:dyDescent="0.2">
      <c r="A822" s="2" t="s">
        <v>18</v>
      </c>
      <c r="B822" s="14">
        <v>38108</v>
      </c>
      <c r="C822" s="2">
        <v>-3.2228190406000001E-2</v>
      </c>
      <c r="D822" s="2">
        <v>-5.3904286999999999E-4</v>
      </c>
      <c r="E822" s="2">
        <v>1</v>
      </c>
      <c r="F822" s="2">
        <v>1.6832802109251602E-2</v>
      </c>
      <c r="G822" s="2">
        <v>1</v>
      </c>
    </row>
    <row r="823" spans="1:7" x14ac:dyDescent="0.2">
      <c r="A823" s="2" t="s">
        <v>18</v>
      </c>
      <c r="B823" s="14">
        <v>38139</v>
      </c>
      <c r="C823" s="2">
        <v>4.3062200957000002E-2</v>
      </c>
      <c r="D823" s="2">
        <v>-2.9128618000000002E-4</v>
      </c>
      <c r="E823" s="2">
        <v>1</v>
      </c>
      <c r="F823" s="2">
        <v>1.56041721197947E-2</v>
      </c>
      <c r="G823" s="2">
        <v>1</v>
      </c>
    </row>
    <row r="824" spans="1:7" x14ac:dyDescent="0.2">
      <c r="A824" s="2" t="s">
        <v>18</v>
      </c>
      <c r="B824" s="14">
        <v>38169</v>
      </c>
      <c r="C824" s="2">
        <v>-1.3944954128E-2</v>
      </c>
      <c r="D824" s="19">
        <v>3.3264342999999997E-5</v>
      </c>
      <c r="E824" s="2">
        <v>1</v>
      </c>
      <c r="F824" s="2">
        <v>1.8198058707021798E-2</v>
      </c>
      <c r="G824" s="2">
        <v>1</v>
      </c>
    </row>
    <row r="825" spans="1:7" x14ac:dyDescent="0.2">
      <c r="A825" s="2" t="s">
        <v>18</v>
      </c>
      <c r="B825" s="14">
        <v>38200</v>
      </c>
      <c r="C825" s="2">
        <v>9.4901377014999996E-3</v>
      </c>
      <c r="D825" s="2">
        <v>-1.7548736999999999E-3</v>
      </c>
      <c r="E825" s="2">
        <v>1</v>
      </c>
      <c r="F825" s="2">
        <v>9.8868832480026904E-3</v>
      </c>
      <c r="G825" s="2">
        <v>1</v>
      </c>
    </row>
    <row r="826" spans="1:7" x14ac:dyDescent="0.2">
      <c r="A826" s="2" t="s">
        <v>18</v>
      </c>
      <c r="B826" s="14">
        <v>38231</v>
      </c>
      <c r="C826" s="2">
        <v>6.4516129032000005E-2</v>
      </c>
      <c r="D826" s="2">
        <v>-1.0082324000000001E-3</v>
      </c>
      <c r="E826" s="2">
        <v>1</v>
      </c>
      <c r="F826" s="2">
        <v>8.1128308896931609E-3</v>
      </c>
      <c r="G826" s="2">
        <v>1</v>
      </c>
    </row>
    <row r="827" spans="1:7" x14ac:dyDescent="0.2">
      <c r="A827" s="2" t="s">
        <v>18</v>
      </c>
      <c r="B827" s="14">
        <v>38261</v>
      </c>
      <c r="C827" s="2">
        <v>0.10735930736</v>
      </c>
      <c r="D827" s="2">
        <v>-8.212963E-4</v>
      </c>
      <c r="E827" s="2">
        <v>1</v>
      </c>
      <c r="F827" s="2">
        <v>7.5672385052849298E-3</v>
      </c>
      <c r="G827" s="2">
        <v>1</v>
      </c>
    </row>
    <row r="828" spans="1:7" x14ac:dyDescent="0.2">
      <c r="A828" s="2" t="s">
        <v>18</v>
      </c>
      <c r="B828" s="14">
        <v>38292</v>
      </c>
      <c r="C828" s="2">
        <v>-7.0367474590999997E-3</v>
      </c>
      <c r="D828" s="2">
        <v>-9.2185841999999996E-4</v>
      </c>
      <c r="E828" s="2">
        <v>1</v>
      </c>
      <c r="F828" s="2">
        <v>9.8659345127600495E-3</v>
      </c>
      <c r="G828" s="2">
        <v>1</v>
      </c>
    </row>
    <row r="829" spans="1:7" x14ac:dyDescent="0.2">
      <c r="A829" s="2" t="s">
        <v>18</v>
      </c>
      <c r="B829" s="14">
        <v>38322</v>
      </c>
      <c r="C829" s="2">
        <v>-1.5748031496000001E-2</v>
      </c>
      <c r="D829" s="2">
        <v>-4.6235108000000001E-4</v>
      </c>
      <c r="E829" s="2">
        <v>1</v>
      </c>
      <c r="F829" s="2">
        <v>1.0629548789027299E-2</v>
      </c>
      <c r="G829" s="2">
        <v>1</v>
      </c>
    </row>
    <row r="830" spans="1:7" x14ac:dyDescent="0.2">
      <c r="A830" s="2" t="s">
        <v>18</v>
      </c>
      <c r="B830" s="14">
        <v>38353</v>
      </c>
      <c r="C830" s="2">
        <v>1.6E-2</v>
      </c>
      <c r="D830" s="2">
        <v>-9.9907384999999992E-4</v>
      </c>
      <c r="E830" s="2">
        <v>1</v>
      </c>
      <c r="F830" s="2">
        <v>8.8838639966578401E-3</v>
      </c>
      <c r="G830" s="2">
        <v>1</v>
      </c>
    </row>
    <row r="831" spans="1:7" x14ac:dyDescent="0.2">
      <c r="A831" s="2" t="s">
        <v>18</v>
      </c>
      <c r="B831" s="14">
        <v>38384</v>
      </c>
      <c r="C831" s="2">
        <v>5.5118110236000002E-2</v>
      </c>
      <c r="D831" s="2">
        <v>-1.0996359E-4</v>
      </c>
      <c r="E831" s="2">
        <v>1</v>
      </c>
      <c r="F831" s="2">
        <v>9.6898237608884705E-3</v>
      </c>
      <c r="G831" s="2">
        <v>1</v>
      </c>
    </row>
    <row r="832" spans="1:7" x14ac:dyDescent="0.2">
      <c r="A832" s="2" t="s">
        <v>18</v>
      </c>
      <c r="B832" s="14">
        <v>38412</v>
      </c>
      <c r="C832" s="2">
        <v>-7.7164179104000002E-2</v>
      </c>
      <c r="D832" s="2">
        <v>-1.7910323000000001E-4</v>
      </c>
      <c r="E832" s="2">
        <v>1</v>
      </c>
      <c r="F832" s="2">
        <v>1.0873678343085801E-2</v>
      </c>
      <c r="G832" s="2">
        <v>1</v>
      </c>
    </row>
    <row r="833" spans="1:7" x14ac:dyDescent="0.2">
      <c r="A833" s="2" t="s">
        <v>18</v>
      </c>
      <c r="B833" s="14">
        <v>38443</v>
      </c>
      <c r="C833" s="2">
        <v>-4.6604242953000004E-3</v>
      </c>
      <c r="D833" s="2">
        <v>-8.6617835999999997E-4</v>
      </c>
      <c r="E833" s="2">
        <v>1</v>
      </c>
      <c r="F833" s="2">
        <v>7.0808799339189803E-3</v>
      </c>
      <c r="G833" s="2">
        <v>1</v>
      </c>
    </row>
    <row r="834" spans="1:7" x14ac:dyDescent="0.2">
      <c r="A834" s="2" t="s">
        <v>18</v>
      </c>
      <c r="B834" s="14">
        <v>38473</v>
      </c>
      <c r="C834" s="19">
        <v>-8.4026552030999998E-5</v>
      </c>
      <c r="D834" s="2">
        <v>-7.2592567000000002E-4</v>
      </c>
      <c r="E834" s="2">
        <v>1</v>
      </c>
      <c r="F834" s="2">
        <v>3.9359580961811601E-3</v>
      </c>
      <c r="G834" s="2">
        <v>1</v>
      </c>
    </row>
    <row r="835" spans="1:7" x14ac:dyDescent="0.2">
      <c r="A835" s="2" t="s">
        <v>18</v>
      </c>
      <c r="B835" s="14">
        <v>38504</v>
      </c>
      <c r="C835" s="2">
        <v>5.8823529413000002E-2</v>
      </c>
      <c r="D835" s="2">
        <v>-2.0074983999999999E-4</v>
      </c>
      <c r="E835" s="2">
        <v>1</v>
      </c>
      <c r="F835" s="2">
        <v>4.1035511495535202E-3</v>
      </c>
      <c r="G835" s="2">
        <v>1</v>
      </c>
    </row>
    <row r="836" spans="1:7" x14ac:dyDescent="0.2">
      <c r="A836" s="2" t="s">
        <v>18</v>
      </c>
      <c r="B836" s="14">
        <v>38534</v>
      </c>
      <c r="C836" s="2">
        <v>4.7619047618000003E-2</v>
      </c>
      <c r="D836" s="2">
        <v>-1.3603769E-3</v>
      </c>
      <c r="E836" s="2">
        <v>1</v>
      </c>
      <c r="F836" s="2">
        <v>6.1478244234673103E-3</v>
      </c>
      <c r="G836" s="2">
        <v>1</v>
      </c>
    </row>
    <row r="837" spans="1:7" x14ac:dyDescent="0.2">
      <c r="A837" s="2" t="s">
        <v>18</v>
      </c>
      <c r="B837" s="14">
        <v>38565</v>
      </c>
      <c r="C837" s="2">
        <v>5.3030303030000003E-2</v>
      </c>
      <c r="D837" s="2">
        <v>-3.4371466999999999E-4</v>
      </c>
      <c r="E837" s="2">
        <v>1</v>
      </c>
      <c r="F837" s="2">
        <v>3.37967256250136E-3</v>
      </c>
      <c r="G837" s="2">
        <v>1</v>
      </c>
    </row>
    <row r="838" spans="1:7" x14ac:dyDescent="0.2">
      <c r="A838" s="2" t="s">
        <v>18</v>
      </c>
      <c r="B838" s="14">
        <v>38596</v>
      </c>
      <c r="C838" s="2">
        <v>7.1942446044000005E-2</v>
      </c>
      <c r="D838" s="2">
        <v>-1.2918141000000001E-4</v>
      </c>
      <c r="E838" s="2">
        <v>1</v>
      </c>
      <c r="F838" s="2">
        <v>3.21438754606741E-3</v>
      </c>
      <c r="G838" s="2">
        <v>1</v>
      </c>
    </row>
    <row r="839" spans="1:7" x14ac:dyDescent="0.2">
      <c r="A839" s="2" t="s">
        <v>18</v>
      </c>
      <c r="B839" s="14">
        <v>38626</v>
      </c>
      <c r="C839" s="2">
        <v>-8.0536912752000006E-2</v>
      </c>
      <c r="D839" s="2">
        <v>-8.3012087000000005E-4</v>
      </c>
      <c r="E839" s="2">
        <v>1</v>
      </c>
      <c r="F839" s="2">
        <v>7.3752028307035103E-3</v>
      </c>
      <c r="G839" s="2">
        <v>1</v>
      </c>
    </row>
    <row r="840" spans="1:7" x14ac:dyDescent="0.2">
      <c r="A840" s="2" t="s">
        <v>18</v>
      </c>
      <c r="B840" s="14">
        <v>38657</v>
      </c>
      <c r="C840" s="2">
        <v>-5.1094890511000003E-2</v>
      </c>
      <c r="D840" s="2">
        <v>-2.3558279000000001E-4</v>
      </c>
      <c r="E840" s="2">
        <v>1</v>
      </c>
      <c r="F840" s="2">
        <v>5.4007815167906497E-3</v>
      </c>
      <c r="G840" s="2">
        <v>1</v>
      </c>
    </row>
    <row r="841" spans="1:7" x14ac:dyDescent="0.2">
      <c r="A841" s="2" t="s">
        <v>18</v>
      </c>
      <c r="B841" s="14">
        <v>38687</v>
      </c>
      <c r="C841" s="2">
        <v>-1.3153846154999999E-2</v>
      </c>
      <c r="D841" s="2">
        <v>-1.7964971E-4</v>
      </c>
      <c r="E841" s="2">
        <v>1</v>
      </c>
      <c r="F841" s="2">
        <v>4.0993353810120196E-3</v>
      </c>
      <c r="G841" s="2">
        <v>1</v>
      </c>
    </row>
    <row r="842" spans="1:7" x14ac:dyDescent="0.2">
      <c r="A842" s="2" t="s">
        <v>18</v>
      </c>
      <c r="B842" s="14">
        <v>38718</v>
      </c>
      <c r="C842" s="2">
        <v>2.8918855718E-2</v>
      </c>
      <c r="D842" s="2">
        <v>9.4967824000000004E-4</v>
      </c>
      <c r="E842" s="2">
        <v>1</v>
      </c>
      <c r="F842" s="2">
        <v>2.04828003629054E-3</v>
      </c>
      <c r="G842" s="2">
        <v>1</v>
      </c>
    </row>
    <row r="843" spans="1:7" x14ac:dyDescent="0.2">
      <c r="A843" s="2" t="s">
        <v>18</v>
      </c>
      <c r="B843" s="14">
        <v>38749</v>
      </c>
      <c r="C843" s="2">
        <v>4.5454545454000003E-2</v>
      </c>
      <c r="D843" s="19">
        <v>-7.5292576999999995E-5</v>
      </c>
      <c r="E843" s="2">
        <v>1</v>
      </c>
      <c r="F843" s="2">
        <v>1.44952612150727E-3</v>
      </c>
      <c r="G843" s="2">
        <v>1</v>
      </c>
    </row>
    <row r="844" spans="1:7" x14ac:dyDescent="0.2">
      <c r="A844" s="2" t="s">
        <v>18</v>
      </c>
      <c r="B844" s="14">
        <v>38777</v>
      </c>
      <c r="C844" s="2">
        <v>2.9130434782999998E-2</v>
      </c>
      <c r="D844" s="2">
        <v>-6.4163643000000002E-4</v>
      </c>
      <c r="E844" s="2">
        <v>1</v>
      </c>
      <c r="F844" s="2">
        <v>1.11626301030228E-3</v>
      </c>
      <c r="G844" s="2">
        <v>1</v>
      </c>
    </row>
    <row r="845" spans="1:7" x14ac:dyDescent="0.2">
      <c r="A845" s="2" t="s">
        <v>18</v>
      </c>
      <c r="B845" s="14">
        <v>38808</v>
      </c>
      <c r="C845" s="2">
        <v>3.5955173852999997E-2</v>
      </c>
      <c r="D845" s="2">
        <v>1.7540943999999999E-4</v>
      </c>
      <c r="E845" s="2">
        <v>1</v>
      </c>
      <c r="F845" s="2">
        <v>-3.1283777483350698E-4</v>
      </c>
      <c r="G845" s="2">
        <v>1</v>
      </c>
    </row>
    <row r="846" spans="1:7" x14ac:dyDescent="0.2">
      <c r="A846" s="2" t="s">
        <v>18</v>
      </c>
      <c r="B846" s="14">
        <v>38838</v>
      </c>
      <c r="C846" s="2">
        <v>5.5985915492999999E-2</v>
      </c>
      <c r="D846" s="19">
        <v>-6.6204841000000006E-5</v>
      </c>
      <c r="E846" s="2">
        <v>1</v>
      </c>
      <c r="F846" s="2">
        <v>3.0508086360806E-3</v>
      </c>
      <c r="G846" s="2">
        <v>1</v>
      </c>
    </row>
    <row r="847" spans="1:7" x14ac:dyDescent="0.2">
      <c r="A847" s="2" t="s">
        <v>18</v>
      </c>
      <c r="B847" s="14">
        <v>38869</v>
      </c>
      <c r="C847" s="2">
        <v>-5.3017672556999997E-2</v>
      </c>
      <c r="D847" s="2">
        <v>-7.4307905999999998E-4</v>
      </c>
      <c r="E847" s="2">
        <v>1</v>
      </c>
      <c r="F847" s="2">
        <v>6.0343450981228701E-3</v>
      </c>
      <c r="G847" s="2">
        <v>1</v>
      </c>
    </row>
    <row r="848" spans="1:7" x14ac:dyDescent="0.2">
      <c r="A848" s="2" t="s">
        <v>18</v>
      </c>
      <c r="B848" s="14">
        <v>38899</v>
      </c>
      <c r="C848" s="2">
        <v>-1.7605633802E-2</v>
      </c>
      <c r="D848" s="2">
        <v>4.0844501999999998E-4</v>
      </c>
      <c r="E848" s="2">
        <v>1</v>
      </c>
      <c r="F848" s="2">
        <v>5.0676649098077503E-3</v>
      </c>
      <c r="G848" s="2">
        <v>1</v>
      </c>
    </row>
    <row r="849" spans="1:7" x14ac:dyDescent="0.2">
      <c r="A849" s="2" t="s">
        <v>18</v>
      </c>
      <c r="B849" s="14">
        <v>38930</v>
      </c>
      <c r="C849" s="2">
        <v>3.7634408602E-2</v>
      </c>
      <c r="D849" s="2">
        <v>-1.9324235999999999E-4</v>
      </c>
      <c r="E849" s="2">
        <v>1</v>
      </c>
      <c r="F849" s="2">
        <v>6.4882939201314901E-3</v>
      </c>
      <c r="G849" s="2">
        <v>1</v>
      </c>
    </row>
    <row r="850" spans="1:7" x14ac:dyDescent="0.2">
      <c r="A850" s="2" t="s">
        <v>18</v>
      </c>
      <c r="B850" s="14">
        <v>38961</v>
      </c>
      <c r="C850" s="2">
        <v>2.3143350605000002E-2</v>
      </c>
      <c r="D850" s="2">
        <v>4.9560836999999996E-4</v>
      </c>
      <c r="E850" s="2">
        <v>1</v>
      </c>
      <c r="F850" s="2">
        <v>6.1586331173972301E-3</v>
      </c>
      <c r="G850" s="2">
        <v>1</v>
      </c>
    </row>
    <row r="851" spans="1:7" x14ac:dyDescent="0.2">
      <c r="A851" s="2" t="s">
        <v>18</v>
      </c>
      <c r="B851" s="14">
        <v>38991</v>
      </c>
      <c r="C851" s="2">
        <v>-6.7521944629E-3</v>
      </c>
      <c r="D851" s="2">
        <v>2.8564547999999999E-4</v>
      </c>
      <c r="E851" s="2">
        <v>1</v>
      </c>
      <c r="F851" s="2">
        <v>5.8592766199259396E-3</v>
      </c>
      <c r="G851" s="2">
        <v>1</v>
      </c>
    </row>
    <row r="852" spans="1:7" x14ac:dyDescent="0.2">
      <c r="A852" s="2" t="s">
        <v>18</v>
      </c>
      <c r="B852" s="14">
        <v>39022</v>
      </c>
      <c r="C852" s="2">
        <v>6.1182868811999998E-3</v>
      </c>
      <c r="D852" s="2">
        <v>4.6437239999999998E-4</v>
      </c>
      <c r="E852" s="2">
        <v>1</v>
      </c>
      <c r="F852" s="2">
        <v>4.4872247674198097E-3</v>
      </c>
      <c r="G852" s="2">
        <v>1</v>
      </c>
    </row>
    <row r="853" spans="1:7" x14ac:dyDescent="0.2">
      <c r="A853" s="2" t="s">
        <v>18</v>
      </c>
      <c r="B853" s="14">
        <v>39052</v>
      </c>
      <c r="C853" s="2">
        <v>7.1081081079999997E-2</v>
      </c>
      <c r="D853" s="2">
        <v>2.5243698999999998E-4</v>
      </c>
      <c r="E853" s="2">
        <v>1</v>
      </c>
      <c r="F853" s="2">
        <v>2.9348249758499399E-3</v>
      </c>
      <c r="G853" s="2">
        <v>1</v>
      </c>
    </row>
    <row r="854" spans="1:7" x14ac:dyDescent="0.2">
      <c r="A854" s="2" t="s">
        <v>18</v>
      </c>
      <c r="B854" s="14">
        <v>39083</v>
      </c>
      <c r="C854" s="2">
        <v>0.12288670199</v>
      </c>
      <c r="D854" s="2">
        <v>-2.1946117E-4</v>
      </c>
      <c r="E854" s="2">
        <v>1</v>
      </c>
      <c r="F854" s="2">
        <v>6.41235736807524E-3</v>
      </c>
      <c r="G854" s="2">
        <v>1</v>
      </c>
    </row>
    <row r="855" spans="1:7" x14ac:dyDescent="0.2">
      <c r="A855" s="2" t="s">
        <v>18</v>
      </c>
      <c r="B855" s="14">
        <v>39114</v>
      </c>
      <c r="C855" s="2">
        <v>-5.0561797752000003E-2</v>
      </c>
      <c r="D855" s="2">
        <v>9.9401874000000002E-4</v>
      </c>
      <c r="E855" s="2">
        <v>1</v>
      </c>
      <c r="F855" s="2">
        <v>1.0411715397086199E-2</v>
      </c>
      <c r="G855" s="2">
        <v>1</v>
      </c>
    </row>
    <row r="856" spans="1:7" x14ac:dyDescent="0.2">
      <c r="A856" s="2" t="s">
        <v>18</v>
      </c>
      <c r="B856" s="14">
        <v>39142</v>
      </c>
      <c r="C856" s="2">
        <v>4.7928994082999998E-2</v>
      </c>
      <c r="D856" s="2">
        <v>3.4430399000000002E-4</v>
      </c>
      <c r="E856" s="2">
        <v>1</v>
      </c>
      <c r="F856" s="2">
        <v>8.0767448628744597E-3</v>
      </c>
      <c r="G856" s="2">
        <v>1</v>
      </c>
    </row>
    <row r="857" spans="1:7" x14ac:dyDescent="0.2">
      <c r="A857" s="2" t="s">
        <v>18</v>
      </c>
      <c r="B857" s="14">
        <v>39173</v>
      </c>
      <c r="C857" s="2">
        <v>-4.4598808025999997E-3</v>
      </c>
      <c r="D857" s="2">
        <v>2.5799029000000002E-4</v>
      </c>
      <c r="E857" s="2">
        <v>1</v>
      </c>
      <c r="F857" s="2">
        <v>8.6968218080049706E-3</v>
      </c>
      <c r="G857" s="2">
        <v>1</v>
      </c>
    </row>
    <row r="858" spans="1:7" x14ac:dyDescent="0.2">
      <c r="A858" s="2" t="s">
        <v>18</v>
      </c>
      <c r="B858" s="14">
        <v>39203</v>
      </c>
      <c r="C858" s="2">
        <v>-1.7085015504999999E-2</v>
      </c>
      <c r="D858" s="2">
        <v>1.2826482E-3</v>
      </c>
      <c r="E858" s="2">
        <v>1</v>
      </c>
      <c r="F858" s="2">
        <v>8.8511469788227805E-3</v>
      </c>
      <c r="G858" s="2">
        <v>1</v>
      </c>
    </row>
    <row r="859" spans="1:7" x14ac:dyDescent="0.2">
      <c r="A859" s="2" t="s">
        <v>18</v>
      </c>
      <c r="B859" s="14">
        <v>39234</v>
      </c>
      <c r="C859" s="2">
        <v>3.2740044050999999E-2</v>
      </c>
      <c r="D859" s="2">
        <v>-2.8717287999999999E-4</v>
      </c>
      <c r="E859" s="2">
        <v>1</v>
      </c>
      <c r="F859" s="2">
        <v>8.2123485900644101E-3</v>
      </c>
      <c r="G859" s="2">
        <v>1</v>
      </c>
    </row>
    <row r="860" spans="1:7" x14ac:dyDescent="0.2">
      <c r="A860" s="2" t="s">
        <v>18</v>
      </c>
      <c r="B860" s="14">
        <v>39264</v>
      </c>
      <c r="C860" s="2">
        <v>-1.7234422732000002E-2</v>
      </c>
      <c r="D860" s="19">
        <v>-7.455975E-5</v>
      </c>
      <c r="E860" s="2">
        <v>1</v>
      </c>
      <c r="F860" s="2">
        <v>6.9502500600089698E-3</v>
      </c>
      <c r="G860" s="2">
        <v>1</v>
      </c>
    </row>
    <row r="861" spans="1:7" x14ac:dyDescent="0.2">
      <c r="A861" s="2" t="s">
        <v>18</v>
      </c>
      <c r="B861" s="14">
        <v>39295</v>
      </c>
      <c r="C861" s="2">
        <v>-1.7595307918E-2</v>
      </c>
      <c r="D861" s="2">
        <v>-3.6418053999999998E-4</v>
      </c>
      <c r="E861" s="2">
        <v>1</v>
      </c>
      <c r="F861" s="2">
        <v>1.8907256164321701E-3</v>
      </c>
      <c r="G861" s="2">
        <v>1</v>
      </c>
    </row>
    <row r="862" spans="1:7" x14ac:dyDescent="0.2">
      <c r="A862" s="2" t="s">
        <v>18</v>
      </c>
      <c r="B862" s="14">
        <v>39326</v>
      </c>
      <c r="C862" s="2">
        <v>-4.4776119404000003E-2</v>
      </c>
      <c r="D862" s="2">
        <v>-4.5324558999999999E-4</v>
      </c>
      <c r="E862" s="2">
        <v>1</v>
      </c>
      <c r="F862" s="2">
        <v>2.89986936540754E-3</v>
      </c>
      <c r="G862" s="2">
        <v>1</v>
      </c>
    </row>
    <row r="863" spans="1:7" x14ac:dyDescent="0.2">
      <c r="A863" s="2" t="s">
        <v>18</v>
      </c>
      <c r="B863" s="14">
        <v>39356</v>
      </c>
      <c r="C863" s="2">
        <v>2.5000000000000001E-2</v>
      </c>
      <c r="D863" s="2">
        <v>-4.7911037000000002E-4</v>
      </c>
      <c r="E863" s="2">
        <v>1</v>
      </c>
      <c r="F863" s="2">
        <v>3.8228256928419401E-4</v>
      </c>
      <c r="G863" s="2">
        <v>1</v>
      </c>
    </row>
    <row r="864" spans="1:7" x14ac:dyDescent="0.2">
      <c r="A864" s="2" t="s">
        <v>18</v>
      </c>
      <c r="B864" s="14">
        <v>39387</v>
      </c>
      <c r="C864" s="2">
        <v>-6.7134146340999998E-2</v>
      </c>
      <c r="D864" s="2">
        <v>-2.6406148000000002E-3</v>
      </c>
      <c r="E864" s="2">
        <v>1</v>
      </c>
      <c r="F864" s="2">
        <v>1.1746510471178401E-3</v>
      </c>
      <c r="G864" s="2">
        <v>1</v>
      </c>
    </row>
    <row r="865" spans="1:7" x14ac:dyDescent="0.2">
      <c r="A865" s="2" t="s">
        <v>18</v>
      </c>
      <c r="B865" s="14">
        <v>39417</v>
      </c>
      <c r="C865" s="2">
        <v>-2.2811948495000001E-2</v>
      </c>
      <c r="D865" s="2">
        <v>-2.3352747999999999E-3</v>
      </c>
      <c r="E865" s="2">
        <v>1</v>
      </c>
      <c r="F865" s="19">
        <v>-1.7825752364886002E-5</v>
      </c>
      <c r="G865" s="2">
        <v>1</v>
      </c>
    </row>
    <row r="866" spans="1:7" x14ac:dyDescent="0.2">
      <c r="A866" s="2" t="s">
        <v>18</v>
      </c>
      <c r="B866" s="14">
        <v>39448</v>
      </c>
      <c r="C866" s="2">
        <v>-3.3444815925999998E-4</v>
      </c>
      <c r="D866" s="2">
        <v>-3.3520631999999998E-3</v>
      </c>
      <c r="E866" s="2">
        <v>1</v>
      </c>
      <c r="F866" s="2">
        <v>-1.63391466518532E-3</v>
      </c>
      <c r="G866" s="2">
        <v>1</v>
      </c>
    </row>
    <row r="867" spans="1:7" x14ac:dyDescent="0.2">
      <c r="A867" s="2" t="s">
        <v>18</v>
      </c>
      <c r="B867" s="14">
        <v>39479</v>
      </c>
      <c r="C867" s="2">
        <v>3.6801605875000001E-3</v>
      </c>
      <c r="D867" s="2">
        <v>-6.6875172000000003E-4</v>
      </c>
      <c r="E867" s="2">
        <v>1</v>
      </c>
      <c r="F867" s="2">
        <v>-1.47373240022252E-3</v>
      </c>
      <c r="G867" s="2">
        <v>1</v>
      </c>
    </row>
    <row r="868" spans="1:7" x14ac:dyDescent="0.2">
      <c r="A868" s="2" t="s">
        <v>18</v>
      </c>
      <c r="B868" s="14">
        <v>39508</v>
      </c>
      <c r="C868" s="2">
        <v>5.3333333332999999E-2</v>
      </c>
      <c r="D868" s="2">
        <v>-3.1739228999999999E-3</v>
      </c>
      <c r="E868" s="2">
        <v>1</v>
      </c>
      <c r="F868" s="2">
        <v>-9.0727480425029897E-4</v>
      </c>
      <c r="G868" s="2">
        <v>1</v>
      </c>
    </row>
    <row r="869" spans="1:7" x14ac:dyDescent="0.2">
      <c r="A869" s="2" t="s">
        <v>18</v>
      </c>
      <c r="B869" s="14">
        <v>39539</v>
      </c>
      <c r="C869" s="2">
        <v>-1.1412473794000001E-2</v>
      </c>
      <c r="D869" s="2">
        <v>-3.6932922E-3</v>
      </c>
      <c r="E869" s="2">
        <v>1</v>
      </c>
      <c r="F869" s="2">
        <v>1.8251285391107099E-3</v>
      </c>
      <c r="G869" s="2">
        <v>1</v>
      </c>
    </row>
    <row r="870" spans="1:7" x14ac:dyDescent="0.2">
      <c r="A870" s="2" t="s">
        <v>18</v>
      </c>
      <c r="B870" s="14">
        <v>39569</v>
      </c>
      <c r="C870" s="2">
        <v>-5.7428381079000002E-2</v>
      </c>
      <c r="D870" s="2">
        <v>-1.4221075999999999E-3</v>
      </c>
      <c r="E870" s="2">
        <v>1</v>
      </c>
      <c r="F870" s="2">
        <v>8.9028941017366896E-4</v>
      </c>
      <c r="G870" s="2">
        <v>1</v>
      </c>
    </row>
    <row r="871" spans="1:7" x14ac:dyDescent="0.2">
      <c r="A871" s="2" t="s">
        <v>18</v>
      </c>
      <c r="B871" s="14">
        <v>39600</v>
      </c>
      <c r="C871" s="2">
        <v>-3.1806615789E-3</v>
      </c>
      <c r="D871" s="2">
        <v>-3.3077279000000002E-3</v>
      </c>
      <c r="E871" s="2">
        <v>1</v>
      </c>
      <c r="F871" s="2">
        <v>1.3620857832043101E-3</v>
      </c>
      <c r="G871" s="2">
        <v>1</v>
      </c>
    </row>
    <row r="872" spans="1:7" x14ac:dyDescent="0.2">
      <c r="A872" s="2" t="s">
        <v>18</v>
      </c>
      <c r="B872" s="14">
        <v>39630</v>
      </c>
      <c r="C872" s="2">
        <v>-2.3895625043999998E-2</v>
      </c>
      <c r="D872" s="2">
        <v>-1.0891833E-3</v>
      </c>
      <c r="E872" s="2">
        <v>1</v>
      </c>
      <c r="F872" s="2">
        <v>1.8897937294766699E-3</v>
      </c>
      <c r="G872" s="2">
        <v>1</v>
      </c>
    </row>
    <row r="873" spans="1:7" x14ac:dyDescent="0.2">
      <c r="A873" s="2" t="s">
        <v>18</v>
      </c>
      <c r="B873" s="14">
        <v>39661</v>
      </c>
      <c r="C873" s="2">
        <v>6.9737033271000004E-2</v>
      </c>
      <c r="D873" s="2">
        <v>3.3440115000000001E-4</v>
      </c>
      <c r="E873" s="2">
        <v>1</v>
      </c>
      <c r="F873" s="2">
        <v>6.06517839629652E-3</v>
      </c>
      <c r="G873" s="2">
        <v>1</v>
      </c>
    </row>
    <row r="874" spans="1:7" x14ac:dyDescent="0.2">
      <c r="A874" s="2" t="s">
        <v>18</v>
      </c>
      <c r="B874" s="14">
        <v>39692</v>
      </c>
      <c r="C874" s="2">
        <v>-4.9300556840000002E-2</v>
      </c>
      <c r="D874" s="2">
        <v>1.2363202E-3</v>
      </c>
      <c r="E874" s="2">
        <v>1</v>
      </c>
      <c r="F874" s="2">
        <v>7.96400653893585E-3</v>
      </c>
      <c r="G874" s="2">
        <v>1</v>
      </c>
    </row>
    <row r="875" spans="1:7" x14ac:dyDescent="0.2">
      <c r="A875" s="2" t="s">
        <v>18</v>
      </c>
      <c r="B875" s="14">
        <v>39722</v>
      </c>
      <c r="C875" s="2">
        <v>-0.19642857143</v>
      </c>
      <c r="D875" s="2">
        <v>5.5650236999999999E-4</v>
      </c>
      <c r="E875" s="2">
        <v>1</v>
      </c>
      <c r="F875" s="2">
        <v>5.12130953380391E-3</v>
      </c>
      <c r="G875" s="2">
        <v>1</v>
      </c>
    </row>
    <row r="876" spans="1:7" x14ac:dyDescent="0.2">
      <c r="A876" s="2" t="s">
        <v>18</v>
      </c>
      <c r="B876" s="14">
        <v>39753</v>
      </c>
      <c r="C876" s="2">
        <v>-2.3111111104000001E-3</v>
      </c>
      <c r="D876" s="19">
        <v>-1.6508142E-5</v>
      </c>
      <c r="E876" s="2">
        <v>1</v>
      </c>
      <c r="F876" s="2">
        <v>7.5361420604362498E-4</v>
      </c>
      <c r="G876" s="2">
        <v>1</v>
      </c>
    </row>
    <row r="877" spans="1:7" x14ac:dyDescent="0.2">
      <c r="A877" s="2" t="s">
        <v>18</v>
      </c>
      <c r="B877" s="14">
        <v>39783</v>
      </c>
      <c r="C877" s="2">
        <v>-3.4123307199000003E-2</v>
      </c>
      <c r="D877" s="2">
        <v>-9.9409965000000003E-4</v>
      </c>
      <c r="E877" s="2">
        <v>1</v>
      </c>
      <c r="F877" s="2">
        <v>2.33146437203917E-3</v>
      </c>
      <c r="G877" s="2">
        <v>1</v>
      </c>
    </row>
    <row r="878" spans="1:7" x14ac:dyDescent="0.2">
      <c r="A878" s="2" t="s">
        <v>19</v>
      </c>
      <c r="B878" s="14">
        <v>37591</v>
      </c>
      <c r="C878" s="2">
        <v>1.0101010101000001E-2</v>
      </c>
      <c r="D878" s="2">
        <v>0</v>
      </c>
      <c r="E878" s="2">
        <v>1</v>
      </c>
      <c r="G878" s="2">
        <v>2</v>
      </c>
    </row>
    <row r="879" spans="1:7" x14ac:dyDescent="0.2">
      <c r="A879" s="2" t="s">
        <v>19</v>
      </c>
      <c r="B879" s="14">
        <v>37622</v>
      </c>
      <c r="C879" s="2">
        <v>-3.5000000000000003E-2</v>
      </c>
      <c r="D879" s="19">
        <v>4.9335437999999999E-5</v>
      </c>
      <c r="E879" s="2">
        <v>1</v>
      </c>
      <c r="G879" s="2">
        <v>2</v>
      </c>
    </row>
    <row r="880" spans="1:7" x14ac:dyDescent="0.2">
      <c r="A880" s="2" t="s">
        <v>19</v>
      </c>
      <c r="B880" s="14">
        <v>37653</v>
      </c>
      <c r="C880" s="2">
        <v>-6.7357512953999998E-2</v>
      </c>
      <c r="D880" s="2">
        <v>-3.4863708000000001E-4</v>
      </c>
      <c r="E880" s="2">
        <v>1</v>
      </c>
      <c r="G880" s="2">
        <v>2</v>
      </c>
    </row>
    <row r="881" spans="1:7" x14ac:dyDescent="0.2">
      <c r="A881" s="2" t="s">
        <v>19</v>
      </c>
      <c r="B881" s="14">
        <v>37681</v>
      </c>
      <c r="C881" s="2">
        <v>3.3322222222E-2</v>
      </c>
      <c r="D881" s="2">
        <v>-1.0689344E-4</v>
      </c>
      <c r="E881" s="2">
        <v>1</v>
      </c>
      <c r="G881" s="2">
        <v>2</v>
      </c>
    </row>
    <row r="882" spans="1:7" x14ac:dyDescent="0.2">
      <c r="A882" s="2" t="s">
        <v>19</v>
      </c>
      <c r="B882" s="14">
        <v>37712</v>
      </c>
      <c r="C882" s="2">
        <v>-1.074205099E-2</v>
      </c>
      <c r="D882" s="2">
        <v>-1.5180185000000001E-3</v>
      </c>
      <c r="E882" s="2">
        <v>1</v>
      </c>
      <c r="G882" s="2">
        <v>2</v>
      </c>
    </row>
    <row r="883" spans="1:7" x14ac:dyDescent="0.2">
      <c r="A883" s="2" t="s">
        <v>19</v>
      </c>
      <c r="B883" s="14">
        <v>37742</v>
      </c>
      <c r="C883" s="2">
        <v>-3.2608695652000003E-2</v>
      </c>
      <c r="D883" s="2">
        <v>-4.8908852000000003E-3</v>
      </c>
      <c r="E883" s="2">
        <v>1</v>
      </c>
      <c r="G883" s="2">
        <v>2</v>
      </c>
    </row>
    <row r="884" spans="1:7" x14ac:dyDescent="0.2">
      <c r="A884" s="2" t="s">
        <v>19</v>
      </c>
      <c r="B884" s="14">
        <v>37773</v>
      </c>
      <c r="C884" s="2">
        <v>-4.4943820224000001E-2</v>
      </c>
      <c r="D884" s="2">
        <v>-9.4400401999999994E-3</v>
      </c>
      <c r="E884" s="2">
        <v>1</v>
      </c>
      <c r="G884" s="2">
        <v>2</v>
      </c>
    </row>
    <row r="885" spans="1:7" x14ac:dyDescent="0.2">
      <c r="A885" s="2" t="s">
        <v>19</v>
      </c>
      <c r="B885" s="14">
        <v>37803</v>
      </c>
      <c r="C885" s="2">
        <v>-4.7058823530000002E-2</v>
      </c>
      <c r="D885" s="2">
        <v>-4.9050609E-3</v>
      </c>
      <c r="E885" s="2">
        <v>1</v>
      </c>
      <c r="G885" s="2">
        <v>2</v>
      </c>
    </row>
    <row r="886" spans="1:7" x14ac:dyDescent="0.2">
      <c r="A886" s="2" t="s">
        <v>19</v>
      </c>
      <c r="B886" s="14">
        <v>37834</v>
      </c>
      <c r="C886" s="2">
        <v>0.18374592209000001</v>
      </c>
      <c r="D886" s="2">
        <v>0</v>
      </c>
      <c r="E886" s="2">
        <v>1</v>
      </c>
      <c r="F886" s="2">
        <v>3.3386127458467099E-2</v>
      </c>
      <c r="G886" s="2">
        <v>2</v>
      </c>
    </row>
    <row r="887" spans="1:7" x14ac:dyDescent="0.2">
      <c r="A887" s="2" t="s">
        <v>19</v>
      </c>
      <c r="B887" s="14">
        <v>37865</v>
      </c>
      <c r="C887" s="2">
        <v>-3.0558482614000002E-2</v>
      </c>
      <c r="D887" s="2">
        <v>0</v>
      </c>
      <c r="E887" s="2">
        <v>1</v>
      </c>
      <c r="F887" s="2">
        <v>4.1191271119980097E-2</v>
      </c>
      <c r="G887" s="2">
        <v>2</v>
      </c>
    </row>
    <row r="888" spans="1:7" x14ac:dyDescent="0.2">
      <c r="A888" s="2" t="s">
        <v>19</v>
      </c>
      <c r="B888" s="14">
        <v>37895</v>
      </c>
      <c r="C888" s="2">
        <v>0.13043478259999999</v>
      </c>
      <c r="D888" s="2">
        <v>0</v>
      </c>
      <c r="E888" s="2">
        <v>1</v>
      </c>
      <c r="F888" s="2">
        <v>3.9328920222279302E-2</v>
      </c>
      <c r="G888" s="2">
        <v>2</v>
      </c>
    </row>
    <row r="889" spans="1:7" x14ac:dyDescent="0.2">
      <c r="A889" s="2" t="s">
        <v>19</v>
      </c>
      <c r="B889" s="14">
        <v>37926</v>
      </c>
      <c r="C889" s="2">
        <v>-9.7087378634999992E-3</v>
      </c>
      <c r="D889" s="2">
        <v>0</v>
      </c>
      <c r="E889" s="2">
        <v>1</v>
      </c>
      <c r="F889" s="2">
        <v>4.32694954920715E-2</v>
      </c>
      <c r="G889" s="2">
        <v>2</v>
      </c>
    </row>
    <row r="890" spans="1:7" x14ac:dyDescent="0.2">
      <c r="A890" s="2" t="s">
        <v>19</v>
      </c>
      <c r="B890" s="14">
        <v>37956</v>
      </c>
      <c r="C890" s="2">
        <v>3.9215686264999997E-3</v>
      </c>
      <c r="D890" s="2">
        <v>0</v>
      </c>
      <c r="E890" s="2">
        <v>1</v>
      </c>
      <c r="F890" s="2">
        <v>4.3897906196157903E-2</v>
      </c>
      <c r="G890" s="2">
        <v>2</v>
      </c>
    </row>
    <row r="891" spans="1:7" x14ac:dyDescent="0.2">
      <c r="A891" s="2" t="s">
        <v>19</v>
      </c>
      <c r="B891" s="14">
        <v>37987</v>
      </c>
      <c r="C891" s="2">
        <v>-3.4179687499000001E-2</v>
      </c>
      <c r="E891" s="2">
        <v>1</v>
      </c>
      <c r="F891" s="2">
        <v>4.5231247928121998E-2</v>
      </c>
      <c r="G891" s="2">
        <v>2</v>
      </c>
    </row>
    <row r="892" spans="1:7" x14ac:dyDescent="0.2">
      <c r="A892" s="2" t="s">
        <v>19</v>
      </c>
      <c r="B892" s="14">
        <v>38018</v>
      </c>
      <c r="C892" s="2">
        <v>-9.1001011133000007E-3</v>
      </c>
      <c r="E892" s="2">
        <v>1</v>
      </c>
      <c r="F892" s="2">
        <v>4.5681708334211001E-2</v>
      </c>
      <c r="G892" s="2">
        <v>2</v>
      </c>
    </row>
    <row r="893" spans="1:7" x14ac:dyDescent="0.2">
      <c r="A893" s="2" t="s">
        <v>19</v>
      </c>
      <c r="B893" s="14">
        <v>38047</v>
      </c>
      <c r="C893" s="2">
        <v>0.12244897959000001</v>
      </c>
      <c r="D893" s="2">
        <v>0</v>
      </c>
      <c r="E893" s="2">
        <v>1</v>
      </c>
      <c r="F893" s="2">
        <v>4.0068518390235799E-2</v>
      </c>
      <c r="G893" s="2">
        <v>2</v>
      </c>
    </row>
    <row r="894" spans="1:7" x14ac:dyDescent="0.2">
      <c r="A894" s="2" t="s">
        <v>19</v>
      </c>
      <c r="B894" s="14">
        <v>38078</v>
      </c>
      <c r="C894" s="2">
        <v>0.29188055595000001</v>
      </c>
      <c r="D894" s="2">
        <v>0</v>
      </c>
      <c r="E894" s="2">
        <v>1</v>
      </c>
      <c r="F894" s="2">
        <v>4.4352241003663702E-2</v>
      </c>
      <c r="G894" s="2">
        <v>2</v>
      </c>
    </row>
    <row r="895" spans="1:7" x14ac:dyDescent="0.2">
      <c r="A895" s="2" t="s">
        <v>19</v>
      </c>
      <c r="B895" s="14">
        <v>38108</v>
      </c>
      <c r="C895" s="2">
        <v>0</v>
      </c>
      <c r="D895" s="2">
        <v>0</v>
      </c>
      <c r="E895" s="2">
        <v>1</v>
      </c>
      <c r="F895" s="2">
        <v>4.9060552304856002E-2</v>
      </c>
      <c r="G895" s="2">
        <v>2</v>
      </c>
    </row>
    <row r="896" spans="1:7" x14ac:dyDescent="0.2">
      <c r="A896" s="2" t="s">
        <v>19</v>
      </c>
      <c r="B896" s="14">
        <v>38139</v>
      </c>
      <c r="C896" s="2">
        <v>-3.5000000000000003E-2</v>
      </c>
      <c r="D896" s="2">
        <v>0</v>
      </c>
      <c r="E896" s="2">
        <v>1</v>
      </c>
      <c r="F896" s="2">
        <v>4.9310126005473499E-2</v>
      </c>
      <c r="G896" s="2">
        <v>2</v>
      </c>
    </row>
    <row r="897" spans="1:7" x14ac:dyDescent="0.2">
      <c r="A897" s="2" t="s">
        <v>19</v>
      </c>
      <c r="B897" s="14">
        <v>38169</v>
      </c>
      <c r="C897" s="2">
        <v>7.3205033310000001E-2</v>
      </c>
      <c r="D897" s="2">
        <v>0</v>
      </c>
      <c r="E897" s="2">
        <v>1</v>
      </c>
      <c r="F897" s="2">
        <v>4.8253222388268902E-2</v>
      </c>
      <c r="G897" s="2">
        <v>2</v>
      </c>
    </row>
    <row r="898" spans="1:7" x14ac:dyDescent="0.2">
      <c r="A898" s="2" t="s">
        <v>19</v>
      </c>
      <c r="B898" s="14">
        <v>38200</v>
      </c>
      <c r="C898" s="2">
        <v>7.3753535962000003E-3</v>
      </c>
      <c r="D898" s="2">
        <v>0</v>
      </c>
      <c r="E898" s="2">
        <v>1</v>
      </c>
      <c r="F898" s="2">
        <v>5.1976913458003801E-2</v>
      </c>
      <c r="G898" s="2">
        <v>2</v>
      </c>
    </row>
    <row r="899" spans="1:7" x14ac:dyDescent="0.2">
      <c r="A899" s="2" t="s">
        <v>19</v>
      </c>
      <c r="B899" s="14">
        <v>38231</v>
      </c>
      <c r="C899" s="2">
        <v>8.6505190310999999E-2</v>
      </c>
      <c r="D899" s="2">
        <v>0</v>
      </c>
      <c r="E899" s="2">
        <v>1</v>
      </c>
      <c r="F899" s="2">
        <v>5.2324859580311099E-2</v>
      </c>
      <c r="G899" s="2">
        <v>2</v>
      </c>
    </row>
    <row r="900" spans="1:7" x14ac:dyDescent="0.2">
      <c r="A900" s="2" t="s">
        <v>19</v>
      </c>
      <c r="B900" s="14">
        <v>38261</v>
      </c>
      <c r="C900" s="2">
        <v>0.14649681528</v>
      </c>
      <c r="D900" s="2">
        <v>0</v>
      </c>
      <c r="E900" s="2">
        <v>1</v>
      </c>
      <c r="F900" s="2">
        <v>5.1057374990774201E-2</v>
      </c>
      <c r="G900" s="2">
        <v>2</v>
      </c>
    </row>
    <row r="901" spans="1:7" x14ac:dyDescent="0.2">
      <c r="A901" s="2" t="s">
        <v>19</v>
      </c>
      <c r="B901" s="14">
        <v>38292</v>
      </c>
      <c r="C901" s="2">
        <v>8.9552238804999993E-3</v>
      </c>
      <c r="D901" s="2">
        <v>0</v>
      </c>
      <c r="E901" s="2">
        <v>1</v>
      </c>
      <c r="F901" s="2">
        <v>4.65704837741924E-2</v>
      </c>
      <c r="G901" s="2">
        <v>2</v>
      </c>
    </row>
    <row r="902" spans="1:7" x14ac:dyDescent="0.2">
      <c r="A902" s="2" t="s">
        <v>19</v>
      </c>
      <c r="B902" s="14">
        <v>38322</v>
      </c>
      <c r="C902" s="2">
        <v>5.5555555557000001E-2</v>
      </c>
      <c r="D902" s="2">
        <v>0</v>
      </c>
      <c r="E902" s="2">
        <v>1</v>
      </c>
      <c r="F902" s="2">
        <v>4.68110719852654E-2</v>
      </c>
      <c r="G902" s="2">
        <v>2</v>
      </c>
    </row>
    <row r="903" spans="1:7" x14ac:dyDescent="0.2">
      <c r="A903" s="2" t="s">
        <v>19</v>
      </c>
      <c r="B903" s="14">
        <v>38353</v>
      </c>
      <c r="C903" s="2">
        <v>-3.8421052631999998E-2</v>
      </c>
      <c r="D903" s="2">
        <v>0</v>
      </c>
      <c r="E903" s="2">
        <v>1</v>
      </c>
      <c r="F903" s="2">
        <v>4.9278690288953798E-2</v>
      </c>
      <c r="G903" s="2">
        <v>2</v>
      </c>
    </row>
    <row r="904" spans="1:7" x14ac:dyDescent="0.2">
      <c r="A904" s="2" t="s">
        <v>19</v>
      </c>
      <c r="B904" s="14">
        <v>38384</v>
      </c>
      <c r="C904" s="2">
        <v>1.2260536399E-2</v>
      </c>
      <c r="D904" s="2">
        <v>0</v>
      </c>
      <c r="E904" s="2">
        <v>1</v>
      </c>
      <c r="F904" s="2">
        <v>4.61501769035665E-2</v>
      </c>
      <c r="G904" s="2">
        <v>2</v>
      </c>
    </row>
    <row r="905" spans="1:7" x14ac:dyDescent="0.2">
      <c r="A905" s="2" t="s">
        <v>19</v>
      </c>
      <c r="B905" s="14">
        <v>38412</v>
      </c>
      <c r="C905" s="2">
        <v>-2.6711365849E-2</v>
      </c>
      <c r="D905" s="2">
        <v>0</v>
      </c>
      <c r="E905" s="2">
        <v>1</v>
      </c>
      <c r="F905" s="2">
        <v>4.6240962465599701E-2</v>
      </c>
      <c r="G905" s="2">
        <v>2</v>
      </c>
    </row>
    <row r="906" spans="1:7" x14ac:dyDescent="0.2">
      <c r="A906" s="2" t="s">
        <v>19</v>
      </c>
      <c r="B906" s="14">
        <v>38443</v>
      </c>
      <c r="C906" s="2">
        <v>-8.8888888888999998E-2</v>
      </c>
      <c r="D906" s="2">
        <v>0</v>
      </c>
      <c r="E906" s="2">
        <v>1</v>
      </c>
      <c r="F906" s="2">
        <v>4.3050190388827098E-2</v>
      </c>
      <c r="G906" s="2">
        <v>2</v>
      </c>
    </row>
    <row r="907" spans="1:7" x14ac:dyDescent="0.2">
      <c r="A907" s="2" t="s">
        <v>19</v>
      </c>
      <c r="B907" s="14">
        <v>38473</v>
      </c>
      <c r="C907" s="2">
        <v>5.0467768415000003E-4</v>
      </c>
      <c r="D907" s="2">
        <v>3.4400285000000001E-3</v>
      </c>
      <c r="E907" s="2">
        <v>1</v>
      </c>
      <c r="F907" s="2">
        <v>3.5899043601804501E-2</v>
      </c>
      <c r="G907" s="2">
        <v>2</v>
      </c>
    </row>
    <row r="908" spans="1:7" x14ac:dyDescent="0.2">
      <c r="A908" s="2" t="s">
        <v>19</v>
      </c>
      <c r="B908" s="14">
        <v>38504</v>
      </c>
      <c r="C908" s="2">
        <v>5.5900621119000002E-2</v>
      </c>
      <c r="D908" s="2">
        <v>1.6241224999999999E-4</v>
      </c>
      <c r="E908" s="2">
        <v>1</v>
      </c>
      <c r="F908" s="2">
        <v>3.5696682137966701E-2</v>
      </c>
      <c r="G908" s="2">
        <v>2</v>
      </c>
    </row>
    <row r="909" spans="1:7" x14ac:dyDescent="0.2">
      <c r="A909" s="2" t="s">
        <v>19</v>
      </c>
      <c r="B909" s="14">
        <v>38534</v>
      </c>
      <c r="C909" s="2">
        <v>5.8823529410999997E-2</v>
      </c>
      <c r="D909" s="2">
        <v>0</v>
      </c>
      <c r="E909" s="2">
        <v>1</v>
      </c>
      <c r="F909" s="2">
        <v>3.5558220231842602E-2</v>
      </c>
      <c r="G909" s="2">
        <v>2</v>
      </c>
    </row>
    <row r="910" spans="1:7" x14ac:dyDescent="0.2">
      <c r="A910" s="2" t="s">
        <v>19</v>
      </c>
      <c r="B910" s="14">
        <v>38565</v>
      </c>
      <c r="C910" s="2">
        <v>4.9471182411999999E-2</v>
      </c>
      <c r="D910" s="2">
        <v>0</v>
      </c>
      <c r="E910" s="2">
        <v>1</v>
      </c>
      <c r="F910" s="2">
        <v>2.8152949637200501E-2</v>
      </c>
      <c r="G910" s="2">
        <v>2</v>
      </c>
    </row>
    <row r="911" spans="1:7" x14ac:dyDescent="0.2">
      <c r="A911" s="2" t="s">
        <v>19</v>
      </c>
      <c r="B911" s="14">
        <v>38596</v>
      </c>
      <c r="C911" s="2">
        <v>-6.2267163384999998E-2</v>
      </c>
      <c r="D911" s="2">
        <v>0</v>
      </c>
      <c r="E911" s="2">
        <v>1</v>
      </c>
      <c r="F911" s="2">
        <v>2.9134271374466201E-2</v>
      </c>
      <c r="G911" s="2">
        <v>2</v>
      </c>
    </row>
    <row r="912" spans="1:7" x14ac:dyDescent="0.2">
      <c r="A912" s="2" t="s">
        <v>19</v>
      </c>
      <c r="B912" s="14">
        <v>38626</v>
      </c>
      <c r="C912" s="2">
        <v>-6.8104426791000001E-3</v>
      </c>
      <c r="D912" s="2">
        <v>0</v>
      </c>
      <c r="E912" s="2">
        <v>1</v>
      </c>
      <c r="F912" s="2">
        <v>2.82868810945721E-2</v>
      </c>
      <c r="G912" s="2">
        <v>2</v>
      </c>
    </row>
    <row r="913" spans="1:7" x14ac:dyDescent="0.2">
      <c r="A913" s="2" t="s">
        <v>19</v>
      </c>
      <c r="B913" s="14">
        <v>38657</v>
      </c>
      <c r="C913" s="2">
        <v>8.3313325330999999E-2</v>
      </c>
      <c r="D913" s="2">
        <v>0</v>
      </c>
      <c r="E913" s="2">
        <v>1</v>
      </c>
      <c r="F913" s="2">
        <v>3.0387810830366398E-2</v>
      </c>
      <c r="G913" s="2">
        <v>2</v>
      </c>
    </row>
    <row r="914" spans="1:7" x14ac:dyDescent="0.2">
      <c r="A914" s="2" t="s">
        <v>19</v>
      </c>
      <c r="B914" s="14">
        <v>38687</v>
      </c>
      <c r="C914" s="2">
        <v>-1.5957446808999999E-2</v>
      </c>
      <c r="D914" s="2">
        <v>0</v>
      </c>
      <c r="E914" s="2">
        <v>1</v>
      </c>
      <c r="F914" s="2">
        <v>3.2718990243884298E-2</v>
      </c>
      <c r="G914" s="2">
        <v>2</v>
      </c>
    </row>
    <row r="915" spans="1:7" x14ac:dyDescent="0.2">
      <c r="A915" s="2" t="s">
        <v>19</v>
      </c>
      <c r="B915" s="14">
        <v>38718</v>
      </c>
      <c r="C915" s="2">
        <v>-1.4108108107E-2</v>
      </c>
      <c r="D915" s="2">
        <v>0</v>
      </c>
      <c r="E915" s="2">
        <v>1</v>
      </c>
      <c r="F915" s="2">
        <v>3.0645245890814899E-2</v>
      </c>
      <c r="G915" s="2">
        <v>2</v>
      </c>
    </row>
    <row r="916" spans="1:7" x14ac:dyDescent="0.2">
      <c r="A916" s="2" t="s">
        <v>19</v>
      </c>
      <c r="B916" s="14">
        <v>38749</v>
      </c>
      <c r="C916" s="2">
        <v>-1.0965513465E-3</v>
      </c>
      <c r="D916" s="2">
        <v>0</v>
      </c>
      <c r="E916" s="2">
        <v>1</v>
      </c>
      <c r="F916" s="2">
        <v>2.8547346916586998E-2</v>
      </c>
      <c r="G916" s="2">
        <v>2</v>
      </c>
    </row>
    <row r="917" spans="1:7" x14ac:dyDescent="0.2">
      <c r="A917" s="2" t="s">
        <v>19</v>
      </c>
      <c r="B917" s="14">
        <v>38777</v>
      </c>
      <c r="C917" s="2">
        <v>-1.7509193700000002E-2</v>
      </c>
      <c r="D917" s="2">
        <v>0</v>
      </c>
      <c r="E917" s="2">
        <v>1</v>
      </c>
      <c r="F917" s="2">
        <v>2.7087861494655498E-2</v>
      </c>
      <c r="G917" s="2">
        <v>2</v>
      </c>
    </row>
    <row r="918" spans="1:7" x14ac:dyDescent="0.2">
      <c r="A918" s="2" t="s">
        <v>19</v>
      </c>
      <c r="B918" s="14">
        <v>38808</v>
      </c>
      <c r="C918" s="2">
        <v>3.9737398605000002E-2</v>
      </c>
      <c r="D918" s="2">
        <v>0</v>
      </c>
      <c r="E918" s="2">
        <v>1</v>
      </c>
      <c r="F918" s="2">
        <v>2.84134083997492E-2</v>
      </c>
      <c r="G918" s="2">
        <v>2</v>
      </c>
    </row>
    <row r="919" spans="1:7" x14ac:dyDescent="0.2">
      <c r="A919" s="2" t="s">
        <v>19</v>
      </c>
      <c r="B919" s="14">
        <v>38838</v>
      </c>
      <c r="C919" s="2">
        <v>2.2099447513000001E-2</v>
      </c>
      <c r="D919" s="2">
        <v>0</v>
      </c>
      <c r="E919" s="2">
        <v>1</v>
      </c>
      <c r="F919" s="2">
        <v>2.9576108509843699E-2</v>
      </c>
      <c r="G919" s="2">
        <v>2</v>
      </c>
    </row>
    <row r="920" spans="1:7" x14ac:dyDescent="0.2">
      <c r="A920" s="2" t="s">
        <v>19</v>
      </c>
      <c r="B920" s="14">
        <v>38869</v>
      </c>
      <c r="C920" s="2">
        <v>-5.4054054052999996E-3</v>
      </c>
      <c r="D920" s="2">
        <v>0</v>
      </c>
      <c r="E920" s="2">
        <v>1</v>
      </c>
      <c r="F920" s="2">
        <v>2.77545936593999E-2</v>
      </c>
      <c r="G920" s="2">
        <v>2</v>
      </c>
    </row>
    <row r="921" spans="1:7" x14ac:dyDescent="0.2">
      <c r="A921" s="2" t="s">
        <v>19</v>
      </c>
      <c r="B921" s="14">
        <v>38899</v>
      </c>
      <c r="C921" s="2">
        <v>5.9782608696000002E-2</v>
      </c>
      <c r="D921" s="2">
        <v>0</v>
      </c>
      <c r="E921" s="2">
        <v>1</v>
      </c>
      <c r="F921" s="2">
        <v>2.80419889142474E-2</v>
      </c>
      <c r="G921" s="2">
        <v>2</v>
      </c>
    </row>
    <row r="922" spans="1:7" x14ac:dyDescent="0.2">
      <c r="A922" s="2" t="s">
        <v>19</v>
      </c>
      <c r="B922" s="14">
        <v>38930</v>
      </c>
      <c r="C922" s="2">
        <v>0.11316568047</v>
      </c>
      <c r="D922" s="2">
        <v>0</v>
      </c>
      <c r="E922" s="2">
        <v>1</v>
      </c>
      <c r="F922" s="2">
        <v>3.2882655958950603E-2</v>
      </c>
      <c r="G922" s="2">
        <v>2</v>
      </c>
    </row>
    <row r="923" spans="1:7" x14ac:dyDescent="0.2">
      <c r="A923" s="2" t="s">
        <v>19</v>
      </c>
      <c r="B923" s="14">
        <v>38961</v>
      </c>
      <c r="C923" s="2">
        <v>2.2790697674E-2</v>
      </c>
      <c r="D923" s="2">
        <v>0</v>
      </c>
      <c r="E923" s="2">
        <v>1</v>
      </c>
      <c r="F923" s="2">
        <v>3.6124438563944303E-2</v>
      </c>
      <c r="G923" s="2">
        <v>2</v>
      </c>
    </row>
    <row r="924" spans="1:7" x14ac:dyDescent="0.2">
      <c r="A924" s="2" t="s">
        <v>19</v>
      </c>
      <c r="B924" s="14">
        <v>38991</v>
      </c>
      <c r="C924" s="2">
        <v>5.7298772168000001E-2</v>
      </c>
      <c r="D924" s="2">
        <v>0</v>
      </c>
      <c r="E924" s="2">
        <v>1</v>
      </c>
      <c r="F924" s="2">
        <v>3.7113429907655003E-2</v>
      </c>
      <c r="G924" s="2">
        <v>2</v>
      </c>
    </row>
    <row r="925" spans="1:7" x14ac:dyDescent="0.2">
      <c r="A925" s="2" t="s">
        <v>19</v>
      </c>
      <c r="B925" s="14">
        <v>39022</v>
      </c>
      <c r="C925" s="2">
        <v>8.3940339924000004E-2</v>
      </c>
      <c r="D925" s="2">
        <v>0</v>
      </c>
      <c r="E925" s="2">
        <v>1</v>
      </c>
      <c r="F925" s="2">
        <v>3.7492091336880501E-2</v>
      </c>
      <c r="G925" s="2">
        <v>2</v>
      </c>
    </row>
    <row r="926" spans="1:7" x14ac:dyDescent="0.2">
      <c r="A926" s="2" t="s">
        <v>19</v>
      </c>
      <c r="B926" s="14">
        <v>39052</v>
      </c>
      <c r="C926" s="2">
        <v>3.1999999999000002E-2</v>
      </c>
      <c r="D926" s="2">
        <v>0</v>
      </c>
      <c r="E926" s="2">
        <v>1</v>
      </c>
      <c r="F926" s="2">
        <v>3.9114990755155697E-2</v>
      </c>
      <c r="G926" s="2">
        <v>2</v>
      </c>
    </row>
    <row r="927" spans="1:7" x14ac:dyDescent="0.2">
      <c r="A927" s="2" t="s">
        <v>19</v>
      </c>
      <c r="B927" s="14">
        <v>39083</v>
      </c>
      <c r="C927" s="2">
        <v>5.6162790699000001E-2</v>
      </c>
      <c r="D927" s="2">
        <v>0</v>
      </c>
      <c r="E927" s="2">
        <v>1</v>
      </c>
      <c r="F927" s="2">
        <v>4.0079461730324603E-2</v>
      </c>
      <c r="G927" s="2">
        <v>2</v>
      </c>
    </row>
    <row r="928" spans="1:7" x14ac:dyDescent="0.2">
      <c r="A928" s="2" t="s">
        <v>19</v>
      </c>
      <c r="B928" s="14">
        <v>39114</v>
      </c>
      <c r="C928" s="2">
        <v>0.13765642776000001</v>
      </c>
      <c r="D928" s="19">
        <v>-1.6445144999999999E-5</v>
      </c>
      <c r="E928" s="2">
        <v>1</v>
      </c>
      <c r="F928" s="2">
        <v>3.9805984491088402E-2</v>
      </c>
      <c r="G928" s="2">
        <v>2</v>
      </c>
    </row>
    <row r="929" spans="1:7" x14ac:dyDescent="0.2">
      <c r="A929" s="2" t="s">
        <v>19</v>
      </c>
      <c r="B929" s="14">
        <v>39142</v>
      </c>
      <c r="C929" s="2">
        <v>0.12258064516</v>
      </c>
      <c r="D929" s="2">
        <v>0</v>
      </c>
      <c r="E929" s="2">
        <v>1</v>
      </c>
      <c r="F929" s="2">
        <v>4.0355708519027901E-2</v>
      </c>
      <c r="G929" s="2">
        <v>2</v>
      </c>
    </row>
    <row r="930" spans="1:7" x14ac:dyDescent="0.2">
      <c r="A930" s="2" t="s">
        <v>19</v>
      </c>
      <c r="B930" s="14">
        <v>39173</v>
      </c>
      <c r="C930" s="2">
        <v>0.25736440825000001</v>
      </c>
      <c r="D930" s="2">
        <v>0</v>
      </c>
      <c r="E930" s="2">
        <v>1</v>
      </c>
      <c r="F930" s="2">
        <v>4.2957313220578303E-2</v>
      </c>
      <c r="G930" s="2">
        <v>2</v>
      </c>
    </row>
    <row r="931" spans="1:7" x14ac:dyDescent="0.2">
      <c r="A931" s="2" t="s">
        <v>19</v>
      </c>
      <c r="B931" s="14">
        <v>39203</v>
      </c>
      <c r="C931" s="2">
        <v>0.15813953487999999</v>
      </c>
      <c r="D931" s="2">
        <v>3.0880365999999999E-3</v>
      </c>
      <c r="E931" s="2">
        <v>1</v>
      </c>
      <c r="F931" s="2">
        <v>4.8755351844220501E-2</v>
      </c>
      <c r="G931" s="2">
        <v>2</v>
      </c>
    </row>
    <row r="932" spans="1:7" x14ac:dyDescent="0.2">
      <c r="A932" s="2" t="s">
        <v>19</v>
      </c>
      <c r="B932" s="14">
        <v>39234</v>
      </c>
      <c r="C932" s="2">
        <v>3.4136546184999998E-2</v>
      </c>
      <c r="D932" s="2">
        <v>0</v>
      </c>
      <c r="E932" s="2">
        <v>1</v>
      </c>
      <c r="F932" s="2">
        <v>5.0579616364789699E-2</v>
      </c>
      <c r="G932" s="2">
        <v>2</v>
      </c>
    </row>
    <row r="933" spans="1:7" x14ac:dyDescent="0.2">
      <c r="A933" s="2" t="s">
        <v>19</v>
      </c>
      <c r="B933" s="14">
        <v>39264</v>
      </c>
      <c r="C933" s="2">
        <v>-4.854368932E-2</v>
      </c>
      <c r="D933" s="2">
        <v>0</v>
      </c>
      <c r="E933" s="2">
        <v>1</v>
      </c>
      <c r="F933" s="2">
        <v>5.0489085455463899E-2</v>
      </c>
      <c r="G933" s="2">
        <v>2</v>
      </c>
    </row>
    <row r="934" spans="1:7" x14ac:dyDescent="0.2">
      <c r="A934" s="2" t="s">
        <v>19</v>
      </c>
      <c r="B934" s="14">
        <v>39295</v>
      </c>
      <c r="C934" s="2">
        <v>-2.2302019821999999E-2</v>
      </c>
      <c r="D934" s="2">
        <v>0</v>
      </c>
      <c r="E934" s="2">
        <v>1</v>
      </c>
      <c r="F934" s="2">
        <v>4.3594516118961202E-2</v>
      </c>
      <c r="G934" s="2">
        <v>2</v>
      </c>
    </row>
    <row r="935" spans="1:7" x14ac:dyDescent="0.2">
      <c r="A935" s="2" t="s">
        <v>19</v>
      </c>
      <c r="B935" s="14">
        <v>39326</v>
      </c>
      <c r="C935" s="2">
        <v>5.5789473685E-2</v>
      </c>
      <c r="D935" s="2">
        <v>0</v>
      </c>
      <c r="E935" s="2">
        <v>1</v>
      </c>
      <c r="F935" s="2">
        <v>3.9141382867298798E-2</v>
      </c>
      <c r="G935" s="2">
        <v>2</v>
      </c>
    </row>
    <row r="936" spans="1:7" x14ac:dyDescent="0.2">
      <c r="A936" s="2" t="s">
        <v>19</v>
      </c>
      <c r="B936" s="14">
        <v>39356</v>
      </c>
      <c r="C936" s="2">
        <v>0.15653040876999999</v>
      </c>
      <c r="D936" s="2">
        <v>7.3566702000000001E-3</v>
      </c>
      <c r="E936" s="2">
        <v>1</v>
      </c>
      <c r="F936" s="2">
        <v>3.7063778367292001E-2</v>
      </c>
      <c r="G936" s="2">
        <v>2</v>
      </c>
    </row>
    <row r="937" spans="1:7" x14ac:dyDescent="0.2">
      <c r="A937" s="2" t="s">
        <v>19</v>
      </c>
      <c r="B937" s="14">
        <v>39387</v>
      </c>
      <c r="C937" s="2">
        <v>-0.13225419275</v>
      </c>
      <c r="D937" s="2">
        <v>4.8736835000000002E-4</v>
      </c>
      <c r="E937" s="2">
        <v>1</v>
      </c>
      <c r="F937" s="2">
        <v>3.3871400303454403E-2</v>
      </c>
      <c r="G937" s="2">
        <v>2</v>
      </c>
    </row>
    <row r="938" spans="1:7" x14ac:dyDescent="0.2">
      <c r="A938" s="2" t="s">
        <v>19</v>
      </c>
      <c r="B938" s="14">
        <v>39417</v>
      </c>
      <c r="C938" s="2">
        <v>-0.06</v>
      </c>
      <c r="D938" s="2">
        <v>-8.3367019999999997E-4</v>
      </c>
      <c r="E938" s="2">
        <v>1</v>
      </c>
      <c r="F938" s="2">
        <v>2.6204739460466399E-2</v>
      </c>
      <c r="G938" s="2">
        <v>2</v>
      </c>
    </row>
    <row r="939" spans="1:7" x14ac:dyDescent="0.2">
      <c r="A939" s="2" t="s">
        <v>19</v>
      </c>
      <c r="B939" s="14">
        <v>39448</v>
      </c>
      <c r="C939" s="2">
        <v>-0.1914893617</v>
      </c>
      <c r="D939" s="19">
        <v>5.9202524E-5</v>
      </c>
      <c r="E939" s="2">
        <v>1</v>
      </c>
      <c r="F939" s="2">
        <v>2.3736938408579902E-2</v>
      </c>
      <c r="G939" s="2">
        <v>2</v>
      </c>
    </row>
    <row r="940" spans="1:7" x14ac:dyDescent="0.2">
      <c r="A940" s="2" t="s">
        <v>19</v>
      </c>
      <c r="B940" s="14">
        <v>39479</v>
      </c>
      <c r="C940" s="2">
        <v>0.28684210525999998</v>
      </c>
      <c r="D940" s="2">
        <v>0</v>
      </c>
      <c r="E940" s="2">
        <v>1</v>
      </c>
      <c r="F940" s="2">
        <v>2.0492142751341601E-2</v>
      </c>
      <c r="G940" s="2">
        <v>2</v>
      </c>
    </row>
    <row r="941" spans="1:7" x14ac:dyDescent="0.2">
      <c r="A941" s="2" t="s">
        <v>19</v>
      </c>
      <c r="B941" s="14">
        <v>39508</v>
      </c>
      <c r="C941" s="2">
        <v>-1.2269938649000001E-2</v>
      </c>
      <c r="D941" s="2">
        <v>0</v>
      </c>
      <c r="E941" s="2">
        <v>1</v>
      </c>
      <c r="F941" s="2">
        <v>2.91496101594243E-2</v>
      </c>
      <c r="G941" s="2">
        <v>2</v>
      </c>
    </row>
    <row r="942" spans="1:7" x14ac:dyDescent="0.2">
      <c r="A942" s="2" t="s">
        <v>19</v>
      </c>
      <c r="B942" s="14">
        <v>39539</v>
      </c>
      <c r="C942" s="2">
        <v>9.1585931861000003E-2</v>
      </c>
      <c r="D942" s="2">
        <v>3.2114079000000002E-3</v>
      </c>
      <c r="E942" s="2">
        <v>1</v>
      </c>
      <c r="F942" s="2">
        <v>2.7196977864231701E-2</v>
      </c>
      <c r="G942" s="2">
        <v>2</v>
      </c>
    </row>
    <row r="943" spans="1:7" x14ac:dyDescent="0.2">
      <c r="A943" s="2" t="s">
        <v>19</v>
      </c>
      <c r="B943" s="14">
        <v>39569</v>
      </c>
      <c r="C943" s="2">
        <v>-7.6923076921999997E-2</v>
      </c>
      <c r="D943" s="2">
        <v>0</v>
      </c>
      <c r="E943" s="2">
        <v>1</v>
      </c>
      <c r="F943" s="2">
        <v>2.4870544750942601E-2</v>
      </c>
      <c r="G943" s="2">
        <v>2</v>
      </c>
    </row>
    <row r="944" spans="1:7" x14ac:dyDescent="0.2">
      <c r="A944" s="2" t="s">
        <v>19</v>
      </c>
      <c r="B944" s="14">
        <v>39600</v>
      </c>
      <c r="C944" s="2">
        <v>-0.10416666666</v>
      </c>
      <c r="D944" s="2">
        <v>0</v>
      </c>
      <c r="E944" s="2">
        <v>1</v>
      </c>
      <c r="F944" s="2">
        <v>2.65781423125558E-2</v>
      </c>
      <c r="G944" s="2">
        <v>2</v>
      </c>
    </row>
    <row r="945" spans="1:7" x14ac:dyDescent="0.2">
      <c r="A945" s="2" t="s">
        <v>19</v>
      </c>
      <c r="B945" s="14">
        <v>39630</v>
      </c>
      <c r="C945" s="2">
        <v>-6.9767441860000001E-2</v>
      </c>
      <c r="D945" s="2">
        <v>-7.8081549000000002E-4</v>
      </c>
      <c r="E945" s="2">
        <v>1</v>
      </c>
      <c r="F945" s="2">
        <v>2.5616856859412399E-2</v>
      </c>
      <c r="G945" s="2">
        <v>2</v>
      </c>
    </row>
    <row r="946" spans="1:7" x14ac:dyDescent="0.2">
      <c r="A946" s="2" t="s">
        <v>19</v>
      </c>
      <c r="B946" s="14">
        <v>39661</v>
      </c>
      <c r="C946" s="2">
        <v>-0.11814263323</v>
      </c>
      <c r="D946" s="2">
        <v>-4.2757377000000001E-4</v>
      </c>
      <c r="E946" s="2">
        <v>1</v>
      </c>
      <c r="F946" s="2">
        <v>2.0647543932864901E-2</v>
      </c>
      <c r="G946" s="2">
        <v>2</v>
      </c>
    </row>
    <row r="947" spans="1:7" x14ac:dyDescent="0.2">
      <c r="A947" s="2" t="s">
        <v>19</v>
      </c>
      <c r="B947" s="14">
        <v>39692</v>
      </c>
      <c r="C947" s="2">
        <v>-7.1428571428000007E-2</v>
      </c>
      <c r="D947" s="2">
        <v>0</v>
      </c>
      <c r="E947" s="2">
        <v>1</v>
      </c>
      <c r="F947" s="2">
        <v>9.3226666255848707E-3</v>
      </c>
      <c r="G947" s="2">
        <v>2</v>
      </c>
    </row>
    <row r="948" spans="1:7" x14ac:dyDescent="0.2">
      <c r="A948" s="2" t="s">
        <v>19</v>
      </c>
      <c r="B948" s="14">
        <v>39722</v>
      </c>
      <c r="C948" s="2">
        <v>-0.20615384614999999</v>
      </c>
      <c r="D948" s="19">
        <v>9.8670875999999999E-5</v>
      </c>
      <c r="E948" s="2">
        <v>1</v>
      </c>
      <c r="F948" s="2">
        <v>7.76319819962189E-3</v>
      </c>
      <c r="G948" s="2">
        <v>2</v>
      </c>
    </row>
    <row r="949" spans="1:7" x14ac:dyDescent="0.2">
      <c r="A949" s="2" t="s">
        <v>19</v>
      </c>
      <c r="B949" s="14">
        <v>39753</v>
      </c>
      <c r="C949" s="2">
        <v>2.3452548512000002E-2</v>
      </c>
      <c r="D949" s="2">
        <v>0</v>
      </c>
      <c r="E949" s="2">
        <v>1</v>
      </c>
      <c r="F949" s="2">
        <v>-3.8407286891793202E-4</v>
      </c>
      <c r="G949" s="2">
        <v>2</v>
      </c>
    </row>
    <row r="950" spans="1:7" x14ac:dyDescent="0.2">
      <c r="A950" s="2" t="s">
        <v>19</v>
      </c>
      <c r="B950" s="14">
        <v>39783</v>
      </c>
      <c r="C950" s="2">
        <v>-1.9193045884999999E-2</v>
      </c>
      <c r="D950" s="2">
        <v>0</v>
      </c>
      <c r="E950" s="2">
        <v>1</v>
      </c>
      <c r="F950" s="2">
        <v>2.48731275789176E-3</v>
      </c>
      <c r="G950" s="2">
        <v>2</v>
      </c>
    </row>
    <row r="951" spans="1:7" x14ac:dyDescent="0.2">
      <c r="A951" s="2" t="s">
        <v>20</v>
      </c>
      <c r="B951" s="14">
        <v>37591</v>
      </c>
      <c r="D951" s="2">
        <v>0</v>
      </c>
      <c r="E951" s="2">
        <v>1</v>
      </c>
      <c r="G951" s="2">
        <v>2</v>
      </c>
    </row>
    <row r="952" spans="1:7" x14ac:dyDescent="0.2">
      <c r="A952" s="2" t="s">
        <v>20</v>
      </c>
      <c r="B952" s="14">
        <v>37622</v>
      </c>
      <c r="C952" s="2">
        <v>0</v>
      </c>
      <c r="D952" s="2">
        <v>0</v>
      </c>
      <c r="E952" s="2">
        <v>1</v>
      </c>
      <c r="G952" s="2">
        <v>2</v>
      </c>
    </row>
    <row r="953" spans="1:7" x14ac:dyDescent="0.2">
      <c r="A953" s="2" t="s">
        <v>20</v>
      </c>
      <c r="B953" s="14">
        <v>37653</v>
      </c>
      <c r="D953" s="2">
        <v>0</v>
      </c>
      <c r="E953" s="2">
        <v>1</v>
      </c>
      <c r="G953" s="2">
        <v>2</v>
      </c>
    </row>
    <row r="954" spans="1:7" x14ac:dyDescent="0.2">
      <c r="A954" s="2" t="s">
        <v>20</v>
      </c>
      <c r="B954" s="14">
        <v>37681</v>
      </c>
      <c r="D954" s="2">
        <v>0</v>
      </c>
      <c r="E954" s="2">
        <v>1</v>
      </c>
      <c r="G954" s="2">
        <v>2</v>
      </c>
    </row>
    <row r="955" spans="1:7" x14ac:dyDescent="0.2">
      <c r="A955" s="2" t="s">
        <v>20</v>
      </c>
      <c r="B955" s="14">
        <v>37712</v>
      </c>
      <c r="D955" s="2">
        <v>0</v>
      </c>
      <c r="E955" s="2">
        <v>1</v>
      </c>
      <c r="G955" s="2">
        <v>2</v>
      </c>
    </row>
    <row r="956" spans="1:7" x14ac:dyDescent="0.2">
      <c r="A956" s="2" t="s">
        <v>20</v>
      </c>
      <c r="B956" s="14">
        <v>37742</v>
      </c>
      <c r="D956" s="2">
        <v>0</v>
      </c>
      <c r="E956" s="2">
        <v>1</v>
      </c>
      <c r="G956" s="2">
        <v>2</v>
      </c>
    </row>
    <row r="957" spans="1:7" x14ac:dyDescent="0.2">
      <c r="A957" s="2" t="s">
        <v>20</v>
      </c>
      <c r="B957" s="14">
        <v>37773</v>
      </c>
      <c r="D957" s="2">
        <v>0</v>
      </c>
      <c r="E957" s="2">
        <v>1</v>
      </c>
      <c r="G957" s="2">
        <v>2</v>
      </c>
    </row>
    <row r="958" spans="1:7" x14ac:dyDescent="0.2">
      <c r="A958" s="2" t="s">
        <v>20</v>
      </c>
      <c r="B958" s="14">
        <v>37803</v>
      </c>
      <c r="D958" s="2">
        <v>0</v>
      </c>
      <c r="E958" s="2">
        <v>1</v>
      </c>
      <c r="G958" s="2">
        <v>2</v>
      </c>
    </row>
    <row r="959" spans="1:7" x14ac:dyDescent="0.2">
      <c r="A959" s="2" t="s">
        <v>20</v>
      </c>
      <c r="B959" s="14">
        <v>37834</v>
      </c>
      <c r="D959" s="2">
        <v>0</v>
      </c>
      <c r="E959" s="2">
        <v>1</v>
      </c>
      <c r="G959" s="2">
        <v>2</v>
      </c>
    </row>
    <row r="960" spans="1:7" x14ac:dyDescent="0.2">
      <c r="A960" s="2" t="s">
        <v>20</v>
      </c>
      <c r="B960" s="14">
        <v>37865</v>
      </c>
      <c r="D960" s="2">
        <v>0</v>
      </c>
      <c r="E960" s="2">
        <v>1</v>
      </c>
      <c r="G960" s="2">
        <v>2</v>
      </c>
    </row>
    <row r="961" spans="1:7" x14ac:dyDescent="0.2">
      <c r="A961" s="2" t="s">
        <v>20</v>
      </c>
      <c r="B961" s="14">
        <v>37895</v>
      </c>
      <c r="C961" s="2">
        <v>5.9999999998999999E-2</v>
      </c>
      <c r="D961" s="2">
        <v>0</v>
      </c>
      <c r="E961" s="2">
        <v>1</v>
      </c>
      <c r="G961" s="2">
        <v>2</v>
      </c>
    </row>
    <row r="962" spans="1:7" x14ac:dyDescent="0.2">
      <c r="A962" s="2" t="s">
        <v>20</v>
      </c>
      <c r="B962" s="14">
        <v>37926</v>
      </c>
      <c r="D962" s="2">
        <v>0</v>
      </c>
      <c r="E962" s="2">
        <v>1</v>
      </c>
      <c r="G962" s="2">
        <v>2</v>
      </c>
    </row>
    <row r="963" spans="1:7" x14ac:dyDescent="0.2">
      <c r="A963" s="2" t="s">
        <v>20</v>
      </c>
      <c r="B963" s="14">
        <v>37956</v>
      </c>
      <c r="D963" s="2">
        <v>0</v>
      </c>
      <c r="E963" s="2">
        <v>1</v>
      </c>
      <c r="G963" s="2">
        <v>2</v>
      </c>
    </row>
    <row r="964" spans="1:7" x14ac:dyDescent="0.2">
      <c r="A964" s="2" t="s">
        <v>20</v>
      </c>
      <c r="B964" s="14">
        <v>37987</v>
      </c>
      <c r="E964" s="2">
        <v>1</v>
      </c>
      <c r="G964" s="2">
        <v>2</v>
      </c>
    </row>
    <row r="965" spans="1:7" x14ac:dyDescent="0.2">
      <c r="A965" s="2" t="s">
        <v>20</v>
      </c>
      <c r="B965" s="14">
        <v>38018</v>
      </c>
      <c r="E965" s="2">
        <v>1</v>
      </c>
      <c r="G965" s="2">
        <v>2</v>
      </c>
    </row>
    <row r="966" spans="1:7" x14ac:dyDescent="0.2">
      <c r="A966" s="2" t="s">
        <v>20</v>
      </c>
      <c r="B966" s="14">
        <v>38047</v>
      </c>
      <c r="C966" s="2">
        <v>0.13207547169</v>
      </c>
      <c r="D966" s="2">
        <v>0</v>
      </c>
      <c r="E966" s="2">
        <v>1</v>
      </c>
      <c r="G966" s="2">
        <v>2</v>
      </c>
    </row>
    <row r="967" spans="1:7" x14ac:dyDescent="0.2">
      <c r="A967" s="2" t="s">
        <v>20</v>
      </c>
      <c r="B967" s="14">
        <v>38078</v>
      </c>
      <c r="D967" s="2">
        <v>0</v>
      </c>
      <c r="E967" s="2">
        <v>1</v>
      </c>
      <c r="G967" s="2">
        <v>2</v>
      </c>
    </row>
    <row r="968" spans="1:7" x14ac:dyDescent="0.2">
      <c r="A968" s="2" t="s">
        <v>20</v>
      </c>
      <c r="B968" s="14">
        <v>38108</v>
      </c>
      <c r="D968" s="2">
        <v>0</v>
      </c>
      <c r="E968" s="2">
        <v>1</v>
      </c>
      <c r="G968" s="2">
        <v>2</v>
      </c>
    </row>
    <row r="969" spans="1:7" x14ac:dyDescent="0.2">
      <c r="A969" s="2" t="s">
        <v>20</v>
      </c>
      <c r="B969" s="14">
        <v>38139</v>
      </c>
      <c r="D969" s="2">
        <v>0</v>
      </c>
      <c r="E969" s="2">
        <v>1</v>
      </c>
      <c r="G969" s="2">
        <v>2</v>
      </c>
    </row>
    <row r="970" spans="1:7" x14ac:dyDescent="0.2">
      <c r="A970" s="2" t="s">
        <v>20</v>
      </c>
      <c r="B970" s="14">
        <v>38169</v>
      </c>
      <c r="C970" s="2">
        <v>2.5296117119000001E-2</v>
      </c>
      <c r="D970" s="2">
        <v>0</v>
      </c>
      <c r="E970" s="2">
        <v>1</v>
      </c>
      <c r="G970" s="2">
        <v>2</v>
      </c>
    </row>
    <row r="971" spans="1:7" x14ac:dyDescent="0.2">
      <c r="A971" s="2" t="s">
        <v>20</v>
      </c>
      <c r="B971" s="14">
        <v>38200</v>
      </c>
      <c r="C971" s="2">
        <v>0.17940199336000001</v>
      </c>
      <c r="D971" s="2">
        <v>6.0614228000000002E-4</v>
      </c>
      <c r="E971" s="2">
        <v>1</v>
      </c>
      <c r="G971" s="2">
        <v>2</v>
      </c>
    </row>
    <row r="972" spans="1:7" x14ac:dyDescent="0.2">
      <c r="A972" s="2" t="s">
        <v>20</v>
      </c>
      <c r="B972" s="14">
        <v>38231</v>
      </c>
      <c r="D972" s="2">
        <v>0</v>
      </c>
      <c r="E972" s="2">
        <v>1</v>
      </c>
      <c r="G972" s="2">
        <v>2</v>
      </c>
    </row>
    <row r="973" spans="1:7" x14ac:dyDescent="0.2">
      <c r="A973" s="2" t="s">
        <v>20</v>
      </c>
      <c r="B973" s="14">
        <v>38261</v>
      </c>
      <c r="C973" s="2">
        <v>0</v>
      </c>
      <c r="D973" s="2">
        <v>0</v>
      </c>
      <c r="E973" s="2">
        <v>1</v>
      </c>
      <c r="G973" s="2">
        <v>2</v>
      </c>
    </row>
    <row r="974" spans="1:7" x14ac:dyDescent="0.2">
      <c r="A974" s="2" t="s">
        <v>20</v>
      </c>
      <c r="B974" s="14">
        <v>38292</v>
      </c>
      <c r="C974" s="2">
        <v>4.5070422529999996E-3</v>
      </c>
      <c r="D974" s="2">
        <v>0</v>
      </c>
      <c r="E974" s="2">
        <v>1</v>
      </c>
      <c r="G974" s="2">
        <v>2</v>
      </c>
    </row>
    <row r="975" spans="1:7" x14ac:dyDescent="0.2">
      <c r="A975" s="2" t="s">
        <v>20</v>
      </c>
      <c r="B975" s="14">
        <v>38322</v>
      </c>
      <c r="C975" s="2">
        <v>9.5344924301999992E-3</v>
      </c>
      <c r="D975" s="2">
        <v>0</v>
      </c>
      <c r="E975" s="2">
        <v>1</v>
      </c>
      <c r="G975" s="2">
        <v>2</v>
      </c>
    </row>
    <row r="976" spans="1:7" x14ac:dyDescent="0.2">
      <c r="A976" s="2" t="s">
        <v>20</v>
      </c>
      <c r="B976" s="14">
        <v>38353</v>
      </c>
      <c r="D976" s="2">
        <v>0</v>
      </c>
      <c r="E976" s="2">
        <v>1</v>
      </c>
      <c r="G976" s="2">
        <v>2</v>
      </c>
    </row>
    <row r="977" spans="1:7" x14ac:dyDescent="0.2">
      <c r="A977" s="2" t="s">
        <v>20</v>
      </c>
      <c r="B977" s="14">
        <v>38384</v>
      </c>
      <c r="D977" s="2">
        <v>0</v>
      </c>
      <c r="E977" s="2">
        <v>1</v>
      </c>
      <c r="G977" s="2">
        <v>2</v>
      </c>
    </row>
    <row r="978" spans="1:7" x14ac:dyDescent="0.2">
      <c r="A978" s="2" t="s">
        <v>20</v>
      </c>
      <c r="B978" s="14">
        <v>38412</v>
      </c>
      <c r="C978" s="2">
        <v>-2.7777777778000001E-2</v>
      </c>
      <c r="D978" s="2">
        <v>0</v>
      </c>
      <c r="E978" s="2">
        <v>1</v>
      </c>
      <c r="G978" s="2">
        <v>2</v>
      </c>
    </row>
    <row r="979" spans="1:7" x14ac:dyDescent="0.2">
      <c r="A979" s="2" t="s">
        <v>20</v>
      </c>
      <c r="B979" s="14">
        <v>38443</v>
      </c>
      <c r="C979" s="2">
        <v>5.7616602231E-2</v>
      </c>
      <c r="D979" s="2">
        <v>0</v>
      </c>
      <c r="E979" s="2">
        <v>1</v>
      </c>
      <c r="G979" s="2">
        <v>2</v>
      </c>
    </row>
    <row r="980" spans="1:7" x14ac:dyDescent="0.2">
      <c r="A980" s="2" t="s">
        <v>20</v>
      </c>
      <c r="B980" s="14">
        <v>38473</v>
      </c>
      <c r="D980" s="2">
        <v>0</v>
      </c>
      <c r="E980" s="2">
        <v>1</v>
      </c>
      <c r="G980" s="2">
        <v>2</v>
      </c>
    </row>
    <row r="981" spans="1:7" x14ac:dyDescent="0.2">
      <c r="A981" s="2" t="s">
        <v>20</v>
      </c>
      <c r="B981" s="14">
        <v>38504</v>
      </c>
      <c r="C981" s="2">
        <v>-1.3888888889999999E-2</v>
      </c>
      <c r="D981" s="2">
        <v>0</v>
      </c>
      <c r="E981" s="2">
        <v>1</v>
      </c>
      <c r="G981" s="2">
        <v>2</v>
      </c>
    </row>
    <row r="982" spans="1:7" x14ac:dyDescent="0.2">
      <c r="A982" s="2" t="s">
        <v>20</v>
      </c>
      <c r="B982" s="14">
        <v>38534</v>
      </c>
      <c r="C982" s="2">
        <v>7.0422535211000004E-2</v>
      </c>
      <c r="D982" s="2">
        <v>0</v>
      </c>
      <c r="E982" s="2">
        <v>1</v>
      </c>
      <c r="G982" s="2">
        <v>2</v>
      </c>
    </row>
    <row r="983" spans="1:7" x14ac:dyDescent="0.2">
      <c r="A983" s="2" t="s">
        <v>20</v>
      </c>
      <c r="B983" s="14">
        <v>38565</v>
      </c>
      <c r="C983" s="2">
        <v>0.23684210525999999</v>
      </c>
      <c r="D983" s="2">
        <v>0</v>
      </c>
      <c r="E983" s="2">
        <v>1</v>
      </c>
      <c r="F983" s="2">
        <v>2.60860035855244E-2</v>
      </c>
      <c r="G983" s="2">
        <v>2</v>
      </c>
    </row>
    <row r="984" spans="1:7" x14ac:dyDescent="0.2">
      <c r="A984" s="2" t="s">
        <v>20</v>
      </c>
      <c r="B984" s="14">
        <v>38596</v>
      </c>
      <c r="C984" s="2">
        <v>0.10638297871999999</v>
      </c>
      <c r="D984" s="2">
        <v>0</v>
      </c>
      <c r="E984" s="2">
        <v>1</v>
      </c>
      <c r="F984" s="2">
        <v>3.2785987751445901E-2</v>
      </c>
      <c r="G984" s="2">
        <v>2</v>
      </c>
    </row>
    <row r="985" spans="1:7" x14ac:dyDescent="0.2">
      <c r="A985" s="2" t="s">
        <v>20</v>
      </c>
      <c r="B985" s="14">
        <v>38626</v>
      </c>
      <c r="C985" s="2">
        <v>-7.6923076923000003E-2</v>
      </c>
      <c r="D985" s="2">
        <v>0</v>
      </c>
      <c r="E985" s="2">
        <v>1</v>
      </c>
      <c r="F985" s="2">
        <v>3.6381195198763698E-2</v>
      </c>
      <c r="G985" s="2">
        <v>2</v>
      </c>
    </row>
    <row r="986" spans="1:7" x14ac:dyDescent="0.2">
      <c r="A986" s="2" t="s">
        <v>20</v>
      </c>
      <c r="B986" s="14">
        <v>38657</v>
      </c>
      <c r="C986" s="2">
        <v>9.375E-2</v>
      </c>
      <c r="D986" s="2">
        <v>0</v>
      </c>
      <c r="E986" s="2">
        <v>1</v>
      </c>
      <c r="F986" s="2">
        <v>3.2848382448394199E-2</v>
      </c>
      <c r="G986" s="2">
        <v>2</v>
      </c>
    </row>
    <row r="987" spans="1:7" x14ac:dyDescent="0.2">
      <c r="A987" s="2" t="s">
        <v>20</v>
      </c>
      <c r="B987" s="14">
        <v>38687</v>
      </c>
      <c r="C987" s="2">
        <v>-0.10476190476</v>
      </c>
      <c r="D987" s="2">
        <v>0</v>
      </c>
      <c r="E987" s="2">
        <v>1</v>
      </c>
      <c r="F987" s="2">
        <v>3.5360780995757402E-2</v>
      </c>
      <c r="G987" s="2">
        <v>2</v>
      </c>
    </row>
    <row r="988" spans="1:7" x14ac:dyDescent="0.2">
      <c r="A988" s="2" t="s">
        <v>20</v>
      </c>
      <c r="B988" s="14">
        <v>38718</v>
      </c>
      <c r="C988" s="2">
        <v>1.0638297872E-2</v>
      </c>
      <c r="D988" s="2">
        <v>0</v>
      </c>
      <c r="E988" s="2">
        <v>1</v>
      </c>
      <c r="F988" s="2">
        <v>3.32355891454768E-2</v>
      </c>
      <c r="G988" s="2">
        <v>2</v>
      </c>
    </row>
    <row r="989" spans="1:7" x14ac:dyDescent="0.2">
      <c r="A989" s="2" t="s">
        <v>20</v>
      </c>
      <c r="B989" s="14">
        <v>38749</v>
      </c>
      <c r="C989" s="2">
        <v>0</v>
      </c>
      <c r="D989" s="2">
        <v>0</v>
      </c>
      <c r="E989" s="2">
        <v>1</v>
      </c>
      <c r="F989" s="2">
        <v>3.1378041639650599E-2</v>
      </c>
      <c r="G989" s="2">
        <v>2</v>
      </c>
    </row>
    <row r="990" spans="1:7" x14ac:dyDescent="0.2">
      <c r="A990" s="2" t="s">
        <v>20</v>
      </c>
      <c r="B990" s="14">
        <v>38777</v>
      </c>
      <c r="C990" s="2">
        <v>1.0526315789E-2</v>
      </c>
      <c r="D990" s="2">
        <v>0</v>
      </c>
      <c r="E990" s="2">
        <v>1</v>
      </c>
      <c r="F990" s="2">
        <v>2.4202065790834799E-2</v>
      </c>
      <c r="G990" s="2">
        <v>2</v>
      </c>
    </row>
    <row r="991" spans="1:7" x14ac:dyDescent="0.2">
      <c r="A991" s="2" t="s">
        <v>20</v>
      </c>
      <c r="B991" s="14">
        <v>38808</v>
      </c>
      <c r="C991" s="2">
        <v>5.2083333333999997E-2</v>
      </c>
      <c r="D991" s="2">
        <v>0</v>
      </c>
      <c r="E991" s="2">
        <v>1</v>
      </c>
      <c r="F991" s="2">
        <v>2.1376711728403299E-2</v>
      </c>
      <c r="G991" s="2">
        <v>2</v>
      </c>
    </row>
    <row r="992" spans="1:7" x14ac:dyDescent="0.2">
      <c r="A992" s="2" t="s">
        <v>20</v>
      </c>
      <c r="B992" s="14">
        <v>38838</v>
      </c>
      <c r="C992" s="2">
        <v>1.1849886447E-2</v>
      </c>
      <c r="D992" s="2">
        <v>0</v>
      </c>
      <c r="E992" s="2">
        <v>1</v>
      </c>
      <c r="F992" s="2">
        <v>2.4986129090259001E-2</v>
      </c>
      <c r="G992" s="2">
        <v>2</v>
      </c>
    </row>
    <row r="993" spans="1:7" x14ac:dyDescent="0.2">
      <c r="A993" s="2" t="s">
        <v>20</v>
      </c>
      <c r="B993" s="14">
        <v>38869</v>
      </c>
      <c r="C993" s="2">
        <v>-2.0202020187000001E-4</v>
      </c>
      <c r="D993" s="2">
        <v>0</v>
      </c>
      <c r="E993" s="2">
        <v>1</v>
      </c>
      <c r="F993" s="2">
        <v>2.2588490760706501E-2</v>
      </c>
      <c r="G993" s="2">
        <v>2</v>
      </c>
    </row>
    <row r="994" spans="1:7" x14ac:dyDescent="0.2">
      <c r="A994" s="2" t="s">
        <v>20</v>
      </c>
      <c r="B994" s="14">
        <v>38899</v>
      </c>
      <c r="C994" s="2">
        <v>2.0206102272E-4</v>
      </c>
      <c r="D994" s="2">
        <v>0</v>
      </c>
      <c r="E994" s="2">
        <v>1</v>
      </c>
      <c r="F994" s="2">
        <v>2.5599137005558801E-2</v>
      </c>
      <c r="G994" s="2">
        <v>2</v>
      </c>
    </row>
    <row r="995" spans="1:7" x14ac:dyDescent="0.2">
      <c r="A995" s="2" t="s">
        <v>20</v>
      </c>
      <c r="B995" s="14">
        <v>38930</v>
      </c>
      <c r="C995" s="2">
        <v>0</v>
      </c>
      <c r="D995" s="2">
        <v>0</v>
      </c>
      <c r="E995" s="2">
        <v>1</v>
      </c>
      <c r="F995" s="2">
        <v>2.51197579316303E-2</v>
      </c>
      <c r="G995" s="2">
        <v>2</v>
      </c>
    </row>
    <row r="996" spans="1:7" x14ac:dyDescent="0.2">
      <c r="A996" s="2" t="s">
        <v>20</v>
      </c>
      <c r="B996" s="14">
        <v>38961</v>
      </c>
      <c r="C996" s="2">
        <v>7.0707070706999997E-2</v>
      </c>
      <c r="D996" s="2">
        <v>0</v>
      </c>
      <c r="E996" s="2">
        <v>1</v>
      </c>
      <c r="F996" s="2">
        <v>2.4576308084825398E-2</v>
      </c>
      <c r="G996" s="2">
        <v>2</v>
      </c>
    </row>
    <row r="997" spans="1:7" x14ac:dyDescent="0.2">
      <c r="A997" s="2" t="s">
        <v>20</v>
      </c>
      <c r="B997" s="14">
        <v>38991</v>
      </c>
      <c r="C997" s="2">
        <v>9.4339622647000004E-3</v>
      </c>
      <c r="D997" s="2">
        <v>0</v>
      </c>
      <c r="E997" s="2">
        <v>1</v>
      </c>
      <c r="F997" s="2">
        <v>2.6073332733073201E-2</v>
      </c>
      <c r="G997" s="2">
        <v>2</v>
      </c>
    </row>
    <row r="998" spans="1:7" x14ac:dyDescent="0.2">
      <c r="A998" s="2" t="s">
        <v>20</v>
      </c>
      <c r="B998" s="14">
        <v>39022</v>
      </c>
      <c r="C998" s="2">
        <v>-6.5420560747000006E-2</v>
      </c>
      <c r="D998" s="2">
        <v>0</v>
      </c>
      <c r="E998" s="2">
        <v>1</v>
      </c>
      <c r="F998" s="2">
        <v>2.4697742961669499E-2</v>
      </c>
      <c r="G998" s="2">
        <v>2</v>
      </c>
    </row>
    <row r="999" spans="1:7" x14ac:dyDescent="0.2">
      <c r="A999" s="2" t="s">
        <v>20</v>
      </c>
      <c r="B999" s="14">
        <v>39052</v>
      </c>
      <c r="C999" s="2">
        <v>2.9999999999E-2</v>
      </c>
      <c r="D999" s="2">
        <v>0</v>
      </c>
      <c r="E999" s="2">
        <v>1</v>
      </c>
      <c r="F999" s="2">
        <v>2.2573777602710201E-2</v>
      </c>
      <c r="G999" s="2">
        <v>2</v>
      </c>
    </row>
    <row r="1000" spans="1:7" x14ac:dyDescent="0.2">
      <c r="A1000" s="2" t="s">
        <v>20</v>
      </c>
      <c r="B1000" s="14">
        <v>39083</v>
      </c>
      <c r="C1000" s="2">
        <v>9.7087378634999992E-3</v>
      </c>
      <c r="D1000" s="2">
        <v>0</v>
      </c>
      <c r="E1000" s="2">
        <v>1</v>
      </c>
      <c r="F1000" s="2">
        <v>2.3131876111117101E-2</v>
      </c>
      <c r="G1000" s="2">
        <v>2</v>
      </c>
    </row>
    <row r="1001" spans="1:7" x14ac:dyDescent="0.2">
      <c r="A1001" s="2" t="s">
        <v>20</v>
      </c>
      <c r="B1001" s="14">
        <v>39114</v>
      </c>
      <c r="C1001" s="2">
        <v>2.8846153845999999E-2</v>
      </c>
      <c r="D1001" s="2">
        <v>0</v>
      </c>
      <c r="E1001" s="2">
        <v>1</v>
      </c>
      <c r="F1001" s="2">
        <v>2.3384579074234101E-2</v>
      </c>
      <c r="G1001" s="2">
        <v>2</v>
      </c>
    </row>
    <row r="1002" spans="1:7" x14ac:dyDescent="0.2">
      <c r="A1002" s="2" t="s">
        <v>20</v>
      </c>
      <c r="B1002" s="14">
        <v>39142</v>
      </c>
      <c r="C1002" s="2">
        <v>1.8691588786E-2</v>
      </c>
      <c r="D1002" s="2">
        <v>0</v>
      </c>
      <c r="E1002" s="2">
        <v>1</v>
      </c>
      <c r="F1002" s="2">
        <v>2.4156957005549901E-2</v>
      </c>
      <c r="G1002" s="2">
        <v>2</v>
      </c>
    </row>
    <row r="1003" spans="1:7" x14ac:dyDescent="0.2">
      <c r="A1003" s="2" t="s">
        <v>20</v>
      </c>
      <c r="B1003" s="14">
        <v>39173</v>
      </c>
      <c r="D1003" s="2">
        <v>0</v>
      </c>
      <c r="E1003" s="2">
        <v>1</v>
      </c>
      <c r="F1003" s="2">
        <v>2.2612529014146399E-2</v>
      </c>
      <c r="G1003" s="2">
        <v>2</v>
      </c>
    </row>
    <row r="1004" spans="1:7" x14ac:dyDescent="0.2">
      <c r="A1004" s="2" t="s">
        <v>20</v>
      </c>
      <c r="B1004" s="14">
        <v>39203</v>
      </c>
      <c r="C1004" s="2">
        <v>9.3950688072999999E-2</v>
      </c>
      <c r="D1004" s="2">
        <v>0</v>
      </c>
      <c r="E1004" s="2">
        <v>1</v>
      </c>
      <c r="G1004" s="2">
        <v>2</v>
      </c>
    </row>
    <row r="1005" spans="1:7" x14ac:dyDescent="0.2">
      <c r="A1005" s="2" t="s">
        <v>20</v>
      </c>
      <c r="B1005" s="14">
        <v>39234</v>
      </c>
      <c r="C1005" s="2">
        <v>5.3571428571000002E-2</v>
      </c>
      <c r="D1005" s="2">
        <v>0</v>
      </c>
      <c r="E1005" s="2">
        <v>1</v>
      </c>
      <c r="F1005" s="2">
        <v>2.7030892185279799E-2</v>
      </c>
      <c r="G1005" s="2">
        <v>2</v>
      </c>
    </row>
    <row r="1006" spans="1:7" x14ac:dyDescent="0.2">
      <c r="A1006" s="2" t="s">
        <v>20</v>
      </c>
      <c r="B1006" s="14">
        <v>39264</v>
      </c>
      <c r="C1006" s="2">
        <v>2.5423728813999999E-2</v>
      </c>
      <c r="D1006" s="2">
        <v>0</v>
      </c>
      <c r="E1006" s="2">
        <v>1</v>
      </c>
      <c r="F1006" s="2">
        <v>2.76149889169547E-2</v>
      </c>
      <c r="G1006" s="2">
        <v>2</v>
      </c>
    </row>
    <row r="1007" spans="1:7" x14ac:dyDescent="0.2">
      <c r="A1007" s="2" t="s">
        <v>20</v>
      </c>
      <c r="B1007" s="14">
        <v>39295</v>
      </c>
      <c r="C1007" s="2">
        <v>7.4380165289999994E-2</v>
      </c>
      <c r="D1007" s="2">
        <v>0</v>
      </c>
      <c r="E1007" s="2">
        <v>1</v>
      </c>
      <c r="F1007" s="2">
        <v>2.6391691952773501E-2</v>
      </c>
      <c r="G1007" s="2">
        <v>2</v>
      </c>
    </row>
    <row r="1008" spans="1:7" x14ac:dyDescent="0.2">
      <c r="A1008" s="2" t="s">
        <v>20</v>
      </c>
      <c r="B1008" s="14">
        <v>39326</v>
      </c>
      <c r="C1008" s="2">
        <v>0</v>
      </c>
      <c r="D1008" s="2">
        <v>0</v>
      </c>
      <c r="E1008" s="2">
        <v>1</v>
      </c>
      <c r="F1008" s="2">
        <v>2.7573220943747399E-2</v>
      </c>
      <c r="G1008" s="2">
        <v>2</v>
      </c>
    </row>
    <row r="1009" spans="1:7" x14ac:dyDescent="0.2">
      <c r="A1009" s="2" t="s">
        <v>20</v>
      </c>
      <c r="B1009" s="14">
        <v>39356</v>
      </c>
      <c r="C1009" s="2">
        <v>3.0769230769000001E-2</v>
      </c>
      <c r="D1009" s="2">
        <v>0</v>
      </c>
      <c r="E1009" s="2">
        <v>1</v>
      </c>
      <c r="F1009" s="2">
        <v>2.7011968544103E-2</v>
      </c>
      <c r="G1009" s="2">
        <v>2</v>
      </c>
    </row>
    <row r="1010" spans="1:7" x14ac:dyDescent="0.2">
      <c r="A1010" s="2" t="s">
        <v>20</v>
      </c>
      <c r="B1010" s="14">
        <v>39387</v>
      </c>
      <c r="C1010" s="2">
        <v>1.4925373134000001E-2</v>
      </c>
      <c r="D1010" s="2">
        <v>0</v>
      </c>
      <c r="E1010" s="2">
        <v>1</v>
      </c>
      <c r="F1010" s="2">
        <v>2.7826003524693398E-2</v>
      </c>
      <c r="G1010" s="2">
        <v>2</v>
      </c>
    </row>
    <row r="1011" spans="1:7" x14ac:dyDescent="0.2">
      <c r="A1011" s="2" t="s">
        <v>20</v>
      </c>
      <c r="B1011" s="14">
        <v>39417</v>
      </c>
      <c r="C1011" s="2">
        <v>-1.4705882353000001E-2</v>
      </c>
      <c r="D1011" s="2">
        <v>0</v>
      </c>
      <c r="E1011" s="2">
        <v>1</v>
      </c>
      <c r="F1011" s="2">
        <v>2.52667955668954E-2</v>
      </c>
      <c r="G1011" s="2">
        <v>2</v>
      </c>
    </row>
    <row r="1012" spans="1:7" x14ac:dyDescent="0.2">
      <c r="A1012" s="2" t="s">
        <v>20</v>
      </c>
      <c r="B1012" s="14">
        <v>39448</v>
      </c>
      <c r="C1012" s="2">
        <v>-2.9850746268000002E-2</v>
      </c>
      <c r="D1012" s="2">
        <v>0</v>
      </c>
      <c r="E1012" s="2">
        <v>1</v>
      </c>
      <c r="F1012" s="2">
        <v>2.3396833951651701E-2</v>
      </c>
      <c r="G1012" s="2">
        <v>2</v>
      </c>
    </row>
    <row r="1013" spans="1:7" x14ac:dyDescent="0.2">
      <c r="A1013" s="2" t="s">
        <v>20</v>
      </c>
      <c r="B1013" s="14">
        <v>39479</v>
      </c>
      <c r="D1013" s="2">
        <v>0</v>
      </c>
      <c r="E1013" s="2">
        <v>1</v>
      </c>
      <c r="F1013" s="2">
        <v>2.1952594815069199E-2</v>
      </c>
      <c r="G1013" s="2">
        <v>2</v>
      </c>
    </row>
    <row r="1014" spans="1:7" x14ac:dyDescent="0.2">
      <c r="A1014" s="2" t="s">
        <v>20</v>
      </c>
      <c r="B1014" s="14">
        <v>39508</v>
      </c>
      <c r="C1014" s="2">
        <v>-3.0769230769999999E-2</v>
      </c>
      <c r="D1014" s="2">
        <v>0</v>
      </c>
      <c r="E1014" s="2">
        <v>1</v>
      </c>
      <c r="G1014" s="2">
        <v>2</v>
      </c>
    </row>
    <row r="1015" spans="1:7" x14ac:dyDescent="0.2">
      <c r="A1015" s="2" t="s">
        <v>20</v>
      </c>
      <c r="B1015" s="14">
        <v>39539</v>
      </c>
      <c r="D1015" s="2">
        <v>0</v>
      </c>
      <c r="E1015" s="2">
        <v>1</v>
      </c>
      <c r="F1015" s="2">
        <v>1.9099632928381401E-2</v>
      </c>
      <c r="G1015" s="2">
        <v>2</v>
      </c>
    </row>
    <row r="1016" spans="1:7" x14ac:dyDescent="0.2">
      <c r="A1016" s="2" t="s">
        <v>20</v>
      </c>
      <c r="B1016" s="14">
        <v>39569</v>
      </c>
      <c r="D1016" s="2">
        <v>0</v>
      </c>
      <c r="E1016" s="2">
        <v>1</v>
      </c>
      <c r="G1016" s="2">
        <v>2</v>
      </c>
    </row>
    <row r="1017" spans="1:7" x14ac:dyDescent="0.2">
      <c r="A1017" s="2" t="s">
        <v>20</v>
      </c>
      <c r="B1017" s="14">
        <v>39600</v>
      </c>
      <c r="C1017" s="2">
        <v>8.4033613439000003E-3</v>
      </c>
      <c r="D1017" s="2">
        <v>0</v>
      </c>
      <c r="E1017" s="2">
        <v>1</v>
      </c>
      <c r="G1017" s="2">
        <v>2</v>
      </c>
    </row>
    <row r="1018" spans="1:7" x14ac:dyDescent="0.2">
      <c r="A1018" s="2" t="s">
        <v>20</v>
      </c>
      <c r="B1018" s="14">
        <v>39630</v>
      </c>
      <c r="D1018" s="2">
        <v>0</v>
      </c>
      <c r="E1018" s="2">
        <v>1</v>
      </c>
      <c r="F1018" s="2">
        <v>1.8380229945054401E-2</v>
      </c>
      <c r="G1018" s="2">
        <v>2</v>
      </c>
    </row>
    <row r="1019" spans="1:7" x14ac:dyDescent="0.2">
      <c r="A1019" s="2" t="s">
        <v>20</v>
      </c>
      <c r="B1019" s="14">
        <v>39661</v>
      </c>
      <c r="C1019" s="2">
        <v>0</v>
      </c>
      <c r="D1019" s="2">
        <v>0</v>
      </c>
      <c r="E1019" s="2">
        <v>1</v>
      </c>
      <c r="G1019" s="2">
        <v>2</v>
      </c>
    </row>
    <row r="1020" spans="1:7" x14ac:dyDescent="0.2">
      <c r="A1020" s="2" t="s">
        <v>20</v>
      </c>
      <c r="B1020" s="14">
        <v>39692</v>
      </c>
      <c r="D1020" s="2">
        <v>0</v>
      </c>
      <c r="E1020" s="2">
        <v>1</v>
      </c>
      <c r="F1020" s="2">
        <v>1.6344155547973801E-2</v>
      </c>
      <c r="G1020" s="2">
        <v>2</v>
      </c>
    </row>
    <row r="1021" spans="1:7" x14ac:dyDescent="0.2">
      <c r="A1021" s="2" t="s">
        <v>20</v>
      </c>
      <c r="B1021" s="14">
        <v>39722</v>
      </c>
      <c r="C1021" s="2">
        <v>-8.3333333332999998E-2</v>
      </c>
      <c r="D1021" s="2">
        <v>0</v>
      </c>
      <c r="E1021" s="2">
        <v>1</v>
      </c>
      <c r="G1021" s="2">
        <v>2</v>
      </c>
    </row>
    <row r="1022" spans="1:7" x14ac:dyDescent="0.2">
      <c r="A1022" s="2" t="s">
        <v>20</v>
      </c>
      <c r="B1022" s="14">
        <v>39753</v>
      </c>
      <c r="D1022" s="2">
        <v>0</v>
      </c>
      <c r="E1022" s="2">
        <v>1</v>
      </c>
      <c r="F1022" s="2">
        <v>1.5245516326427001E-2</v>
      </c>
      <c r="G1022" s="2">
        <v>2</v>
      </c>
    </row>
    <row r="1023" spans="1:7" x14ac:dyDescent="0.2">
      <c r="A1023" s="2" t="s">
        <v>20</v>
      </c>
      <c r="B1023" s="14">
        <v>39783</v>
      </c>
      <c r="C1023" s="2">
        <v>0</v>
      </c>
      <c r="D1023" s="2">
        <v>0</v>
      </c>
      <c r="E1023" s="2">
        <v>1</v>
      </c>
      <c r="G1023" s="2">
        <v>2</v>
      </c>
    </row>
    <row r="1024" spans="1:7" x14ac:dyDescent="0.2">
      <c r="A1024" s="2" t="s">
        <v>21</v>
      </c>
      <c r="B1024" s="14">
        <v>37591</v>
      </c>
      <c r="C1024" s="2">
        <v>7.8740459030000008E-3</v>
      </c>
      <c r="D1024" s="2">
        <v>-1.4778759999999999E-3</v>
      </c>
      <c r="E1024" s="2">
        <v>1</v>
      </c>
      <c r="G1024" s="2">
        <v>2</v>
      </c>
    </row>
    <row r="1025" spans="1:7" x14ac:dyDescent="0.2">
      <c r="A1025" s="2" t="s">
        <v>21</v>
      </c>
      <c r="B1025" s="14">
        <v>37622</v>
      </c>
      <c r="C1025" s="2">
        <v>3.9062648430000001E-3</v>
      </c>
      <c r="D1025" s="2">
        <v>-1.5463305E-3</v>
      </c>
      <c r="E1025" s="2">
        <v>1</v>
      </c>
      <c r="G1025" s="2">
        <v>2</v>
      </c>
    </row>
    <row r="1026" spans="1:7" x14ac:dyDescent="0.2">
      <c r="A1026" s="2" t="s">
        <v>21</v>
      </c>
      <c r="B1026" s="14">
        <v>37653</v>
      </c>
      <c r="C1026" s="2">
        <v>1.1673121719E-2</v>
      </c>
      <c r="D1026" s="2">
        <v>-1.2626053000000001E-3</v>
      </c>
      <c r="E1026" s="2">
        <v>1</v>
      </c>
      <c r="G1026" s="2">
        <v>2</v>
      </c>
    </row>
    <row r="1027" spans="1:7" x14ac:dyDescent="0.2">
      <c r="A1027" s="2" t="s">
        <v>21</v>
      </c>
      <c r="B1027" s="14">
        <v>37681</v>
      </c>
      <c r="C1027" s="2">
        <v>-1.1538432194E-2</v>
      </c>
      <c r="D1027" s="2">
        <v>-3.1600542999999999E-3</v>
      </c>
      <c r="E1027" s="2">
        <v>1</v>
      </c>
      <c r="G1027" s="2">
        <v>2</v>
      </c>
    </row>
    <row r="1028" spans="1:7" x14ac:dyDescent="0.2">
      <c r="A1028" s="2" t="s">
        <v>21</v>
      </c>
      <c r="B1028" s="14">
        <v>37712</v>
      </c>
      <c r="C1028" s="2">
        <v>0.14319059487999999</v>
      </c>
      <c r="D1028" s="2">
        <v>-9.5546385E-4</v>
      </c>
      <c r="E1028" s="2">
        <v>1</v>
      </c>
      <c r="G1028" s="2">
        <v>2</v>
      </c>
    </row>
    <row r="1029" spans="1:7" x14ac:dyDescent="0.2">
      <c r="A1029" s="2" t="s">
        <v>21</v>
      </c>
      <c r="B1029" s="14">
        <v>37742</v>
      </c>
      <c r="C1029" s="2">
        <v>6.9035057590999996E-2</v>
      </c>
      <c r="D1029" s="2">
        <v>-4.8767253999999999E-4</v>
      </c>
      <c r="E1029" s="2">
        <v>1</v>
      </c>
      <c r="G1029" s="2">
        <v>2</v>
      </c>
    </row>
    <row r="1030" spans="1:7" x14ac:dyDescent="0.2">
      <c r="A1030" s="2" t="s">
        <v>21</v>
      </c>
      <c r="B1030" s="14">
        <v>37773</v>
      </c>
      <c r="C1030" s="2">
        <v>-7.7027049232000003E-2</v>
      </c>
      <c r="D1030" s="19">
        <v>-2.3007689999999998E-6</v>
      </c>
      <c r="E1030" s="2">
        <v>1</v>
      </c>
      <c r="G1030" s="2">
        <v>2</v>
      </c>
    </row>
    <row r="1031" spans="1:7" x14ac:dyDescent="0.2">
      <c r="A1031" s="2" t="s">
        <v>21</v>
      </c>
      <c r="B1031" s="14">
        <v>37803</v>
      </c>
      <c r="C1031" s="2">
        <v>0.1127379194</v>
      </c>
      <c r="D1031" s="2">
        <v>-1.1945058000000001E-3</v>
      </c>
      <c r="E1031" s="2">
        <v>1</v>
      </c>
      <c r="G1031" s="2">
        <v>2</v>
      </c>
    </row>
    <row r="1032" spans="1:7" x14ac:dyDescent="0.2">
      <c r="A1032" s="2" t="s">
        <v>21</v>
      </c>
      <c r="B1032" s="14">
        <v>37834</v>
      </c>
      <c r="C1032" s="2">
        <v>-6.9078960783000007E-2</v>
      </c>
      <c r="D1032" s="2">
        <v>-2.2454505999999999E-4</v>
      </c>
      <c r="E1032" s="2">
        <v>1</v>
      </c>
      <c r="F1032" s="2">
        <v>9.9289124909305807E-3</v>
      </c>
      <c r="G1032" s="2">
        <v>2</v>
      </c>
    </row>
    <row r="1033" spans="1:7" x14ac:dyDescent="0.2">
      <c r="A1033" s="2" t="s">
        <v>21</v>
      </c>
      <c r="B1033" s="14">
        <v>37865</v>
      </c>
      <c r="C1033" s="2">
        <v>3.8869272479000003E-2</v>
      </c>
      <c r="D1033" s="19">
        <v>-8.7144481000000004E-6</v>
      </c>
      <c r="E1033" s="2">
        <v>1</v>
      </c>
      <c r="F1033" s="2">
        <v>7.82387877793898E-3</v>
      </c>
      <c r="G1033" s="2">
        <v>2</v>
      </c>
    </row>
    <row r="1034" spans="1:7" x14ac:dyDescent="0.2">
      <c r="A1034" s="2" t="s">
        <v>21</v>
      </c>
      <c r="B1034" s="14">
        <v>37895</v>
      </c>
      <c r="C1034" s="2">
        <v>-1.3605429378E-2</v>
      </c>
      <c r="D1034" s="2">
        <v>1.0150417E-3</v>
      </c>
      <c r="E1034" s="2">
        <v>1</v>
      </c>
      <c r="F1034" s="2">
        <v>9.1001971982642097E-3</v>
      </c>
      <c r="G1034" s="2">
        <v>2</v>
      </c>
    </row>
    <row r="1035" spans="1:7" x14ac:dyDescent="0.2">
      <c r="A1035" s="2" t="s">
        <v>21</v>
      </c>
      <c r="B1035" s="14">
        <v>37926</v>
      </c>
      <c r="C1035" s="2">
        <v>-2.0689655173000001E-2</v>
      </c>
      <c r="D1035" s="2">
        <v>-1.1721464999999999E-3</v>
      </c>
      <c r="E1035" s="2">
        <v>1</v>
      </c>
      <c r="F1035" s="2">
        <v>4.5402544496749297E-3</v>
      </c>
      <c r="G1035" s="2">
        <v>2</v>
      </c>
    </row>
    <row r="1036" spans="1:7" x14ac:dyDescent="0.2">
      <c r="A1036" s="2" t="s">
        <v>21</v>
      </c>
      <c r="B1036" s="14">
        <v>37956</v>
      </c>
      <c r="C1036" s="2">
        <v>-3.9436619718999998E-2</v>
      </c>
      <c r="D1036" s="2">
        <v>-3.7910200999999999E-4</v>
      </c>
      <c r="E1036" s="2">
        <v>1</v>
      </c>
      <c r="F1036" s="2">
        <v>1.94798612895192E-3</v>
      </c>
      <c r="G1036" s="2">
        <v>2</v>
      </c>
    </row>
    <row r="1037" spans="1:7" x14ac:dyDescent="0.2">
      <c r="A1037" s="2" t="s">
        <v>21</v>
      </c>
      <c r="B1037" s="14">
        <v>37987</v>
      </c>
      <c r="C1037" s="2">
        <v>8.8709677419999994E-2</v>
      </c>
      <c r="E1037" s="2">
        <v>1</v>
      </c>
      <c r="F1037" s="2">
        <v>3.1023743471481199E-3</v>
      </c>
      <c r="G1037" s="2">
        <v>2</v>
      </c>
    </row>
    <row r="1038" spans="1:7" x14ac:dyDescent="0.2">
      <c r="A1038" s="2" t="s">
        <v>21</v>
      </c>
      <c r="B1038" s="14">
        <v>38018</v>
      </c>
      <c r="C1038" s="2">
        <v>5.7239057237999998E-2</v>
      </c>
      <c r="E1038" s="2">
        <v>1</v>
      </c>
      <c r="F1038" s="2">
        <v>2.27794157722926E-3</v>
      </c>
      <c r="G1038" s="2">
        <v>2</v>
      </c>
    </row>
    <row r="1039" spans="1:7" x14ac:dyDescent="0.2">
      <c r="A1039" s="2" t="s">
        <v>21</v>
      </c>
      <c r="B1039" s="14">
        <v>38047</v>
      </c>
      <c r="C1039" s="2">
        <v>9.5541401279000005E-3</v>
      </c>
      <c r="D1039" s="2">
        <v>1.4911434E-3</v>
      </c>
      <c r="E1039" s="2">
        <v>1</v>
      </c>
      <c r="F1039" s="2">
        <v>5.8149717645200397E-3</v>
      </c>
      <c r="G1039" s="2">
        <v>2</v>
      </c>
    </row>
    <row r="1040" spans="1:7" x14ac:dyDescent="0.2">
      <c r="A1040" s="2" t="s">
        <v>21</v>
      </c>
      <c r="B1040" s="14">
        <v>38078</v>
      </c>
      <c r="C1040" s="2">
        <v>1.4747548159E-2</v>
      </c>
      <c r="D1040" s="19">
        <v>3.7145894000000001E-6</v>
      </c>
      <c r="E1040" s="2">
        <v>1</v>
      </c>
      <c r="F1040" s="2">
        <v>4.9338476787754697E-3</v>
      </c>
      <c r="G1040" s="2">
        <v>2</v>
      </c>
    </row>
    <row r="1041" spans="1:7" x14ac:dyDescent="0.2">
      <c r="A1041" s="2" t="s">
        <v>21</v>
      </c>
      <c r="B1041" s="14">
        <v>38108</v>
      </c>
      <c r="C1041" s="2">
        <v>6.3333333334E-2</v>
      </c>
      <c r="D1041" s="19">
        <v>8.0659658000000001E-5</v>
      </c>
      <c r="E1041" s="2">
        <v>1</v>
      </c>
      <c r="F1041" s="2">
        <v>5.6821683845762602E-3</v>
      </c>
      <c r="G1041" s="2">
        <v>2</v>
      </c>
    </row>
    <row r="1042" spans="1:7" x14ac:dyDescent="0.2">
      <c r="A1042" s="2" t="s">
        <v>21</v>
      </c>
      <c r="B1042" s="14">
        <v>38139</v>
      </c>
      <c r="C1042" s="2">
        <v>1.5673981191999999E-2</v>
      </c>
      <c r="D1042" s="2">
        <v>0</v>
      </c>
      <c r="E1042" s="2">
        <v>1</v>
      </c>
      <c r="F1042" s="2">
        <v>7.9616069318787699E-3</v>
      </c>
      <c r="G1042" s="2">
        <v>2</v>
      </c>
    </row>
    <row r="1043" spans="1:7" x14ac:dyDescent="0.2">
      <c r="A1043" s="2" t="s">
        <v>21</v>
      </c>
      <c r="B1043" s="14">
        <v>38169</v>
      </c>
      <c r="C1043" s="2">
        <v>2.9012345679999999E-2</v>
      </c>
      <c r="D1043" s="19">
        <v>7.8006378000000006E-5</v>
      </c>
      <c r="E1043" s="2">
        <v>1</v>
      </c>
      <c r="F1043" s="2">
        <v>9.3844029632308597E-3</v>
      </c>
      <c r="G1043" s="2">
        <v>2</v>
      </c>
    </row>
    <row r="1044" spans="1:7" x14ac:dyDescent="0.2">
      <c r="A1044" s="2" t="s">
        <v>21</v>
      </c>
      <c r="B1044" s="14">
        <v>38200</v>
      </c>
      <c r="C1044" s="2">
        <v>-1.019796041E-2</v>
      </c>
      <c r="D1044" s="2">
        <v>3.9268518000000002E-4</v>
      </c>
      <c r="E1044" s="2">
        <v>1</v>
      </c>
      <c r="F1044" s="2">
        <v>7.2645376942185296E-3</v>
      </c>
      <c r="G1044" s="2">
        <v>2</v>
      </c>
    </row>
    <row r="1045" spans="1:7" x14ac:dyDescent="0.2">
      <c r="A1045" s="2" t="s">
        <v>21</v>
      </c>
      <c r="B1045" s="14">
        <v>38231</v>
      </c>
      <c r="C1045" s="2">
        <v>-1.2121212122E-2</v>
      </c>
      <c r="D1045" s="19">
        <v>-8.3836902999999998E-6</v>
      </c>
      <c r="E1045" s="2">
        <v>1</v>
      </c>
      <c r="F1045" s="2">
        <v>5.2028728866413401E-3</v>
      </c>
      <c r="G1045" s="2">
        <v>2</v>
      </c>
    </row>
    <row r="1046" spans="1:7" x14ac:dyDescent="0.2">
      <c r="A1046" s="2" t="s">
        <v>21</v>
      </c>
      <c r="B1046" s="14">
        <v>38261</v>
      </c>
      <c r="C1046" s="2">
        <v>6.1349693260000001E-3</v>
      </c>
      <c r="D1046" s="19">
        <v>-2.1756881E-5</v>
      </c>
      <c r="E1046" s="2">
        <v>1</v>
      </c>
      <c r="F1046" s="2">
        <v>4.6133622577408601E-3</v>
      </c>
      <c r="G1046" s="2">
        <v>2</v>
      </c>
    </row>
    <row r="1047" spans="1:7" x14ac:dyDescent="0.2">
      <c r="A1047" s="2" t="s">
        <v>21</v>
      </c>
      <c r="B1047" s="14">
        <v>38292</v>
      </c>
      <c r="C1047" s="2">
        <v>1.8292682929E-2</v>
      </c>
      <c r="D1047" s="2">
        <v>-2.3454979000000001E-4</v>
      </c>
      <c r="E1047" s="2">
        <v>1</v>
      </c>
      <c r="F1047" s="2">
        <v>4.3331133079262396E-3</v>
      </c>
      <c r="G1047" s="2">
        <v>2</v>
      </c>
    </row>
    <row r="1048" spans="1:7" x14ac:dyDescent="0.2">
      <c r="A1048" s="2" t="s">
        <v>21</v>
      </c>
      <c r="B1048" s="14">
        <v>38322</v>
      </c>
      <c r="C1048" s="2">
        <v>8.0838323352999994E-2</v>
      </c>
      <c r="D1048" s="2">
        <v>1.0666178E-4</v>
      </c>
      <c r="E1048" s="2">
        <v>1</v>
      </c>
      <c r="F1048" s="2">
        <v>2.9548519498454901E-3</v>
      </c>
      <c r="G1048" s="2">
        <v>2</v>
      </c>
    </row>
    <row r="1049" spans="1:7" x14ac:dyDescent="0.2">
      <c r="A1049" s="2" t="s">
        <v>21</v>
      </c>
      <c r="B1049" s="14">
        <v>38353</v>
      </c>
      <c r="C1049" s="2">
        <v>-2.7700831023999999E-3</v>
      </c>
      <c r="D1049" s="2">
        <v>2.8283946000000001E-4</v>
      </c>
      <c r="E1049" s="2">
        <v>1</v>
      </c>
      <c r="F1049" s="2">
        <v>4.6348408237977699E-3</v>
      </c>
      <c r="G1049" s="2">
        <v>2</v>
      </c>
    </row>
    <row r="1050" spans="1:7" x14ac:dyDescent="0.2">
      <c r="A1050" s="2" t="s">
        <v>21</v>
      </c>
      <c r="B1050" s="14">
        <v>38384</v>
      </c>
      <c r="C1050" s="2">
        <v>7.2222222220999999E-2</v>
      </c>
      <c r="D1050" s="19">
        <v>-7.8006378000000006E-5</v>
      </c>
      <c r="E1050" s="2">
        <v>1</v>
      </c>
      <c r="F1050" s="2">
        <v>3.6416900636505102E-3</v>
      </c>
      <c r="G1050" s="2">
        <v>2</v>
      </c>
    </row>
    <row r="1051" spans="1:7" x14ac:dyDescent="0.2">
      <c r="A1051" s="2" t="s">
        <v>21</v>
      </c>
      <c r="B1051" s="14">
        <v>38412</v>
      </c>
      <c r="C1051" s="2">
        <v>-3.6269430051000001E-2</v>
      </c>
      <c r="D1051" s="19">
        <v>-5.3065564000000004E-6</v>
      </c>
      <c r="E1051" s="2">
        <v>1</v>
      </c>
      <c r="F1051" s="2">
        <v>5.8987797996112199E-3</v>
      </c>
      <c r="G1051" s="2">
        <v>2</v>
      </c>
    </row>
    <row r="1052" spans="1:7" x14ac:dyDescent="0.2">
      <c r="A1052" s="2" t="s">
        <v>21</v>
      </c>
      <c r="B1052" s="14">
        <v>38443</v>
      </c>
      <c r="C1052" s="2">
        <v>-1.2496558132000001E-2</v>
      </c>
      <c r="D1052" s="19">
        <v>-4.7759007E-5</v>
      </c>
      <c r="E1052" s="2">
        <v>1</v>
      </c>
      <c r="F1052" s="2">
        <v>5.3663163444616401E-3</v>
      </c>
      <c r="G1052" s="2">
        <v>2</v>
      </c>
    </row>
    <row r="1053" spans="1:7" x14ac:dyDescent="0.2">
      <c r="A1053" s="2" t="s">
        <v>21</v>
      </c>
      <c r="B1053" s="14">
        <v>38473</v>
      </c>
      <c r="C1053" s="2">
        <v>8.6705202338999993E-3</v>
      </c>
      <c r="D1053" s="2">
        <v>1.1674424E-4</v>
      </c>
      <c r="E1053" s="2">
        <v>1</v>
      </c>
      <c r="F1053" s="2">
        <v>5.0152550344546897E-3</v>
      </c>
      <c r="G1053" s="2">
        <v>2</v>
      </c>
    </row>
    <row r="1054" spans="1:7" x14ac:dyDescent="0.2">
      <c r="A1054" s="2" t="s">
        <v>21</v>
      </c>
      <c r="B1054" s="14">
        <v>38504</v>
      </c>
      <c r="C1054" s="2">
        <v>2.5787965614999998E-2</v>
      </c>
      <c r="D1054" s="2">
        <v>-1.8679077999999999E-4</v>
      </c>
      <c r="E1054" s="2">
        <v>1</v>
      </c>
      <c r="F1054" s="2">
        <v>4.6638743248559201E-3</v>
      </c>
      <c r="G1054" s="2">
        <v>2</v>
      </c>
    </row>
    <row r="1055" spans="1:7" x14ac:dyDescent="0.2">
      <c r="A1055" s="2" t="s">
        <v>21</v>
      </c>
      <c r="B1055" s="14">
        <v>38534</v>
      </c>
      <c r="C1055" s="2">
        <v>3.3519553071999997E-2</v>
      </c>
      <c r="D1055" s="2">
        <v>-4.0360190999999997E-3</v>
      </c>
      <c r="E1055" s="2">
        <v>1</v>
      </c>
      <c r="F1055" s="2">
        <v>3.0191184781386202E-3</v>
      </c>
      <c r="G1055" s="2">
        <v>2</v>
      </c>
    </row>
    <row r="1056" spans="1:7" x14ac:dyDescent="0.2">
      <c r="A1056" s="2" t="s">
        <v>21</v>
      </c>
      <c r="B1056" s="14">
        <v>38565</v>
      </c>
      <c r="C1056" s="2">
        <v>7.8378378378999997E-2</v>
      </c>
      <c r="D1056" s="2">
        <v>-1.2552115E-3</v>
      </c>
      <c r="E1056" s="2">
        <v>1</v>
      </c>
      <c r="F1056" s="2">
        <v>-1.3418735250517099E-3</v>
      </c>
      <c r="G1056" s="2">
        <v>2</v>
      </c>
    </row>
    <row r="1057" spans="1:7" x14ac:dyDescent="0.2">
      <c r="A1057" s="2" t="s">
        <v>21</v>
      </c>
      <c r="B1057" s="14">
        <v>38596</v>
      </c>
      <c r="C1057" s="2">
        <v>0.11528822055</v>
      </c>
      <c r="D1057" s="2">
        <v>1.1791168E-4</v>
      </c>
      <c r="E1057" s="2">
        <v>1</v>
      </c>
      <c r="F1057" s="2">
        <v>-1.2691377685224001E-3</v>
      </c>
      <c r="G1057" s="2">
        <v>2</v>
      </c>
    </row>
    <row r="1058" spans="1:7" x14ac:dyDescent="0.2">
      <c r="A1058" s="2" t="s">
        <v>21</v>
      </c>
      <c r="B1058" s="14">
        <v>38626</v>
      </c>
      <c r="C1058" s="2">
        <v>-7.8651685393000006E-2</v>
      </c>
      <c r="D1058" s="2">
        <v>-3.1786272000000002E-4</v>
      </c>
      <c r="E1058" s="2">
        <v>1</v>
      </c>
      <c r="F1058" s="2">
        <v>2.9892682178311002E-3</v>
      </c>
      <c r="G1058" s="2">
        <v>2</v>
      </c>
    </row>
    <row r="1059" spans="1:7" x14ac:dyDescent="0.2">
      <c r="A1059" s="2" t="s">
        <v>21</v>
      </c>
      <c r="B1059" s="14">
        <v>38657</v>
      </c>
      <c r="C1059" s="2">
        <v>5.4146341463E-2</v>
      </c>
      <c r="D1059" s="19">
        <v>1.6001708000000002E-5</v>
      </c>
      <c r="E1059" s="2">
        <v>1</v>
      </c>
      <c r="F1059" s="2">
        <v>1.4517908566647601E-3</v>
      </c>
      <c r="G1059" s="2">
        <v>2</v>
      </c>
    </row>
    <row r="1060" spans="1:7" x14ac:dyDescent="0.2">
      <c r="A1060" s="2" t="s">
        <v>21</v>
      </c>
      <c r="B1060" s="14">
        <v>38687</v>
      </c>
      <c r="C1060" s="2">
        <v>-4.6274872692999999E-4</v>
      </c>
      <c r="D1060" s="2">
        <v>1.1143769E-4</v>
      </c>
      <c r="E1060" s="2">
        <v>1</v>
      </c>
      <c r="F1060" s="2">
        <v>2.6561217779288398E-3</v>
      </c>
      <c r="G1060" s="2">
        <v>2</v>
      </c>
    </row>
    <row r="1061" spans="1:7" x14ac:dyDescent="0.2">
      <c r="A1061" s="2" t="s">
        <v>21</v>
      </c>
      <c r="B1061" s="14">
        <v>38718</v>
      </c>
      <c r="C1061" s="2">
        <v>0.15462962961999999</v>
      </c>
      <c r="D1061" s="2">
        <v>-4.3938286000000002E-4</v>
      </c>
      <c r="E1061" s="2">
        <v>1</v>
      </c>
      <c r="F1061" s="2">
        <v>1.8598479779774299E-3</v>
      </c>
      <c r="G1061" s="2">
        <v>2</v>
      </c>
    </row>
    <row r="1062" spans="1:7" x14ac:dyDescent="0.2">
      <c r="A1062" s="2" t="s">
        <v>21</v>
      </c>
      <c r="B1062" s="14">
        <v>38749</v>
      </c>
      <c r="C1062" s="2">
        <v>-4.6110665597E-2</v>
      </c>
      <c r="D1062" s="2">
        <v>-1.7564702E-4</v>
      </c>
      <c r="E1062" s="2">
        <v>1</v>
      </c>
      <c r="F1062" s="2">
        <v>5.2481552886348296E-3</v>
      </c>
      <c r="G1062" s="2">
        <v>2</v>
      </c>
    </row>
    <row r="1063" spans="1:7" x14ac:dyDescent="0.2">
      <c r="A1063" s="2" t="s">
        <v>21</v>
      </c>
      <c r="B1063" s="14">
        <v>38777</v>
      </c>
      <c r="C1063" s="2">
        <v>-7.3139974780000006E-2</v>
      </c>
      <c r="D1063" s="2">
        <v>-5.6408694999999999E-4</v>
      </c>
      <c r="E1063" s="2">
        <v>1</v>
      </c>
      <c r="F1063" s="2">
        <v>1.8092328022719299E-3</v>
      </c>
      <c r="G1063" s="2">
        <v>2</v>
      </c>
    </row>
    <row r="1064" spans="1:7" x14ac:dyDescent="0.2">
      <c r="A1064" s="2" t="s">
        <v>21</v>
      </c>
      <c r="B1064" s="14">
        <v>38808</v>
      </c>
      <c r="C1064" s="2">
        <v>2.0784795286E-2</v>
      </c>
      <c r="D1064" s="2">
        <v>-1.6395601E-4</v>
      </c>
      <c r="E1064" s="2">
        <v>1</v>
      </c>
      <c r="F1064" s="2">
        <v>-3.3916323597349501E-3</v>
      </c>
      <c r="G1064" s="2">
        <v>2</v>
      </c>
    </row>
    <row r="1065" spans="1:7" x14ac:dyDescent="0.2">
      <c r="A1065" s="2" t="s">
        <v>21</v>
      </c>
      <c r="B1065" s="14">
        <v>38838</v>
      </c>
      <c r="C1065" s="2">
        <v>-3.1379787726000002E-2</v>
      </c>
      <c r="D1065" s="2">
        <v>-2.5893195E-4</v>
      </c>
      <c r="E1065" s="2">
        <v>1</v>
      </c>
      <c r="F1065" s="2">
        <v>-4.9432046248811001E-4</v>
      </c>
      <c r="G1065" s="2">
        <v>2</v>
      </c>
    </row>
    <row r="1066" spans="1:7" x14ac:dyDescent="0.2">
      <c r="A1066" s="2" t="s">
        <v>21</v>
      </c>
      <c r="B1066" s="14">
        <v>38869</v>
      </c>
      <c r="C1066" s="2">
        <v>-7.1462601235999998E-3</v>
      </c>
      <c r="D1066" s="19">
        <v>8.1190315999999998E-5</v>
      </c>
      <c r="E1066" s="2">
        <v>1</v>
      </c>
      <c r="F1066" s="2">
        <v>-2.8602343655107702E-3</v>
      </c>
      <c r="G1066" s="2">
        <v>2</v>
      </c>
    </row>
    <row r="1067" spans="1:7" x14ac:dyDescent="0.2">
      <c r="A1067" s="2" t="s">
        <v>21</v>
      </c>
      <c r="B1067" s="14">
        <v>38899</v>
      </c>
      <c r="C1067" s="2">
        <v>-2.6391554700999999E-2</v>
      </c>
      <c r="D1067" s="2">
        <v>3.0952977000000002E-4</v>
      </c>
      <c r="E1067" s="2">
        <v>1</v>
      </c>
      <c r="F1067" s="2">
        <v>-3.0236140725515598E-3</v>
      </c>
      <c r="G1067" s="2">
        <v>2</v>
      </c>
    </row>
    <row r="1068" spans="1:7" x14ac:dyDescent="0.2">
      <c r="A1068" s="2" t="s">
        <v>21</v>
      </c>
      <c r="B1068" s="14">
        <v>38930</v>
      </c>
      <c r="C1068" s="2">
        <v>0.10793494332</v>
      </c>
      <c r="D1068" s="19">
        <v>5.1595743999999998E-5</v>
      </c>
      <c r="E1068" s="2">
        <v>1</v>
      </c>
      <c r="F1068" s="2">
        <v>-1.0826460494504199E-2</v>
      </c>
      <c r="G1068" s="2">
        <v>2</v>
      </c>
    </row>
    <row r="1069" spans="1:7" x14ac:dyDescent="0.2">
      <c r="A1069" s="2" t="s">
        <v>21</v>
      </c>
      <c r="B1069" s="14">
        <v>38961</v>
      </c>
      <c r="C1069" s="2">
        <v>4.5373665479999999E-2</v>
      </c>
      <c r="D1069" s="19">
        <v>-8.3510639999999996E-5</v>
      </c>
      <c r="E1069" s="2">
        <v>1</v>
      </c>
      <c r="F1069" s="2">
        <v>-6.5565571050587197E-3</v>
      </c>
      <c r="G1069" s="2">
        <v>2</v>
      </c>
    </row>
    <row r="1070" spans="1:7" x14ac:dyDescent="0.2">
      <c r="A1070" s="2" t="s">
        <v>21</v>
      </c>
      <c r="B1070" s="14">
        <v>38991</v>
      </c>
      <c r="C1070" s="2">
        <v>4.2127659572999999E-2</v>
      </c>
      <c r="D1070" s="2">
        <v>5.6567892999999998E-4</v>
      </c>
      <c r="E1070" s="2">
        <v>1</v>
      </c>
      <c r="F1070" s="2">
        <v>-3.3479010248343099E-3</v>
      </c>
      <c r="G1070" s="2">
        <v>2</v>
      </c>
    </row>
    <row r="1071" spans="1:7" x14ac:dyDescent="0.2">
      <c r="A1071" s="2" t="s">
        <v>21</v>
      </c>
      <c r="B1071" s="14">
        <v>39022</v>
      </c>
      <c r="C1071" s="2">
        <v>8.5749285427000003E-3</v>
      </c>
      <c r="D1071" s="19">
        <v>2.1226226E-6</v>
      </c>
      <c r="E1071" s="2">
        <v>1</v>
      </c>
      <c r="F1071" s="2">
        <v>-2.9255805222329701E-3</v>
      </c>
      <c r="G1071" s="2">
        <v>2</v>
      </c>
    </row>
    <row r="1072" spans="1:7" x14ac:dyDescent="0.2">
      <c r="A1072" s="2" t="s">
        <v>21</v>
      </c>
      <c r="B1072" s="14">
        <v>39052</v>
      </c>
      <c r="C1072" s="2">
        <v>4.0485829958999998E-3</v>
      </c>
      <c r="D1072" s="2">
        <v>2.5232675999999998E-3</v>
      </c>
      <c r="E1072" s="2">
        <v>1</v>
      </c>
      <c r="F1072" s="2">
        <v>-1.80647051639132E-3</v>
      </c>
      <c r="G1072" s="2">
        <v>2</v>
      </c>
    </row>
    <row r="1073" spans="1:7" x14ac:dyDescent="0.2">
      <c r="A1073" s="2" t="s">
        <v>21</v>
      </c>
      <c r="B1073" s="14">
        <v>39083</v>
      </c>
      <c r="C1073" s="2">
        <v>4.2338709677999999E-2</v>
      </c>
      <c r="D1073" s="19">
        <v>-1.6450335999999999E-5</v>
      </c>
      <c r="E1073" s="2">
        <v>1</v>
      </c>
      <c r="F1073" s="2">
        <v>-1.4939741256728299E-3</v>
      </c>
      <c r="G1073" s="2">
        <v>2</v>
      </c>
    </row>
    <row r="1074" spans="1:7" x14ac:dyDescent="0.2">
      <c r="A1074" s="2" t="s">
        <v>21</v>
      </c>
      <c r="B1074" s="14">
        <v>39114</v>
      </c>
      <c r="C1074" s="2">
        <v>-3.2882011606000003E-2</v>
      </c>
      <c r="D1074" s="2">
        <v>1.9103615999999999E-4</v>
      </c>
      <c r="E1074" s="2">
        <v>1</v>
      </c>
      <c r="F1074" s="2">
        <v>1.05615301314701E-4</v>
      </c>
      <c r="G1074" s="2">
        <v>2</v>
      </c>
    </row>
    <row r="1075" spans="1:7" x14ac:dyDescent="0.2">
      <c r="A1075" s="2" t="s">
        <v>21</v>
      </c>
      <c r="B1075" s="14">
        <v>39142</v>
      </c>
      <c r="C1075" s="2">
        <v>3.4799999998999999E-2</v>
      </c>
      <c r="D1075" s="19">
        <v>4.2452481000000002E-5</v>
      </c>
      <c r="E1075" s="2">
        <v>1</v>
      </c>
      <c r="F1075" s="2">
        <v>-3.90866152294864E-3</v>
      </c>
      <c r="G1075" s="2">
        <v>2</v>
      </c>
    </row>
    <row r="1076" spans="1:7" x14ac:dyDescent="0.2">
      <c r="A1076" s="2" t="s">
        <v>21</v>
      </c>
      <c r="B1076" s="14">
        <v>39173</v>
      </c>
      <c r="C1076" s="2">
        <v>1.088627434E-2</v>
      </c>
      <c r="D1076" s="2">
        <v>-1.8042291000000001E-4</v>
      </c>
      <c r="E1076" s="2">
        <v>1</v>
      </c>
      <c r="F1076" s="2">
        <v>-4.4250612079775702E-3</v>
      </c>
      <c r="G1076" s="2">
        <v>2</v>
      </c>
    </row>
    <row r="1077" spans="1:7" x14ac:dyDescent="0.2">
      <c r="A1077" s="2" t="s">
        <v>21</v>
      </c>
      <c r="B1077" s="14">
        <v>39203</v>
      </c>
      <c r="C1077" s="2">
        <v>-1.0317460318E-2</v>
      </c>
      <c r="D1077" s="2">
        <v>-3.3749698E-4</v>
      </c>
      <c r="E1077" s="2">
        <v>1</v>
      </c>
      <c r="F1077" s="2">
        <v>-5.2674954797498601E-3</v>
      </c>
      <c r="G1077" s="2">
        <v>2</v>
      </c>
    </row>
    <row r="1078" spans="1:7" x14ac:dyDescent="0.2">
      <c r="A1078" s="2" t="s">
        <v>21</v>
      </c>
      <c r="B1078" s="14">
        <v>39234</v>
      </c>
      <c r="C1078" s="2">
        <v>1.2028869285E-2</v>
      </c>
      <c r="D1078" s="2">
        <v>2.1931997000000001E-3</v>
      </c>
      <c r="E1078" s="2">
        <v>1</v>
      </c>
      <c r="F1078" s="2">
        <v>-5.8242053746142396E-3</v>
      </c>
      <c r="G1078" s="2">
        <v>2</v>
      </c>
    </row>
    <row r="1079" spans="1:7" x14ac:dyDescent="0.2">
      <c r="A1079" s="2" t="s">
        <v>21</v>
      </c>
      <c r="B1079" s="14">
        <v>39264</v>
      </c>
      <c r="C1079" s="2">
        <v>-4.3185419968000002E-2</v>
      </c>
      <c r="D1079" s="19">
        <v>-1.5919670000000001E-5</v>
      </c>
      <c r="E1079" s="2">
        <v>1</v>
      </c>
      <c r="F1079" s="2">
        <v>-5.6349686123354304E-3</v>
      </c>
      <c r="G1079" s="2">
        <v>2</v>
      </c>
    </row>
    <row r="1080" spans="1:7" x14ac:dyDescent="0.2">
      <c r="A1080" s="2" t="s">
        <v>21</v>
      </c>
      <c r="B1080" s="14">
        <v>39295</v>
      </c>
      <c r="C1080" s="2">
        <v>-3.7267080743000002E-3</v>
      </c>
      <c r="D1080" s="2">
        <v>7.8802364000000005E-4</v>
      </c>
      <c r="E1080" s="2">
        <v>1</v>
      </c>
      <c r="F1080" s="2">
        <v>-7.9137724364159896E-3</v>
      </c>
      <c r="G1080" s="2">
        <v>2</v>
      </c>
    </row>
    <row r="1081" spans="1:7" x14ac:dyDescent="0.2">
      <c r="A1081" s="2" t="s">
        <v>21</v>
      </c>
      <c r="B1081" s="14">
        <v>39326</v>
      </c>
      <c r="C1081" s="2">
        <v>2.8678304238999999E-2</v>
      </c>
      <c r="D1081" s="2">
        <v>-1.5919668999999999E-4</v>
      </c>
      <c r="E1081" s="2">
        <v>1</v>
      </c>
      <c r="F1081" s="2">
        <v>-7.2733516614177703E-3</v>
      </c>
      <c r="G1081" s="2">
        <v>2</v>
      </c>
    </row>
    <row r="1082" spans="1:7" x14ac:dyDescent="0.2">
      <c r="A1082" s="2" t="s">
        <v>21</v>
      </c>
      <c r="B1082" s="14">
        <v>39356</v>
      </c>
      <c r="C1082" s="2">
        <v>1.1313131314E-2</v>
      </c>
      <c r="D1082" s="2">
        <v>5.6620955E-4</v>
      </c>
      <c r="E1082" s="2">
        <v>1</v>
      </c>
      <c r="F1082" s="2">
        <v>-7.54330471039242E-3</v>
      </c>
      <c r="G1082" s="2">
        <v>2</v>
      </c>
    </row>
    <row r="1083" spans="1:7" x14ac:dyDescent="0.2">
      <c r="A1083" s="2" t="s">
        <v>21</v>
      </c>
      <c r="B1083" s="14">
        <v>39387</v>
      </c>
      <c r="C1083" s="2">
        <v>-6.5920894926000007E-2</v>
      </c>
      <c r="D1083" s="2">
        <v>-5.3437025000000003E-4</v>
      </c>
      <c r="E1083" s="2">
        <v>1</v>
      </c>
      <c r="F1083" s="2">
        <v>-7.5967992594277297E-3</v>
      </c>
      <c r="G1083" s="2">
        <v>2</v>
      </c>
    </row>
    <row r="1084" spans="1:7" x14ac:dyDescent="0.2">
      <c r="A1084" s="2" t="s">
        <v>21</v>
      </c>
      <c r="B1084" s="14">
        <v>39417</v>
      </c>
      <c r="C1084" s="2">
        <v>4.7476475618000002E-2</v>
      </c>
      <c r="D1084" s="2">
        <v>-1.8185568999999999E-3</v>
      </c>
      <c r="E1084" s="2">
        <v>1</v>
      </c>
      <c r="F1084" s="2">
        <v>-8.9129894993373593E-3</v>
      </c>
      <c r="G1084" s="2">
        <v>2</v>
      </c>
    </row>
    <row r="1085" spans="1:7" x14ac:dyDescent="0.2">
      <c r="A1085" s="2" t="s">
        <v>21</v>
      </c>
      <c r="B1085" s="14">
        <v>39448</v>
      </c>
      <c r="C1085" s="2">
        <v>-0.11065741118</v>
      </c>
      <c r="D1085" s="2">
        <v>-1.1038472000000001E-3</v>
      </c>
      <c r="E1085" s="2">
        <v>1</v>
      </c>
      <c r="F1085" s="2">
        <v>-7.9400771859171899E-3</v>
      </c>
      <c r="G1085" s="2">
        <v>2</v>
      </c>
    </row>
    <row r="1086" spans="1:7" x14ac:dyDescent="0.2">
      <c r="A1086" s="2" t="s">
        <v>21</v>
      </c>
      <c r="B1086" s="14">
        <v>39479</v>
      </c>
      <c r="C1086" s="2">
        <v>4.6372819101000003E-2</v>
      </c>
      <c r="D1086" s="19">
        <v>9.2963470000000003E-5</v>
      </c>
      <c r="E1086" s="2">
        <v>1</v>
      </c>
      <c r="F1086" s="2">
        <v>-9.4275121322443603E-3</v>
      </c>
      <c r="G1086" s="2">
        <v>2</v>
      </c>
    </row>
    <row r="1087" spans="1:7" x14ac:dyDescent="0.2">
      <c r="A1087" s="2" t="s">
        <v>21</v>
      </c>
      <c r="B1087" s="14">
        <v>39508</v>
      </c>
      <c r="C1087" s="2">
        <v>-3.9052215884999998E-2</v>
      </c>
      <c r="D1087" s="2">
        <v>-1.3792182E-3</v>
      </c>
      <c r="E1087" s="2">
        <v>1</v>
      </c>
      <c r="F1087" s="2">
        <v>-8.0441442996665394E-3</v>
      </c>
      <c r="G1087" s="2">
        <v>2</v>
      </c>
    </row>
    <row r="1088" spans="1:7" x14ac:dyDescent="0.2">
      <c r="A1088" s="2" t="s">
        <v>21</v>
      </c>
      <c r="B1088" s="14">
        <v>39539</v>
      </c>
      <c r="C1088" s="2">
        <v>9.995284821E-2</v>
      </c>
      <c r="D1088" s="2">
        <v>-3.4196588000000002E-4</v>
      </c>
      <c r="E1088" s="2">
        <v>1</v>
      </c>
      <c r="F1088" s="2">
        <v>-9.9221233632578298E-3</v>
      </c>
      <c r="G1088" s="2">
        <v>2</v>
      </c>
    </row>
    <row r="1089" spans="1:7" x14ac:dyDescent="0.2">
      <c r="A1089" s="2" t="s">
        <v>21</v>
      </c>
      <c r="B1089" s="14">
        <v>39569</v>
      </c>
      <c r="C1089" s="2">
        <v>2.3043478260999999E-2</v>
      </c>
      <c r="D1089" s="2">
        <v>-2.4988739999999999E-3</v>
      </c>
      <c r="E1089" s="2">
        <v>1</v>
      </c>
      <c r="F1089" s="2">
        <v>-7.2938498577072297E-3</v>
      </c>
      <c r="G1089" s="2">
        <v>2</v>
      </c>
    </row>
    <row r="1090" spans="1:7" x14ac:dyDescent="0.2">
      <c r="A1090" s="2" t="s">
        <v>21</v>
      </c>
      <c r="B1090" s="14">
        <v>39600</v>
      </c>
      <c r="C1090" s="2">
        <v>-9.0097747556000002E-2</v>
      </c>
      <c r="D1090" s="2">
        <v>-9.8957284000000009E-4</v>
      </c>
      <c r="E1090" s="2">
        <v>1</v>
      </c>
      <c r="F1090" s="2">
        <v>-4.7682291531371303E-3</v>
      </c>
      <c r="G1090" s="2">
        <v>2</v>
      </c>
    </row>
    <row r="1091" spans="1:7" x14ac:dyDescent="0.2">
      <c r="A1091" s="2" t="s">
        <v>21</v>
      </c>
      <c r="B1091" s="14">
        <v>39630</v>
      </c>
      <c r="C1091" s="2">
        <v>4.6707146194000002E-2</v>
      </c>
      <c r="D1091" s="2">
        <v>-5.7802197999999995E-4</v>
      </c>
      <c r="E1091" s="2">
        <v>1</v>
      </c>
      <c r="F1091" s="2">
        <v>-8.4255942330130808E-3</v>
      </c>
      <c r="G1091" s="2">
        <v>2</v>
      </c>
    </row>
    <row r="1092" spans="1:7" x14ac:dyDescent="0.2">
      <c r="A1092" s="2" t="s">
        <v>21</v>
      </c>
      <c r="B1092" s="14">
        <v>39661</v>
      </c>
      <c r="C1092" s="2">
        <v>-3.4805890227000001E-2</v>
      </c>
      <c r="D1092" s="2">
        <v>-7.3283544000000002E-4</v>
      </c>
      <c r="E1092" s="2">
        <v>1</v>
      </c>
      <c r="F1092" s="2">
        <v>-8.3015827802171796E-4</v>
      </c>
      <c r="G1092" s="2">
        <v>2</v>
      </c>
    </row>
    <row r="1093" spans="1:7" x14ac:dyDescent="0.2">
      <c r="A1093" s="2" t="s">
        <v>21</v>
      </c>
      <c r="B1093" s="14">
        <v>39692</v>
      </c>
      <c r="C1093" s="2">
        <v>1.340730467E-2</v>
      </c>
      <c r="D1093" s="2">
        <v>-1.5107765999999999E-3</v>
      </c>
      <c r="E1093" s="2">
        <v>1</v>
      </c>
      <c r="F1093" s="2">
        <v>-3.0803845426892302E-3</v>
      </c>
      <c r="G1093" s="2">
        <v>2</v>
      </c>
    </row>
    <row r="1094" spans="1:7" x14ac:dyDescent="0.2">
      <c r="A1094" s="2" t="s">
        <v>21</v>
      </c>
      <c r="B1094" s="14">
        <v>39722</v>
      </c>
      <c r="C1094" s="2">
        <v>-5.5656934306000001E-2</v>
      </c>
      <c r="D1094" s="2">
        <v>-1.3908484E-3</v>
      </c>
      <c r="E1094" s="2">
        <v>1</v>
      </c>
      <c r="F1094" s="2">
        <v>-1.6051580426904499E-3</v>
      </c>
      <c r="G1094" s="2">
        <v>2</v>
      </c>
    </row>
    <row r="1095" spans="1:7" x14ac:dyDescent="0.2">
      <c r="A1095" s="2" t="s">
        <v>21</v>
      </c>
      <c r="B1095" s="14">
        <v>39753</v>
      </c>
      <c r="C1095" s="2">
        <v>9.6618357475E-3</v>
      </c>
      <c r="D1095" s="2">
        <v>-1.6959754000000001E-3</v>
      </c>
      <c r="E1095" s="2">
        <v>1</v>
      </c>
      <c r="F1095" s="2">
        <v>-5.9439470116634599E-3</v>
      </c>
      <c r="G1095" s="2">
        <v>2</v>
      </c>
    </row>
    <row r="1096" spans="1:7" x14ac:dyDescent="0.2">
      <c r="A1096" s="2" t="s">
        <v>21</v>
      </c>
      <c r="B1096" s="14">
        <v>39783</v>
      </c>
      <c r="C1096" s="2">
        <v>-1.9617224882E-2</v>
      </c>
      <c r="D1096" s="2">
        <v>-1.2624839000000001E-3</v>
      </c>
      <c r="E1096" s="2">
        <v>1</v>
      </c>
      <c r="F1096" s="2">
        <v>-6.3953845392001399E-3</v>
      </c>
      <c r="G1096" s="2">
        <v>2</v>
      </c>
    </row>
    <row r="1097" spans="1:7" x14ac:dyDescent="0.2">
      <c r="A1097" s="2" t="s">
        <v>22</v>
      </c>
      <c r="B1097" s="14">
        <v>37591</v>
      </c>
      <c r="C1097" s="2">
        <v>-4.4776119402999998E-2</v>
      </c>
      <c r="E1097" s="2">
        <v>1</v>
      </c>
      <c r="G1097" s="2">
        <v>1</v>
      </c>
    </row>
    <row r="1098" spans="1:7" x14ac:dyDescent="0.2">
      <c r="A1098" s="2" t="s">
        <v>22</v>
      </c>
      <c r="B1098" s="14">
        <v>37622</v>
      </c>
      <c r="C1098" s="2">
        <v>-3.125E-2</v>
      </c>
      <c r="E1098" s="2">
        <v>1</v>
      </c>
      <c r="G1098" s="2">
        <v>1</v>
      </c>
    </row>
    <row r="1099" spans="1:7" x14ac:dyDescent="0.2">
      <c r="A1099" s="2" t="s">
        <v>22</v>
      </c>
      <c r="B1099" s="14">
        <v>37653</v>
      </c>
      <c r="C1099" s="2">
        <v>4.0322580644000003E-2</v>
      </c>
      <c r="E1099" s="2">
        <v>1</v>
      </c>
      <c r="G1099" s="2">
        <v>1</v>
      </c>
    </row>
    <row r="1100" spans="1:7" x14ac:dyDescent="0.2">
      <c r="A1100" s="2" t="s">
        <v>22</v>
      </c>
      <c r="B1100" s="14">
        <v>37681</v>
      </c>
      <c r="C1100" s="2">
        <v>-3.8759689921999997E-2</v>
      </c>
      <c r="E1100" s="2">
        <v>1</v>
      </c>
      <c r="G1100" s="2">
        <v>1</v>
      </c>
    </row>
    <row r="1101" spans="1:7" x14ac:dyDescent="0.2">
      <c r="A1101" s="2" t="s">
        <v>22</v>
      </c>
      <c r="B1101" s="14">
        <v>37712</v>
      </c>
      <c r="C1101" s="2">
        <v>9.6774193549000007E-2</v>
      </c>
      <c r="E1101" s="2">
        <v>1</v>
      </c>
      <c r="G1101" s="2">
        <v>1</v>
      </c>
    </row>
    <row r="1102" spans="1:7" x14ac:dyDescent="0.2">
      <c r="A1102" s="2" t="s">
        <v>22</v>
      </c>
      <c r="B1102" s="14">
        <v>37742</v>
      </c>
      <c r="C1102" s="2">
        <v>-6.5217580212999999E-3</v>
      </c>
      <c r="E1102" s="2">
        <v>1</v>
      </c>
      <c r="G1102" s="2">
        <v>1</v>
      </c>
    </row>
    <row r="1103" spans="1:7" x14ac:dyDescent="0.2">
      <c r="A1103" s="2" t="s">
        <v>22</v>
      </c>
      <c r="B1103" s="14">
        <v>37773</v>
      </c>
      <c r="C1103" s="2">
        <v>0</v>
      </c>
      <c r="E1103" s="2">
        <v>1</v>
      </c>
      <c r="G1103" s="2">
        <v>1</v>
      </c>
    </row>
    <row r="1104" spans="1:7" x14ac:dyDescent="0.2">
      <c r="A1104" s="2" t="s">
        <v>22</v>
      </c>
      <c r="B1104" s="14">
        <v>37803</v>
      </c>
      <c r="C1104" s="2">
        <v>7.4626865671000006E-2</v>
      </c>
      <c r="E1104" s="2">
        <v>1</v>
      </c>
      <c r="G1104" s="2">
        <v>1</v>
      </c>
    </row>
    <row r="1105" spans="1:7" x14ac:dyDescent="0.2">
      <c r="A1105" s="2" t="s">
        <v>22</v>
      </c>
      <c r="B1105" s="14">
        <v>37834</v>
      </c>
      <c r="C1105" s="2">
        <v>0.15277777777000001</v>
      </c>
      <c r="E1105" s="2">
        <v>1</v>
      </c>
      <c r="F1105" s="2">
        <v>4.7788371088662102E-2</v>
      </c>
      <c r="G1105" s="2">
        <v>1</v>
      </c>
    </row>
    <row r="1106" spans="1:7" x14ac:dyDescent="0.2">
      <c r="A1106" s="2" t="s">
        <v>22</v>
      </c>
      <c r="B1106" s="14">
        <v>37865</v>
      </c>
      <c r="C1106" s="2">
        <v>0.14457831325000001</v>
      </c>
      <c r="E1106" s="2">
        <v>1</v>
      </c>
      <c r="F1106" s="2">
        <v>5.0990456457991599E-2</v>
      </c>
      <c r="G1106" s="2">
        <v>1</v>
      </c>
    </row>
    <row r="1107" spans="1:7" x14ac:dyDescent="0.2">
      <c r="A1107" s="2" t="s">
        <v>22</v>
      </c>
      <c r="B1107" s="14">
        <v>37895</v>
      </c>
      <c r="C1107" s="2">
        <v>0.11568418804</v>
      </c>
      <c r="E1107" s="2">
        <v>1</v>
      </c>
      <c r="F1107" s="2">
        <v>5.6104113281677803E-2</v>
      </c>
      <c r="G1107" s="2">
        <v>1</v>
      </c>
    </row>
    <row r="1108" spans="1:7" x14ac:dyDescent="0.2">
      <c r="A1108" s="2" t="s">
        <v>22</v>
      </c>
      <c r="B1108" s="14">
        <v>37926</v>
      </c>
      <c r="C1108" s="2">
        <v>-0.10840643546000001</v>
      </c>
      <c r="E1108" s="2">
        <v>1</v>
      </c>
      <c r="F1108" s="2">
        <v>5.63890185930042E-2</v>
      </c>
      <c r="G1108" s="2">
        <v>1</v>
      </c>
    </row>
    <row r="1109" spans="1:7" x14ac:dyDescent="0.2">
      <c r="A1109" s="2" t="s">
        <v>22</v>
      </c>
      <c r="B1109" s="14">
        <v>37956</v>
      </c>
      <c r="C1109" s="2">
        <v>-3.7037037037000002E-2</v>
      </c>
      <c r="E1109" s="2">
        <v>1</v>
      </c>
      <c r="F1109" s="2">
        <v>5.39170144600696E-2</v>
      </c>
      <c r="G1109" s="2">
        <v>1</v>
      </c>
    </row>
    <row r="1110" spans="1:7" x14ac:dyDescent="0.2">
      <c r="A1110" s="2" t="s">
        <v>22</v>
      </c>
      <c r="B1110" s="14">
        <v>37987</v>
      </c>
      <c r="C1110" s="2">
        <v>-6.5934065932999997E-2</v>
      </c>
      <c r="E1110" s="2">
        <v>1</v>
      </c>
      <c r="F1110" s="2">
        <v>5.2905393521533402E-2</v>
      </c>
      <c r="G1110" s="2">
        <v>1</v>
      </c>
    </row>
    <row r="1111" spans="1:7" x14ac:dyDescent="0.2">
      <c r="A1111" s="2" t="s">
        <v>22</v>
      </c>
      <c r="B1111" s="14">
        <v>38018</v>
      </c>
      <c r="C1111" s="2">
        <v>0.16470588235</v>
      </c>
      <c r="E1111" s="2">
        <v>1</v>
      </c>
      <c r="F1111" s="2">
        <v>4.9045626620930899E-2</v>
      </c>
      <c r="G1111" s="2">
        <v>1</v>
      </c>
    </row>
    <row r="1112" spans="1:7" x14ac:dyDescent="0.2">
      <c r="A1112" s="2" t="s">
        <v>22</v>
      </c>
      <c r="B1112" s="14">
        <v>38047</v>
      </c>
      <c r="C1112" s="2">
        <v>-7.0707070706999997E-2</v>
      </c>
      <c r="E1112" s="2">
        <v>1</v>
      </c>
      <c r="F1112" s="2">
        <v>4.9189801071059698E-2</v>
      </c>
      <c r="G1112" s="2">
        <v>1</v>
      </c>
    </row>
    <row r="1113" spans="1:7" x14ac:dyDescent="0.2">
      <c r="A1113" s="2" t="s">
        <v>22</v>
      </c>
      <c r="B1113" s="14">
        <v>38078</v>
      </c>
      <c r="C1113" s="2">
        <v>-5.9782608695000003E-2</v>
      </c>
      <c r="E1113" s="2">
        <v>1</v>
      </c>
      <c r="F1113" s="2">
        <v>4.3211933930440698E-2</v>
      </c>
      <c r="G1113" s="2">
        <v>1</v>
      </c>
    </row>
    <row r="1114" spans="1:7" x14ac:dyDescent="0.2">
      <c r="A1114" s="2" t="s">
        <v>22</v>
      </c>
      <c r="B1114" s="14">
        <v>38108</v>
      </c>
      <c r="C1114" s="2">
        <v>-3.0351476895999999E-2</v>
      </c>
      <c r="E1114" s="2">
        <v>1</v>
      </c>
      <c r="F1114" s="2">
        <v>3.8309836636353997E-2</v>
      </c>
      <c r="G1114" s="2">
        <v>1</v>
      </c>
    </row>
    <row r="1115" spans="1:7" x14ac:dyDescent="0.2">
      <c r="A1115" s="2" t="s">
        <v>22</v>
      </c>
      <c r="B1115" s="14">
        <v>38139</v>
      </c>
      <c r="C1115" s="2">
        <v>0.15853658536000001</v>
      </c>
      <c r="E1115" s="2">
        <v>1</v>
      </c>
      <c r="F1115" s="2">
        <v>4.0695459549537197E-2</v>
      </c>
      <c r="G1115" s="2">
        <v>1</v>
      </c>
    </row>
    <row r="1116" spans="1:7" x14ac:dyDescent="0.2">
      <c r="A1116" s="2" t="s">
        <v>22</v>
      </c>
      <c r="B1116" s="14">
        <v>38169</v>
      </c>
      <c r="C1116" s="2">
        <v>-3.2631578947000001E-2</v>
      </c>
      <c r="E1116" s="2">
        <v>1</v>
      </c>
      <c r="F1116" s="2">
        <v>4.6161395586449702E-2</v>
      </c>
      <c r="G1116" s="2">
        <v>1</v>
      </c>
    </row>
    <row r="1117" spans="1:7" x14ac:dyDescent="0.2">
      <c r="A1117" s="2" t="s">
        <v>22</v>
      </c>
      <c r="B1117" s="14">
        <v>38200</v>
      </c>
      <c r="C1117" s="2">
        <v>0.15342763873000001</v>
      </c>
      <c r="E1117" s="2">
        <v>1</v>
      </c>
      <c r="F1117" s="2">
        <v>3.75779254386652E-2</v>
      </c>
      <c r="G1117" s="2">
        <v>1</v>
      </c>
    </row>
    <row r="1118" spans="1:7" x14ac:dyDescent="0.2">
      <c r="A1118" s="2" t="s">
        <v>22</v>
      </c>
      <c r="B1118" s="14">
        <v>38231</v>
      </c>
      <c r="C1118" s="2">
        <v>0</v>
      </c>
      <c r="E1118" s="2">
        <v>1</v>
      </c>
      <c r="F1118" s="2">
        <v>3.6932198205347301E-2</v>
      </c>
      <c r="G1118" s="2">
        <v>1</v>
      </c>
    </row>
    <row r="1119" spans="1:7" x14ac:dyDescent="0.2">
      <c r="A1119" s="2" t="s">
        <v>22</v>
      </c>
      <c r="B1119" s="14">
        <v>38261</v>
      </c>
      <c r="C1119" s="2">
        <v>0.13207547169</v>
      </c>
      <c r="E1119" s="2">
        <v>1</v>
      </c>
      <c r="F1119" s="2">
        <v>3.8856308154458702E-2</v>
      </c>
      <c r="G1119" s="2">
        <v>1</v>
      </c>
    </row>
    <row r="1120" spans="1:7" x14ac:dyDescent="0.2">
      <c r="A1120" s="2" t="s">
        <v>22</v>
      </c>
      <c r="B1120" s="14">
        <v>38292</v>
      </c>
      <c r="C1120" s="2">
        <v>0.12499999999</v>
      </c>
      <c r="E1120" s="2">
        <v>1</v>
      </c>
      <c r="F1120" s="2">
        <v>4.4166834137960402E-2</v>
      </c>
      <c r="G1120" s="2">
        <v>1</v>
      </c>
    </row>
    <row r="1121" spans="1:7" x14ac:dyDescent="0.2">
      <c r="A1121" s="2" t="s">
        <v>22</v>
      </c>
      <c r="B1121" s="14">
        <v>38322</v>
      </c>
      <c r="C1121" s="2">
        <v>3.7037037038000001E-2</v>
      </c>
      <c r="E1121" s="2">
        <v>1</v>
      </c>
      <c r="F1121" s="2">
        <v>4.8293941425651202E-2</v>
      </c>
      <c r="G1121" s="2">
        <v>1</v>
      </c>
    </row>
    <row r="1122" spans="1:7" x14ac:dyDescent="0.2">
      <c r="A1122" s="2" t="s">
        <v>22</v>
      </c>
      <c r="B1122" s="14">
        <v>38353</v>
      </c>
      <c r="C1122" s="2">
        <v>-7.1428571428999998E-2</v>
      </c>
      <c r="E1122" s="2">
        <v>1</v>
      </c>
      <c r="F1122" s="2">
        <v>4.4660901931559902E-2</v>
      </c>
      <c r="G1122" s="2">
        <v>1</v>
      </c>
    </row>
    <row r="1123" spans="1:7" x14ac:dyDescent="0.2">
      <c r="A1123" s="2" t="s">
        <v>22</v>
      </c>
      <c r="B1123" s="14">
        <v>38384</v>
      </c>
      <c r="C1123" s="2">
        <v>0.23069230768999999</v>
      </c>
      <c r="D1123" s="2">
        <v>0</v>
      </c>
      <c r="E1123" s="2">
        <v>1</v>
      </c>
      <c r="F1123" s="2">
        <v>4.3709604522379902E-2</v>
      </c>
      <c r="G1123" s="2">
        <v>1</v>
      </c>
    </row>
    <row r="1124" spans="1:7" x14ac:dyDescent="0.2">
      <c r="A1124" s="2" t="s">
        <v>22</v>
      </c>
      <c r="B1124" s="14">
        <v>38412</v>
      </c>
      <c r="C1124" s="2">
        <v>0.13554730638000001</v>
      </c>
      <c r="D1124" s="2">
        <v>0</v>
      </c>
      <c r="E1124" s="2">
        <v>1</v>
      </c>
      <c r="F1124" s="2">
        <v>4.5664508925658702E-2</v>
      </c>
      <c r="G1124" s="2">
        <v>1</v>
      </c>
    </row>
    <row r="1125" spans="1:7" x14ac:dyDescent="0.2">
      <c r="A1125" s="2" t="s">
        <v>22</v>
      </c>
      <c r="B1125" s="14">
        <v>38443</v>
      </c>
      <c r="C1125" s="2">
        <v>2.8571428573000001E-2</v>
      </c>
      <c r="D1125" s="2">
        <v>1.7390639E-3</v>
      </c>
      <c r="E1125" s="2">
        <v>1</v>
      </c>
      <c r="F1125" s="2">
        <v>4.9288841963206299E-2</v>
      </c>
      <c r="G1125" s="2">
        <v>1</v>
      </c>
    </row>
    <row r="1126" spans="1:7" x14ac:dyDescent="0.2">
      <c r="A1126" s="2" t="s">
        <v>22</v>
      </c>
      <c r="B1126" s="14">
        <v>38473</v>
      </c>
      <c r="C1126" s="2">
        <v>5.9464893548000003E-3</v>
      </c>
      <c r="D1126" s="2">
        <v>5.3608967000000002E-3</v>
      </c>
      <c r="E1126" s="2">
        <v>1</v>
      </c>
      <c r="F1126" s="2">
        <v>4.6109590991414602E-2</v>
      </c>
      <c r="G1126" s="2">
        <v>1</v>
      </c>
    </row>
    <row r="1127" spans="1:7" x14ac:dyDescent="0.2">
      <c r="A1127" s="2" t="s">
        <v>22</v>
      </c>
      <c r="B1127" s="14">
        <v>38504</v>
      </c>
      <c r="C1127" s="2">
        <v>9.2436974790000001E-2</v>
      </c>
      <c r="D1127" s="2">
        <v>3.9601908E-3</v>
      </c>
      <c r="E1127" s="2">
        <v>1</v>
      </c>
      <c r="F1127" s="2">
        <v>4.2631496433414802E-2</v>
      </c>
      <c r="G1127" s="2">
        <v>1</v>
      </c>
    </row>
    <row r="1128" spans="1:7" x14ac:dyDescent="0.2">
      <c r="A1128" s="2" t="s">
        <v>22</v>
      </c>
      <c r="B1128" s="14">
        <v>38534</v>
      </c>
      <c r="C1128" s="2">
        <v>0.30205128204999998</v>
      </c>
      <c r="D1128" s="2">
        <v>0</v>
      </c>
      <c r="E1128" s="2">
        <v>1</v>
      </c>
      <c r="F1128" s="2">
        <v>4.3648154727276199E-2</v>
      </c>
      <c r="G1128" s="2">
        <v>1</v>
      </c>
    </row>
    <row r="1129" spans="1:7" x14ac:dyDescent="0.2">
      <c r="A1129" s="2" t="s">
        <v>22</v>
      </c>
      <c r="B1129" s="14">
        <v>38565</v>
      </c>
      <c r="C1129" s="2">
        <v>-0.11382434029000001</v>
      </c>
      <c r="D1129" s="2">
        <v>2.1371363000000001E-4</v>
      </c>
      <c r="E1129" s="2">
        <v>1</v>
      </c>
      <c r="F1129" s="2">
        <v>4.5960415918903201E-2</v>
      </c>
      <c r="G1129" s="2">
        <v>1</v>
      </c>
    </row>
    <row r="1130" spans="1:7" x14ac:dyDescent="0.2">
      <c r="A1130" s="2" t="s">
        <v>22</v>
      </c>
      <c r="B1130" s="14">
        <v>38596</v>
      </c>
      <c r="C1130" s="2">
        <v>2.2222222222000002E-2</v>
      </c>
      <c r="D1130" s="2">
        <v>7.4666616000000001E-4</v>
      </c>
      <c r="E1130" s="2">
        <v>1</v>
      </c>
      <c r="F1130" s="2">
        <v>3.6517744115332602E-2</v>
      </c>
      <c r="G1130" s="2">
        <v>1</v>
      </c>
    </row>
    <row r="1131" spans="1:7" x14ac:dyDescent="0.2">
      <c r="A1131" s="2" t="s">
        <v>22</v>
      </c>
      <c r="B1131" s="14">
        <v>38626</v>
      </c>
      <c r="C1131" s="2">
        <v>-0.10869565217</v>
      </c>
      <c r="D1131" s="2">
        <v>-3.3936146E-4</v>
      </c>
      <c r="E1131" s="2">
        <v>1</v>
      </c>
      <c r="F1131" s="2">
        <v>3.3175546938107703E-2</v>
      </c>
      <c r="G1131" s="2">
        <v>1</v>
      </c>
    </row>
    <row r="1132" spans="1:7" x14ac:dyDescent="0.2">
      <c r="A1132" s="2" t="s">
        <v>22</v>
      </c>
      <c r="B1132" s="14">
        <v>38657</v>
      </c>
      <c r="C1132" s="2">
        <v>-2.4390243902000001E-2</v>
      </c>
      <c r="D1132" s="2">
        <v>0</v>
      </c>
      <c r="E1132" s="2">
        <v>1</v>
      </c>
      <c r="F1132" s="2">
        <v>2.9638834256318299E-2</v>
      </c>
      <c r="G1132" s="2">
        <v>1</v>
      </c>
    </row>
    <row r="1133" spans="1:7" x14ac:dyDescent="0.2">
      <c r="A1133" s="2" t="s">
        <v>22</v>
      </c>
      <c r="B1133" s="14">
        <v>38687</v>
      </c>
      <c r="C1133" s="2">
        <v>-8.2750000000000004E-2</v>
      </c>
      <c r="D1133" s="2">
        <v>0</v>
      </c>
      <c r="E1133" s="2">
        <v>1</v>
      </c>
      <c r="F1133" s="2">
        <v>2.88163871827333E-2</v>
      </c>
      <c r="G1133" s="2">
        <v>1</v>
      </c>
    </row>
    <row r="1134" spans="1:7" x14ac:dyDescent="0.2">
      <c r="A1134" s="2" t="s">
        <v>22</v>
      </c>
      <c r="B1134" s="14">
        <v>38718</v>
      </c>
      <c r="C1134" s="2">
        <v>0.17198146634</v>
      </c>
      <c r="D1134" s="2">
        <v>1.1670623000000001E-3</v>
      </c>
      <c r="E1134" s="2">
        <v>1</v>
      </c>
      <c r="F1134" s="2">
        <v>2.40473338736014E-2</v>
      </c>
      <c r="G1134" s="2">
        <v>1</v>
      </c>
    </row>
    <row r="1135" spans="1:7" x14ac:dyDescent="0.2">
      <c r="A1135" s="2" t="s">
        <v>22</v>
      </c>
      <c r="B1135" s="14">
        <v>38749</v>
      </c>
      <c r="C1135" s="2">
        <v>4.6511627907000003E-2</v>
      </c>
      <c r="D1135" s="2">
        <v>1.0020205999999999E-3</v>
      </c>
      <c r="E1135" s="2">
        <v>1</v>
      </c>
      <c r="F1135" s="2">
        <v>1.9965904968965099E-2</v>
      </c>
      <c r="G1135" s="2">
        <v>1</v>
      </c>
    </row>
    <row r="1136" spans="1:7" x14ac:dyDescent="0.2">
      <c r="A1136" s="2" t="s">
        <v>22</v>
      </c>
      <c r="B1136" s="14">
        <v>38777</v>
      </c>
      <c r="C1136" s="2">
        <v>-6.6666666666999996E-2</v>
      </c>
      <c r="D1136" s="2">
        <v>3.8186630000000001E-4</v>
      </c>
      <c r="E1136" s="2">
        <v>1</v>
      </c>
      <c r="F1136" s="2">
        <v>2.4276132011516599E-2</v>
      </c>
      <c r="G1136" s="2">
        <v>1</v>
      </c>
    </row>
    <row r="1137" spans="1:7" x14ac:dyDescent="0.2">
      <c r="A1137" s="2" t="s">
        <v>22</v>
      </c>
      <c r="B1137" s="14">
        <v>38808</v>
      </c>
      <c r="C1137" s="2">
        <v>-4.7619047619000002E-2</v>
      </c>
      <c r="D1137" s="2">
        <v>0</v>
      </c>
      <c r="E1137" s="2">
        <v>1</v>
      </c>
      <c r="F1137" s="2">
        <v>2.1844222354290999E-2</v>
      </c>
      <c r="G1137" s="2">
        <v>1</v>
      </c>
    </row>
    <row r="1138" spans="1:7" x14ac:dyDescent="0.2">
      <c r="A1138" s="2" t="s">
        <v>22</v>
      </c>
      <c r="B1138" s="14">
        <v>38838</v>
      </c>
      <c r="C1138" s="2">
        <v>-6.0063898354E-2</v>
      </c>
      <c r="D1138" s="2">
        <v>0</v>
      </c>
      <c r="E1138" s="2">
        <v>1</v>
      </c>
      <c r="F1138" s="2">
        <v>2.3744265469346201E-2</v>
      </c>
      <c r="G1138" s="2">
        <v>1</v>
      </c>
    </row>
    <row r="1139" spans="1:7" x14ac:dyDescent="0.2">
      <c r="A1139" s="2" t="s">
        <v>22</v>
      </c>
      <c r="B1139" s="14">
        <v>38869</v>
      </c>
      <c r="C1139" s="2">
        <v>2.7027027027000002E-2</v>
      </c>
      <c r="D1139" s="2">
        <v>2.0439850000000001E-4</v>
      </c>
      <c r="E1139" s="2">
        <v>1</v>
      </c>
      <c r="F1139" s="2">
        <v>2.2919733189403001E-2</v>
      </c>
      <c r="G1139" s="2">
        <v>1</v>
      </c>
    </row>
    <row r="1140" spans="1:7" x14ac:dyDescent="0.2">
      <c r="A1140" s="2" t="s">
        <v>22</v>
      </c>
      <c r="B1140" s="14">
        <v>38899</v>
      </c>
      <c r="C1140" s="2">
        <v>7.8947368419999997E-2</v>
      </c>
      <c r="D1140" s="2">
        <v>0</v>
      </c>
      <c r="E1140" s="2">
        <v>1</v>
      </c>
      <c r="F1140" s="2">
        <v>2.6004385806795399E-2</v>
      </c>
      <c r="G1140" s="2">
        <v>1</v>
      </c>
    </row>
    <row r="1141" spans="1:7" x14ac:dyDescent="0.2">
      <c r="A1141" s="2" t="s">
        <v>22</v>
      </c>
      <c r="B1141" s="14">
        <v>38930</v>
      </c>
      <c r="C1141" s="2">
        <v>5.2878048782000003E-2</v>
      </c>
      <c r="D1141" s="2">
        <v>0</v>
      </c>
      <c r="E1141" s="2">
        <v>1</v>
      </c>
      <c r="F1141" s="2">
        <v>1.7101361587346701E-2</v>
      </c>
      <c r="G1141" s="2">
        <v>1</v>
      </c>
    </row>
    <row r="1142" spans="1:7" x14ac:dyDescent="0.2">
      <c r="A1142" s="2" t="s">
        <v>22</v>
      </c>
      <c r="B1142" s="14">
        <v>38961</v>
      </c>
      <c r="C1142" s="2">
        <v>1.0007412899E-2</v>
      </c>
      <c r="D1142" s="2">
        <v>2.0069093E-3</v>
      </c>
      <c r="E1142" s="2">
        <v>1</v>
      </c>
      <c r="F1142" s="2">
        <v>1.7070360448866999E-2</v>
      </c>
      <c r="G1142" s="2">
        <v>1</v>
      </c>
    </row>
    <row r="1143" spans="1:7" x14ac:dyDescent="0.2">
      <c r="A1143" s="2" t="s">
        <v>22</v>
      </c>
      <c r="B1143" s="14">
        <v>38991</v>
      </c>
      <c r="C1143" s="2">
        <v>0.123853211</v>
      </c>
      <c r="D1143" s="2">
        <v>-2.5507371000000001E-4</v>
      </c>
      <c r="E1143" s="2">
        <v>1</v>
      </c>
      <c r="F1143" s="2">
        <v>1.9260043535135399E-2</v>
      </c>
      <c r="G1143" s="2">
        <v>1</v>
      </c>
    </row>
    <row r="1144" spans="1:7" x14ac:dyDescent="0.2">
      <c r="A1144" s="2" t="s">
        <v>22</v>
      </c>
      <c r="B1144" s="14">
        <v>39022</v>
      </c>
      <c r="C1144" s="2">
        <v>7.5107852515000004E-2</v>
      </c>
      <c r="D1144" s="2">
        <v>2.7875691000000002E-3</v>
      </c>
      <c r="E1144" s="2">
        <v>1</v>
      </c>
      <c r="F1144" s="2">
        <v>2.3941183804696401E-2</v>
      </c>
      <c r="G1144" s="2">
        <v>1</v>
      </c>
    </row>
    <row r="1145" spans="1:7" x14ac:dyDescent="0.2">
      <c r="A1145" s="2" t="s">
        <v>22</v>
      </c>
      <c r="B1145" s="14">
        <v>39052</v>
      </c>
      <c r="C1145" s="2">
        <v>-3.1232983275000001E-2</v>
      </c>
      <c r="D1145" s="2">
        <v>1.1592339E-2</v>
      </c>
      <c r="E1145" s="2">
        <v>1</v>
      </c>
      <c r="F1145" s="2">
        <v>2.7748624109372701E-2</v>
      </c>
      <c r="G1145" s="2">
        <v>1</v>
      </c>
    </row>
    <row r="1146" spans="1:7" x14ac:dyDescent="0.2">
      <c r="A1146" s="2" t="s">
        <v>22</v>
      </c>
      <c r="B1146" s="14">
        <v>39083</v>
      </c>
      <c r="C1146" s="2">
        <v>9.2062472396999995E-2</v>
      </c>
      <c r="D1146" s="2">
        <v>3.3967737999999998E-4</v>
      </c>
      <c r="E1146" s="2">
        <v>1</v>
      </c>
      <c r="F1146" s="2">
        <v>2.6039995732927999E-2</v>
      </c>
      <c r="G1146" s="2">
        <v>1</v>
      </c>
    </row>
    <row r="1147" spans="1:7" x14ac:dyDescent="0.2">
      <c r="A1147" s="2" t="s">
        <v>22</v>
      </c>
      <c r="B1147" s="14">
        <v>39114</v>
      </c>
      <c r="C1147" s="2">
        <v>-6.25E-2</v>
      </c>
      <c r="D1147" s="2">
        <v>-6.2867952999999999E-4</v>
      </c>
      <c r="E1147" s="2">
        <v>1</v>
      </c>
      <c r="F1147" s="2">
        <v>2.5987341849153901E-2</v>
      </c>
      <c r="G1147" s="2">
        <v>1</v>
      </c>
    </row>
    <row r="1148" spans="1:7" x14ac:dyDescent="0.2">
      <c r="A1148" s="2" t="s">
        <v>22</v>
      </c>
      <c r="B1148" s="14">
        <v>39142</v>
      </c>
      <c r="C1148" s="2">
        <v>4.3137254903000001E-2</v>
      </c>
      <c r="D1148" s="2">
        <v>0</v>
      </c>
      <c r="E1148" s="2">
        <v>1</v>
      </c>
      <c r="F1148" s="2">
        <v>2.29117712322928E-2</v>
      </c>
      <c r="G1148" s="2">
        <v>1</v>
      </c>
    </row>
    <row r="1149" spans="1:7" x14ac:dyDescent="0.2">
      <c r="A1149" s="2" t="s">
        <v>22</v>
      </c>
      <c r="B1149" s="14">
        <v>39173</v>
      </c>
      <c r="C1149" s="2">
        <v>5.2631578948000003E-2</v>
      </c>
      <c r="D1149" s="2">
        <v>3.8876096E-4</v>
      </c>
      <c r="E1149" s="2">
        <v>1</v>
      </c>
      <c r="F1149" s="2">
        <v>2.3469302554849799E-2</v>
      </c>
      <c r="G1149" s="2">
        <v>1</v>
      </c>
    </row>
    <row r="1150" spans="1:7" x14ac:dyDescent="0.2">
      <c r="A1150" s="2" t="s">
        <v>22</v>
      </c>
      <c r="B1150" s="14">
        <v>39203</v>
      </c>
      <c r="C1150" s="2">
        <v>4.6089760374999997E-2</v>
      </c>
      <c r="D1150" s="2">
        <v>0</v>
      </c>
      <c r="E1150" s="2">
        <v>1</v>
      </c>
      <c r="F1150" s="2">
        <v>2.1226496853130401E-2</v>
      </c>
      <c r="G1150" s="2">
        <v>1</v>
      </c>
    </row>
    <row r="1151" spans="1:7" x14ac:dyDescent="0.2">
      <c r="A1151" s="2" t="s">
        <v>22</v>
      </c>
      <c r="B1151" s="14">
        <v>39234</v>
      </c>
      <c r="C1151" s="2">
        <v>6.8965517241000002E-2</v>
      </c>
      <c r="D1151" s="2">
        <v>0</v>
      </c>
      <c r="E1151" s="2">
        <v>1</v>
      </c>
      <c r="F1151" s="2">
        <v>2.0165417266890001E-2</v>
      </c>
      <c r="G1151" s="2">
        <v>1</v>
      </c>
    </row>
    <row r="1152" spans="1:7" x14ac:dyDescent="0.2">
      <c r="A1152" s="2" t="s">
        <v>22</v>
      </c>
      <c r="B1152" s="14">
        <v>39264</v>
      </c>
      <c r="C1152" s="2">
        <v>7.3862557879999999E-2</v>
      </c>
      <c r="D1152" s="2">
        <v>0</v>
      </c>
      <c r="E1152" s="2">
        <v>1</v>
      </c>
      <c r="F1152" s="2">
        <v>2.2920352246052499E-2</v>
      </c>
      <c r="G1152" s="2">
        <v>1</v>
      </c>
    </row>
    <row r="1153" spans="1:7" x14ac:dyDescent="0.2">
      <c r="A1153" s="2" t="s">
        <v>22</v>
      </c>
      <c r="B1153" s="14">
        <v>39295</v>
      </c>
      <c r="C1153" s="2">
        <v>-9.4339622637999998E-3</v>
      </c>
      <c r="D1153" s="2">
        <v>7.2167637E-3</v>
      </c>
      <c r="E1153" s="2">
        <v>1</v>
      </c>
      <c r="F1153" s="2">
        <v>2.0294257182212099E-2</v>
      </c>
      <c r="G1153" s="2">
        <v>1</v>
      </c>
    </row>
    <row r="1154" spans="1:7" x14ac:dyDescent="0.2">
      <c r="A1154" s="2" t="s">
        <v>22</v>
      </c>
      <c r="B1154" s="14">
        <v>39326</v>
      </c>
      <c r="C1154" s="2">
        <v>1.5873015872999999E-2</v>
      </c>
      <c r="D1154" s="2">
        <v>0</v>
      </c>
      <c r="E1154" s="2">
        <v>1</v>
      </c>
      <c r="F1154" s="2">
        <v>2.18927291351045E-2</v>
      </c>
      <c r="G1154" s="2">
        <v>1</v>
      </c>
    </row>
    <row r="1155" spans="1:7" x14ac:dyDescent="0.2">
      <c r="A1155" s="2" t="s">
        <v>22</v>
      </c>
      <c r="B1155" s="14">
        <v>39356</v>
      </c>
      <c r="C1155" s="2">
        <v>1.5625E-2</v>
      </c>
      <c r="D1155" s="2">
        <v>0</v>
      </c>
      <c r="E1155" s="2">
        <v>1</v>
      </c>
      <c r="F1155" s="2">
        <v>2.10627082522933E-2</v>
      </c>
      <c r="G1155" s="2">
        <v>1</v>
      </c>
    </row>
    <row r="1156" spans="1:7" x14ac:dyDescent="0.2">
      <c r="A1156" s="2" t="s">
        <v>22</v>
      </c>
      <c r="B1156" s="14">
        <v>39387</v>
      </c>
      <c r="C1156" s="2">
        <v>-9.2307692307999997E-2</v>
      </c>
      <c r="D1156" s="2">
        <v>-5.9656613000000002E-3</v>
      </c>
      <c r="E1156" s="2">
        <v>1</v>
      </c>
      <c r="F1156" s="2">
        <v>1.9828652097164699E-2</v>
      </c>
      <c r="G1156" s="2">
        <v>1</v>
      </c>
    </row>
    <row r="1157" spans="1:7" x14ac:dyDescent="0.2">
      <c r="A1157" s="2" t="s">
        <v>22</v>
      </c>
      <c r="B1157" s="14">
        <v>39417</v>
      </c>
      <c r="C1157" s="2">
        <v>-5.0847457626000001E-2</v>
      </c>
      <c r="D1157" s="2">
        <v>4.6041327999999998E-4</v>
      </c>
      <c r="E1157" s="2">
        <v>1</v>
      </c>
      <c r="F1157" s="2">
        <v>1.6223268351585499E-2</v>
      </c>
      <c r="G1157" s="2">
        <v>1</v>
      </c>
    </row>
    <row r="1158" spans="1:7" x14ac:dyDescent="0.2">
      <c r="A1158" s="2" t="s">
        <v>22</v>
      </c>
      <c r="B1158" s="14">
        <v>39448</v>
      </c>
      <c r="C1158" s="2">
        <v>-0.10714285714000001</v>
      </c>
      <c r="D1158" s="2">
        <v>5.7504885000000004E-3</v>
      </c>
      <c r="E1158" s="2">
        <v>1</v>
      </c>
      <c r="F1158" s="2">
        <v>1.2908301327968601E-2</v>
      </c>
      <c r="G1158" s="2">
        <v>1</v>
      </c>
    </row>
    <row r="1159" spans="1:7" x14ac:dyDescent="0.2">
      <c r="A1159" s="2" t="s">
        <v>22</v>
      </c>
      <c r="B1159" s="14">
        <v>39479</v>
      </c>
      <c r="C1159" s="2">
        <v>0.08</v>
      </c>
      <c r="D1159" s="19">
        <v>4.2597511999999999E-5</v>
      </c>
      <c r="E1159" s="2">
        <v>1</v>
      </c>
      <c r="F1159" s="2">
        <v>8.0088663565559201E-3</v>
      </c>
      <c r="G1159" s="2">
        <v>1</v>
      </c>
    </row>
    <row r="1160" spans="1:7" x14ac:dyDescent="0.2">
      <c r="A1160" s="2" t="s">
        <v>22</v>
      </c>
      <c r="B1160" s="14">
        <v>39508</v>
      </c>
      <c r="C1160" s="2">
        <v>0.22222222221999999</v>
      </c>
      <c r="D1160" s="2">
        <v>6.7327154000000004E-4</v>
      </c>
      <c r="E1160" s="2">
        <v>1</v>
      </c>
      <c r="F1160" s="2">
        <v>1.0439398680153001E-2</v>
      </c>
      <c r="G1160" s="2">
        <v>1</v>
      </c>
    </row>
    <row r="1161" spans="1:7" x14ac:dyDescent="0.2">
      <c r="A1161" s="2" t="s">
        <v>22</v>
      </c>
      <c r="B1161" s="14">
        <v>39539</v>
      </c>
      <c r="C1161" s="2">
        <v>0.37878787878999998</v>
      </c>
      <c r="D1161" s="2">
        <v>5.3122109000000002E-3</v>
      </c>
      <c r="E1161" s="2">
        <v>1</v>
      </c>
      <c r="F1161" s="2">
        <v>1.6421627746083599E-2</v>
      </c>
      <c r="G1161" s="2">
        <v>1</v>
      </c>
    </row>
    <row r="1162" spans="1:7" x14ac:dyDescent="0.2">
      <c r="A1162" s="2" t="s">
        <v>22</v>
      </c>
      <c r="B1162" s="14">
        <v>39569</v>
      </c>
      <c r="C1162" s="2">
        <v>0.26324028437000002</v>
      </c>
      <c r="D1162" s="2">
        <v>5.5464548000000004E-3</v>
      </c>
      <c r="E1162" s="2">
        <v>1</v>
      </c>
      <c r="F1162" s="2">
        <v>2.7078905427587899E-2</v>
      </c>
      <c r="G1162" s="2">
        <v>1</v>
      </c>
    </row>
    <row r="1163" spans="1:7" x14ac:dyDescent="0.2">
      <c r="A1163" s="2" t="s">
        <v>22</v>
      </c>
      <c r="B1163" s="14">
        <v>39600</v>
      </c>
      <c r="C1163" s="2">
        <v>0.46491228070000001</v>
      </c>
      <c r="D1163" s="2">
        <v>-4.2517439999999998E-4</v>
      </c>
      <c r="E1163" s="2">
        <v>1</v>
      </c>
      <c r="F1163" s="2">
        <v>3.7081703048958498E-2</v>
      </c>
      <c r="G1163" s="2">
        <v>1</v>
      </c>
    </row>
    <row r="1164" spans="1:7" x14ac:dyDescent="0.2">
      <c r="A1164" s="2" t="s">
        <v>22</v>
      </c>
      <c r="B1164" s="14">
        <v>39630</v>
      </c>
      <c r="C1164" s="2">
        <v>-0.1497005988</v>
      </c>
      <c r="D1164" s="2">
        <v>-4.1392399000000002E-4</v>
      </c>
      <c r="E1164" s="2">
        <v>1</v>
      </c>
      <c r="F1164" s="2">
        <v>5.1771648451728498E-2</v>
      </c>
      <c r="G1164" s="2">
        <v>1</v>
      </c>
    </row>
    <row r="1165" spans="1:7" x14ac:dyDescent="0.2">
      <c r="A1165" s="2" t="s">
        <v>22</v>
      </c>
      <c r="B1165" s="14">
        <v>39661</v>
      </c>
      <c r="C1165" s="2">
        <v>2.8169014084000001E-2</v>
      </c>
      <c r="D1165" s="2">
        <v>1.2515738000000001E-4</v>
      </c>
      <c r="E1165" s="2">
        <v>1</v>
      </c>
      <c r="F1165" s="2">
        <v>5.0688824238862097E-2</v>
      </c>
      <c r="G1165" s="2">
        <v>1</v>
      </c>
    </row>
    <row r="1166" spans="1:7" x14ac:dyDescent="0.2">
      <c r="A1166" s="2" t="s">
        <v>22</v>
      </c>
      <c r="B1166" s="14">
        <v>39692</v>
      </c>
      <c r="C1166" s="2">
        <v>-0.27397260274000002</v>
      </c>
      <c r="D1166" s="19">
        <v>8.2473670999999997E-5</v>
      </c>
      <c r="E1166" s="2">
        <v>1</v>
      </c>
      <c r="F1166" s="2">
        <v>4.91081642104702E-2</v>
      </c>
      <c r="G1166" s="2">
        <v>1</v>
      </c>
    </row>
    <row r="1167" spans="1:7" x14ac:dyDescent="0.2">
      <c r="A1167" s="2" t="s">
        <v>22</v>
      </c>
      <c r="B1167" s="14">
        <v>39722</v>
      </c>
      <c r="C1167" s="2">
        <v>-0.10915094339</v>
      </c>
      <c r="D1167" s="19">
        <v>-2.9105898999999999E-5</v>
      </c>
      <c r="E1167" s="2">
        <v>1</v>
      </c>
      <c r="F1167" s="2">
        <v>3.5954775351465899E-2</v>
      </c>
      <c r="G1167" s="2">
        <v>1</v>
      </c>
    </row>
    <row r="1168" spans="1:7" x14ac:dyDescent="0.2">
      <c r="A1168" s="2" t="s">
        <v>22</v>
      </c>
      <c r="B1168" s="14">
        <v>39753</v>
      </c>
      <c r="C1168" s="2">
        <v>5.8985491899999999E-2</v>
      </c>
      <c r="D1168" s="2">
        <v>-7.9058204000000002E-4</v>
      </c>
      <c r="E1168" s="2">
        <v>1</v>
      </c>
      <c r="F1168" s="2">
        <v>2.2231427701936399E-2</v>
      </c>
      <c r="G1168" s="2">
        <v>1</v>
      </c>
    </row>
    <row r="1169" spans="1:7" x14ac:dyDescent="0.2">
      <c r="A1169" s="2" t="s">
        <v>22</v>
      </c>
      <c r="B1169" s="14">
        <v>39783</v>
      </c>
      <c r="C1169" s="2">
        <v>0.12999999999</v>
      </c>
      <c r="D1169" s="2">
        <v>-1.2338153000000001E-4</v>
      </c>
      <c r="E1169" s="2">
        <v>1</v>
      </c>
      <c r="F1169" s="2">
        <v>1.6119018946332098E-2</v>
      </c>
      <c r="G1169" s="2">
        <v>1</v>
      </c>
    </row>
    <row r="1170" spans="1:7" x14ac:dyDescent="0.2">
      <c r="A1170" s="2" t="s">
        <v>23</v>
      </c>
      <c r="B1170" s="14">
        <v>37591</v>
      </c>
      <c r="C1170" s="2">
        <v>-2.9850746268000002E-2</v>
      </c>
      <c r="E1170" s="2">
        <v>1</v>
      </c>
      <c r="G1170" s="2">
        <v>2</v>
      </c>
    </row>
    <row r="1171" spans="1:7" x14ac:dyDescent="0.2">
      <c r="A1171" s="2" t="s">
        <v>23</v>
      </c>
      <c r="B1171" s="14">
        <v>37622</v>
      </c>
      <c r="C1171" s="2">
        <v>0</v>
      </c>
      <c r="E1171" s="2">
        <v>1</v>
      </c>
      <c r="G1171" s="2">
        <v>2</v>
      </c>
    </row>
    <row r="1172" spans="1:7" x14ac:dyDescent="0.2">
      <c r="A1172" s="2" t="s">
        <v>23</v>
      </c>
      <c r="B1172" s="14">
        <v>37653</v>
      </c>
      <c r="C1172" s="2">
        <v>-7.6923076923999995E-2</v>
      </c>
      <c r="E1172" s="2">
        <v>1</v>
      </c>
      <c r="G1172" s="2">
        <v>2</v>
      </c>
    </row>
    <row r="1173" spans="1:7" x14ac:dyDescent="0.2">
      <c r="A1173" s="2" t="s">
        <v>23</v>
      </c>
      <c r="B1173" s="14">
        <v>37681</v>
      </c>
      <c r="C1173" s="2">
        <v>-3.3333333334000001E-2</v>
      </c>
      <c r="E1173" s="2">
        <v>1</v>
      </c>
      <c r="G1173" s="2">
        <v>2</v>
      </c>
    </row>
    <row r="1174" spans="1:7" x14ac:dyDescent="0.2">
      <c r="A1174" s="2" t="s">
        <v>23</v>
      </c>
      <c r="B1174" s="14">
        <v>37712</v>
      </c>
      <c r="C1174" s="2">
        <v>1.0344801278E-2</v>
      </c>
      <c r="E1174" s="2">
        <v>1</v>
      </c>
      <c r="G1174" s="2">
        <v>2</v>
      </c>
    </row>
    <row r="1175" spans="1:7" x14ac:dyDescent="0.2">
      <c r="A1175" s="2" t="s">
        <v>23</v>
      </c>
      <c r="B1175" s="14">
        <v>37742</v>
      </c>
      <c r="C1175" s="2">
        <v>5.4597800408000003E-4</v>
      </c>
      <c r="E1175" s="2">
        <v>1</v>
      </c>
      <c r="G1175" s="2">
        <v>2</v>
      </c>
    </row>
    <row r="1176" spans="1:7" x14ac:dyDescent="0.2">
      <c r="A1176" s="2" t="s">
        <v>23</v>
      </c>
      <c r="B1176" s="14">
        <v>37773</v>
      </c>
      <c r="C1176" s="2">
        <v>3.6200695562E-2</v>
      </c>
      <c r="E1176" s="2">
        <v>1</v>
      </c>
      <c r="G1176" s="2">
        <v>2</v>
      </c>
    </row>
    <row r="1177" spans="1:7" x14ac:dyDescent="0.2">
      <c r="A1177" s="2" t="s">
        <v>23</v>
      </c>
      <c r="B1177" s="14">
        <v>37803</v>
      </c>
      <c r="C1177" s="2">
        <v>-1.8299885078E-3</v>
      </c>
      <c r="E1177" s="2">
        <v>1</v>
      </c>
      <c r="G1177" s="2">
        <v>2</v>
      </c>
    </row>
    <row r="1178" spans="1:7" x14ac:dyDescent="0.2">
      <c r="A1178" s="2" t="s">
        <v>23</v>
      </c>
      <c r="B1178" s="14">
        <v>37834</v>
      </c>
      <c r="C1178" s="2">
        <v>0.23333333333</v>
      </c>
      <c r="E1178" s="2">
        <v>1</v>
      </c>
      <c r="F1178" s="2">
        <v>4.0486798952101999E-2</v>
      </c>
      <c r="G1178" s="2">
        <v>2</v>
      </c>
    </row>
    <row r="1179" spans="1:7" x14ac:dyDescent="0.2">
      <c r="A1179" s="2" t="s">
        <v>23</v>
      </c>
      <c r="B1179" s="14">
        <v>37865</v>
      </c>
      <c r="C1179" s="2">
        <v>-5.4054054054000003E-2</v>
      </c>
      <c r="E1179" s="2">
        <v>1</v>
      </c>
      <c r="F1179" s="2">
        <v>5.0165049900671402E-2</v>
      </c>
      <c r="G1179" s="2">
        <v>2</v>
      </c>
    </row>
    <row r="1180" spans="1:7" x14ac:dyDescent="0.2">
      <c r="A1180" s="2" t="s">
        <v>23</v>
      </c>
      <c r="B1180" s="14">
        <v>37895</v>
      </c>
      <c r="C1180" s="2">
        <v>7.1571459089999998E-2</v>
      </c>
      <c r="E1180" s="2">
        <v>1</v>
      </c>
      <c r="F1180" s="2">
        <v>4.92403268453558E-2</v>
      </c>
      <c r="G1180" s="2">
        <v>2</v>
      </c>
    </row>
    <row r="1181" spans="1:7" x14ac:dyDescent="0.2">
      <c r="A1181" s="2" t="s">
        <v>23</v>
      </c>
      <c r="B1181" s="14">
        <v>37926</v>
      </c>
      <c r="C1181" s="2">
        <v>2.6663110826000001E-2</v>
      </c>
      <c r="E1181" s="2">
        <v>1</v>
      </c>
      <c r="F1181" s="2">
        <v>5.07068764542613E-2</v>
      </c>
      <c r="G1181" s="2">
        <v>2</v>
      </c>
    </row>
    <row r="1182" spans="1:7" x14ac:dyDescent="0.2">
      <c r="A1182" s="2" t="s">
        <v>23</v>
      </c>
      <c r="B1182" s="14">
        <v>37956</v>
      </c>
      <c r="C1182" s="2">
        <v>3.8826097662E-2</v>
      </c>
      <c r="E1182" s="2">
        <v>1</v>
      </c>
      <c r="F1182" s="2">
        <v>5.1621941429916697E-2</v>
      </c>
      <c r="G1182" s="2">
        <v>2</v>
      </c>
    </row>
    <row r="1183" spans="1:7" x14ac:dyDescent="0.2">
      <c r="A1183" s="2" t="s">
        <v>23</v>
      </c>
      <c r="B1183" s="14">
        <v>37987</v>
      </c>
      <c r="C1183" s="2">
        <v>0</v>
      </c>
      <c r="E1183" s="2">
        <v>1</v>
      </c>
      <c r="F1183" s="2">
        <v>5.17050952831292E-2</v>
      </c>
      <c r="G1183" s="2">
        <v>2</v>
      </c>
    </row>
    <row r="1184" spans="1:7" x14ac:dyDescent="0.2">
      <c r="A1184" s="2" t="s">
        <v>23</v>
      </c>
      <c r="B1184" s="14">
        <v>38018</v>
      </c>
      <c r="E1184" s="2">
        <v>1</v>
      </c>
      <c r="F1184" s="2">
        <v>5.1902871204340097E-2</v>
      </c>
      <c r="G1184" s="2">
        <v>2</v>
      </c>
    </row>
    <row r="1185" spans="1:7" x14ac:dyDescent="0.2">
      <c r="A1185" s="2" t="s">
        <v>23</v>
      </c>
      <c r="B1185" s="14">
        <v>38047</v>
      </c>
      <c r="C1185" s="2">
        <v>0</v>
      </c>
      <c r="E1185" s="2">
        <v>1</v>
      </c>
      <c r="F1185" s="2">
        <v>4.47531985824796E-2</v>
      </c>
      <c r="G1185" s="2">
        <v>2</v>
      </c>
    </row>
    <row r="1186" spans="1:7" x14ac:dyDescent="0.2">
      <c r="A1186" s="2" t="s">
        <v>23</v>
      </c>
      <c r="B1186" s="14">
        <v>38078</v>
      </c>
      <c r="C1186" s="2">
        <v>0</v>
      </c>
      <c r="E1186" s="2">
        <v>1</v>
      </c>
      <c r="F1186" s="2">
        <v>4.6463101347724398E-2</v>
      </c>
      <c r="G1186" s="2">
        <v>2</v>
      </c>
    </row>
    <row r="1187" spans="1:7" x14ac:dyDescent="0.2">
      <c r="A1187" s="2" t="s">
        <v>23</v>
      </c>
      <c r="B1187" s="14">
        <v>38108</v>
      </c>
      <c r="C1187" s="2">
        <v>2.6822134383000001E-2</v>
      </c>
      <c r="E1187" s="2">
        <v>1</v>
      </c>
      <c r="F1187" s="2">
        <v>4.4533578577050502E-2</v>
      </c>
      <c r="G1187" s="2">
        <v>2</v>
      </c>
    </row>
    <row r="1188" spans="1:7" x14ac:dyDescent="0.2">
      <c r="A1188" s="2" t="s">
        <v>23</v>
      </c>
      <c r="B1188" s="14">
        <v>38139</v>
      </c>
      <c r="C1188" s="2">
        <v>0</v>
      </c>
      <c r="E1188" s="2">
        <v>1</v>
      </c>
      <c r="F1188" s="2">
        <v>4.46383495560898E-2</v>
      </c>
      <c r="G1188" s="2">
        <v>2</v>
      </c>
    </row>
    <row r="1189" spans="1:7" x14ac:dyDescent="0.2">
      <c r="A1189" s="2" t="s">
        <v>23</v>
      </c>
      <c r="B1189" s="14">
        <v>38169</v>
      </c>
      <c r="C1189" s="2">
        <v>0</v>
      </c>
      <c r="E1189" s="2">
        <v>1</v>
      </c>
      <c r="F1189" s="2">
        <v>4.3217357730646097E-2</v>
      </c>
      <c r="G1189" s="2">
        <v>2</v>
      </c>
    </row>
    <row r="1190" spans="1:7" x14ac:dyDescent="0.2">
      <c r="A1190" s="2" t="s">
        <v>23</v>
      </c>
      <c r="B1190" s="14">
        <v>38200</v>
      </c>
      <c r="C1190" s="2">
        <v>0.125</v>
      </c>
      <c r="E1190" s="2">
        <v>1</v>
      </c>
      <c r="F1190" s="2">
        <v>3.6546764244885399E-2</v>
      </c>
      <c r="G1190" s="2">
        <v>2</v>
      </c>
    </row>
    <row r="1191" spans="1:7" x14ac:dyDescent="0.2">
      <c r="A1191" s="2" t="s">
        <v>23</v>
      </c>
      <c r="B1191" s="14">
        <v>38231</v>
      </c>
      <c r="C1191" s="2">
        <v>0</v>
      </c>
      <c r="E1191" s="2">
        <v>1</v>
      </c>
      <c r="F1191" s="2">
        <v>3.9321549722520603E-2</v>
      </c>
      <c r="G1191" s="2">
        <v>2</v>
      </c>
    </row>
    <row r="1192" spans="1:7" x14ac:dyDescent="0.2">
      <c r="A1192" s="2" t="s">
        <v>23</v>
      </c>
      <c r="B1192" s="14">
        <v>38261</v>
      </c>
      <c r="C1192" s="2">
        <v>-3.2222222223000002E-2</v>
      </c>
      <c r="E1192" s="2">
        <v>1</v>
      </c>
      <c r="F1192" s="2">
        <v>3.9202631336034098E-2</v>
      </c>
      <c r="G1192" s="2">
        <v>2</v>
      </c>
    </row>
    <row r="1193" spans="1:7" x14ac:dyDescent="0.2">
      <c r="A1193" s="2" t="s">
        <v>23</v>
      </c>
      <c r="B1193" s="14">
        <v>38292</v>
      </c>
      <c r="C1193" s="2">
        <v>0.32032146958000002</v>
      </c>
      <c r="E1193" s="2">
        <v>1</v>
      </c>
      <c r="F1193" s="2">
        <v>3.8019067982265897E-2</v>
      </c>
      <c r="G1193" s="2">
        <v>2</v>
      </c>
    </row>
    <row r="1194" spans="1:7" x14ac:dyDescent="0.2">
      <c r="A1194" s="2" t="s">
        <v>23</v>
      </c>
      <c r="B1194" s="14">
        <v>38322</v>
      </c>
      <c r="C1194" s="2">
        <v>-4.0869565216999998E-2</v>
      </c>
      <c r="E1194" s="2">
        <v>1</v>
      </c>
      <c r="F1194" s="2">
        <v>4.73286430340343E-2</v>
      </c>
      <c r="G1194" s="2">
        <v>2</v>
      </c>
    </row>
    <row r="1195" spans="1:7" x14ac:dyDescent="0.2">
      <c r="A1195" s="2" t="s">
        <v>23</v>
      </c>
      <c r="B1195" s="14">
        <v>38353</v>
      </c>
      <c r="C1195" s="2">
        <v>-2.7198549415000002E-3</v>
      </c>
      <c r="E1195" s="2">
        <v>1</v>
      </c>
      <c r="F1195" s="2">
        <v>4.6135768410101301E-2</v>
      </c>
      <c r="G1195" s="2">
        <v>2</v>
      </c>
    </row>
    <row r="1196" spans="1:7" x14ac:dyDescent="0.2">
      <c r="A1196" s="2" t="s">
        <v>23</v>
      </c>
      <c r="B1196" s="14">
        <v>38384</v>
      </c>
      <c r="C1196" s="2">
        <v>0</v>
      </c>
      <c r="E1196" s="2">
        <v>1</v>
      </c>
      <c r="F1196" s="2">
        <v>4.6217920265132002E-2</v>
      </c>
      <c r="G1196" s="2">
        <v>2</v>
      </c>
    </row>
    <row r="1197" spans="1:7" x14ac:dyDescent="0.2">
      <c r="A1197" s="2" t="s">
        <v>23</v>
      </c>
      <c r="B1197" s="14">
        <v>38412</v>
      </c>
      <c r="C1197" s="2">
        <v>0.20095774939</v>
      </c>
      <c r="E1197" s="2">
        <v>1</v>
      </c>
      <c r="F1197" s="2">
        <v>4.2080717529768497E-2</v>
      </c>
      <c r="G1197" s="2">
        <v>2</v>
      </c>
    </row>
    <row r="1198" spans="1:7" x14ac:dyDescent="0.2">
      <c r="A1198" s="2" t="s">
        <v>23</v>
      </c>
      <c r="B1198" s="14">
        <v>38443</v>
      </c>
      <c r="C1198" s="2">
        <v>0</v>
      </c>
      <c r="E1198" s="2">
        <v>1</v>
      </c>
      <c r="F1198" s="2">
        <v>4.7868550928925203E-2</v>
      </c>
      <c r="G1198" s="2">
        <v>2</v>
      </c>
    </row>
    <row r="1199" spans="1:7" x14ac:dyDescent="0.2">
      <c r="A1199" s="2" t="s">
        <v>23</v>
      </c>
      <c r="B1199" s="14">
        <v>38473</v>
      </c>
      <c r="C1199" s="2">
        <v>2.3395056609000001E-2</v>
      </c>
      <c r="E1199" s="2">
        <v>1</v>
      </c>
      <c r="F1199" s="2">
        <v>4.8738715236842901E-2</v>
      </c>
      <c r="G1199" s="2">
        <v>2</v>
      </c>
    </row>
    <row r="1200" spans="1:7" x14ac:dyDescent="0.2">
      <c r="A1200" s="2" t="s">
        <v>23</v>
      </c>
      <c r="B1200" s="14">
        <v>38504</v>
      </c>
      <c r="C1200" s="2">
        <v>2.4000000000999999E-2</v>
      </c>
      <c r="E1200" s="2">
        <v>1</v>
      </c>
      <c r="F1200" s="2">
        <v>4.0179644216199802E-2</v>
      </c>
      <c r="G1200" s="2">
        <v>2</v>
      </c>
    </row>
    <row r="1201" spans="1:7" x14ac:dyDescent="0.2">
      <c r="A1201" s="2" t="s">
        <v>23</v>
      </c>
      <c r="B1201" s="14">
        <v>38534</v>
      </c>
      <c r="C1201" s="2">
        <v>0.1796875</v>
      </c>
      <c r="E1201" s="2">
        <v>1</v>
      </c>
      <c r="F1201" s="2">
        <v>4.1521388825488503E-2</v>
      </c>
      <c r="G1201" s="2">
        <v>2</v>
      </c>
    </row>
    <row r="1202" spans="1:7" x14ac:dyDescent="0.2">
      <c r="A1202" s="2" t="s">
        <v>23</v>
      </c>
      <c r="B1202" s="14">
        <v>38565</v>
      </c>
      <c r="C1202" s="2">
        <v>0.24503311257999999</v>
      </c>
      <c r="E1202" s="2">
        <v>1</v>
      </c>
      <c r="F1202" s="2">
        <v>4.0296500301137503E-2</v>
      </c>
      <c r="G1202" s="2">
        <v>2</v>
      </c>
    </row>
    <row r="1203" spans="1:7" x14ac:dyDescent="0.2">
      <c r="A1203" s="2" t="s">
        <v>23</v>
      </c>
      <c r="B1203" s="14">
        <v>38596</v>
      </c>
      <c r="C1203" s="2">
        <v>0</v>
      </c>
      <c r="E1203" s="2">
        <v>1</v>
      </c>
      <c r="F1203" s="2">
        <v>4.7811133215821498E-2</v>
      </c>
      <c r="G1203" s="2">
        <v>2</v>
      </c>
    </row>
    <row r="1204" spans="1:7" x14ac:dyDescent="0.2">
      <c r="A1204" s="2" t="s">
        <v>23</v>
      </c>
      <c r="B1204" s="14">
        <v>38626</v>
      </c>
      <c r="C1204" s="2">
        <v>2.3936170212999999E-2</v>
      </c>
      <c r="E1204" s="2">
        <v>1</v>
      </c>
      <c r="F1204" s="2">
        <v>4.19579288082466E-2</v>
      </c>
      <c r="G1204" s="2">
        <v>2</v>
      </c>
    </row>
    <row r="1205" spans="1:7" x14ac:dyDescent="0.2">
      <c r="A1205" s="2" t="s">
        <v>23</v>
      </c>
      <c r="B1205" s="14">
        <v>38657</v>
      </c>
      <c r="C1205" s="2">
        <v>0</v>
      </c>
      <c r="E1205" s="2">
        <v>1</v>
      </c>
      <c r="F1205" s="2">
        <v>4.2828809935026399E-2</v>
      </c>
      <c r="G1205" s="2">
        <v>2</v>
      </c>
    </row>
    <row r="1206" spans="1:7" x14ac:dyDescent="0.2">
      <c r="A1206" s="2" t="s">
        <v>23</v>
      </c>
      <c r="B1206" s="14">
        <v>38687</v>
      </c>
      <c r="C1206" s="2">
        <v>-7.0129870129999994E-2</v>
      </c>
      <c r="E1206" s="2">
        <v>1</v>
      </c>
      <c r="F1206" s="2">
        <v>4.1739217691085802E-2</v>
      </c>
      <c r="G1206" s="2">
        <v>2</v>
      </c>
    </row>
    <row r="1207" spans="1:7" x14ac:dyDescent="0.2">
      <c r="A1207" s="2" t="s">
        <v>23</v>
      </c>
      <c r="B1207" s="14">
        <v>38718</v>
      </c>
      <c r="C1207" s="2">
        <v>0</v>
      </c>
      <c r="E1207" s="2">
        <v>1</v>
      </c>
      <c r="F1207" s="2">
        <v>3.9270174460348799E-2</v>
      </c>
      <c r="G1207" s="2">
        <v>2</v>
      </c>
    </row>
    <row r="1208" spans="1:7" x14ac:dyDescent="0.2">
      <c r="A1208" s="2" t="s">
        <v>23</v>
      </c>
      <c r="B1208" s="14">
        <v>38749</v>
      </c>
      <c r="C1208" s="2">
        <v>5.5865921785999998E-3</v>
      </c>
      <c r="E1208" s="2">
        <v>1</v>
      </c>
      <c r="F1208" s="2">
        <v>3.37358888740927E-2</v>
      </c>
      <c r="G1208" s="2">
        <v>2</v>
      </c>
    </row>
    <row r="1209" spans="1:7" x14ac:dyDescent="0.2">
      <c r="A1209" s="2" t="s">
        <v>23</v>
      </c>
      <c r="B1209" s="14">
        <v>38777</v>
      </c>
      <c r="C1209" s="2">
        <v>2.7777777776999999E-2</v>
      </c>
      <c r="E1209" s="2">
        <v>1</v>
      </c>
      <c r="F1209" s="2">
        <v>2.6714560834539498E-2</v>
      </c>
      <c r="G1209" s="2">
        <v>2</v>
      </c>
    </row>
    <row r="1210" spans="1:7" x14ac:dyDescent="0.2">
      <c r="A1210" s="2" t="s">
        <v>23</v>
      </c>
      <c r="B1210" s="14">
        <v>38808</v>
      </c>
      <c r="C1210" s="2">
        <v>0</v>
      </c>
      <c r="E1210" s="2">
        <v>1</v>
      </c>
      <c r="F1210" s="2">
        <v>2.7442216257972701E-2</v>
      </c>
      <c r="G1210" s="2">
        <v>2</v>
      </c>
    </row>
    <row r="1211" spans="1:7" x14ac:dyDescent="0.2">
      <c r="A1211" s="2" t="s">
        <v>23</v>
      </c>
      <c r="B1211" s="14">
        <v>38838</v>
      </c>
      <c r="C1211" s="2">
        <v>0</v>
      </c>
      <c r="E1211" s="2">
        <v>1</v>
      </c>
      <c r="F1211" s="2">
        <v>2.68553495782154E-2</v>
      </c>
      <c r="G1211" s="2">
        <v>2</v>
      </c>
    </row>
    <row r="1212" spans="1:7" x14ac:dyDescent="0.2">
      <c r="A1212" s="2" t="s">
        <v>23</v>
      </c>
      <c r="B1212" s="14">
        <v>38869</v>
      </c>
      <c r="C1212" s="2">
        <v>-0.11864771607000001</v>
      </c>
      <c r="E1212" s="2">
        <v>1</v>
      </c>
      <c r="F1212" s="2">
        <v>2.70364116760901E-2</v>
      </c>
      <c r="G1212" s="2">
        <v>2</v>
      </c>
    </row>
    <row r="1213" spans="1:7" x14ac:dyDescent="0.2">
      <c r="A1213" s="2" t="s">
        <v>23</v>
      </c>
      <c r="B1213" s="14">
        <v>38899</v>
      </c>
      <c r="C1213" s="2">
        <v>0</v>
      </c>
      <c r="E1213" s="2">
        <v>1</v>
      </c>
      <c r="F1213" s="2">
        <v>2.57981476933303E-2</v>
      </c>
      <c r="G1213" s="2">
        <v>2</v>
      </c>
    </row>
    <row r="1214" spans="1:7" x14ac:dyDescent="0.2">
      <c r="A1214" s="2" t="s">
        <v>23</v>
      </c>
      <c r="B1214" s="14">
        <v>38930</v>
      </c>
      <c r="C1214" s="2">
        <v>0.1875</v>
      </c>
      <c r="E1214" s="2">
        <v>1</v>
      </c>
      <c r="F1214" s="2">
        <v>1.57583899367871E-2</v>
      </c>
      <c r="G1214" s="2">
        <v>2</v>
      </c>
    </row>
    <row r="1215" spans="1:7" x14ac:dyDescent="0.2">
      <c r="A1215" s="2" t="s">
        <v>23</v>
      </c>
      <c r="B1215" s="14">
        <v>38961</v>
      </c>
      <c r="C1215" s="2">
        <v>0</v>
      </c>
      <c r="E1215" s="2">
        <v>1</v>
      </c>
      <c r="F1215" s="2">
        <v>2.0619182954001999E-2</v>
      </c>
      <c r="G1215" s="2">
        <v>2</v>
      </c>
    </row>
    <row r="1216" spans="1:7" x14ac:dyDescent="0.2">
      <c r="A1216" s="2" t="s">
        <v>23</v>
      </c>
      <c r="B1216" s="14">
        <v>38991</v>
      </c>
      <c r="C1216" s="2">
        <v>0.10526315789</v>
      </c>
      <c r="E1216" s="2">
        <v>1</v>
      </c>
      <c r="F1216" s="2">
        <v>1.97952632278213E-2</v>
      </c>
      <c r="G1216" s="2">
        <v>2</v>
      </c>
    </row>
    <row r="1217" spans="1:7" x14ac:dyDescent="0.2">
      <c r="A1217" s="2" t="s">
        <v>23</v>
      </c>
      <c r="B1217" s="14">
        <v>39022</v>
      </c>
      <c r="C1217" s="2">
        <v>-3.3812827132000001E-3</v>
      </c>
      <c r="E1217" s="2">
        <v>1</v>
      </c>
      <c r="F1217" s="2">
        <v>2.2679095216520399E-2</v>
      </c>
      <c r="G1217" s="2">
        <v>2</v>
      </c>
    </row>
    <row r="1218" spans="1:7" x14ac:dyDescent="0.2">
      <c r="A1218" s="2" t="s">
        <v>23</v>
      </c>
      <c r="B1218" s="14">
        <v>39052</v>
      </c>
      <c r="C1218" s="2">
        <v>-3.3816425120999999E-2</v>
      </c>
      <c r="E1218" s="2">
        <v>1</v>
      </c>
      <c r="F1218" s="2">
        <v>2.2480226138143499E-2</v>
      </c>
      <c r="G1218" s="2">
        <v>2</v>
      </c>
    </row>
    <row r="1219" spans="1:7" x14ac:dyDescent="0.2">
      <c r="A1219" s="2" t="s">
        <v>23</v>
      </c>
      <c r="B1219" s="14">
        <v>39083</v>
      </c>
      <c r="E1219" s="2">
        <v>1</v>
      </c>
      <c r="F1219" s="2">
        <v>2.4950373300297E-2</v>
      </c>
      <c r="G1219" s="2">
        <v>2</v>
      </c>
    </row>
    <row r="1220" spans="1:7" x14ac:dyDescent="0.2">
      <c r="A1220" s="2" t="s">
        <v>23</v>
      </c>
      <c r="B1220" s="14">
        <v>39114</v>
      </c>
      <c r="C1220" s="2">
        <v>0</v>
      </c>
      <c r="E1220" s="2">
        <v>1</v>
      </c>
      <c r="F1220" s="2">
        <v>2.4786489259065899E-2</v>
      </c>
      <c r="G1220" s="2">
        <v>2</v>
      </c>
    </row>
    <row r="1221" spans="1:7" x14ac:dyDescent="0.2">
      <c r="A1221" s="2" t="s">
        <v>23</v>
      </c>
      <c r="B1221" s="14">
        <v>39142</v>
      </c>
      <c r="C1221" s="2">
        <v>-5.0000000001E-3</v>
      </c>
      <c r="E1221" s="2">
        <v>1</v>
      </c>
      <c r="F1221" s="2">
        <v>1.9549013020678799E-2</v>
      </c>
      <c r="G1221" s="2">
        <v>2</v>
      </c>
    </row>
    <row r="1222" spans="1:7" x14ac:dyDescent="0.2">
      <c r="A1222" s="2" t="s">
        <v>23</v>
      </c>
      <c r="B1222" s="14">
        <v>39173</v>
      </c>
      <c r="C1222" s="2">
        <v>-5.0251256280000002E-3</v>
      </c>
      <c r="E1222" s="2">
        <v>1</v>
      </c>
      <c r="F1222" s="2">
        <v>1.9098289081719601E-2</v>
      </c>
      <c r="G1222" s="2">
        <v>2</v>
      </c>
    </row>
    <row r="1223" spans="1:7" x14ac:dyDescent="0.2">
      <c r="A1223" s="2" t="s">
        <v>23</v>
      </c>
      <c r="B1223" s="14">
        <v>39203</v>
      </c>
      <c r="C1223" s="2">
        <v>2.0799947457E-2</v>
      </c>
      <c r="E1223" s="2">
        <v>1</v>
      </c>
      <c r="F1223" s="2">
        <v>1.5802969587215599E-2</v>
      </c>
      <c r="G1223" s="2">
        <v>2</v>
      </c>
    </row>
    <row r="1224" spans="1:7" x14ac:dyDescent="0.2">
      <c r="A1224" s="2" t="s">
        <v>23</v>
      </c>
      <c r="B1224" s="14">
        <v>39234</v>
      </c>
      <c r="C1224" s="2">
        <v>0</v>
      </c>
      <c r="E1224" s="2">
        <v>1</v>
      </c>
      <c r="F1224" s="2">
        <v>1.64237501991496E-2</v>
      </c>
      <c r="G1224" s="2">
        <v>2</v>
      </c>
    </row>
    <row r="1225" spans="1:7" x14ac:dyDescent="0.2">
      <c r="A1225" s="2" t="s">
        <v>23</v>
      </c>
      <c r="B1225" s="14">
        <v>39264</v>
      </c>
      <c r="C1225" s="2">
        <v>-7.3556778860000005E-2</v>
      </c>
      <c r="E1225" s="2">
        <v>1</v>
      </c>
      <c r="F1225" s="2">
        <v>1.7010427827256199E-2</v>
      </c>
      <c r="G1225" s="2">
        <v>2</v>
      </c>
    </row>
    <row r="1226" spans="1:7" x14ac:dyDescent="0.2">
      <c r="A1226" s="2" t="s">
        <v>23</v>
      </c>
      <c r="B1226" s="14">
        <v>39295</v>
      </c>
      <c r="C1226" s="2">
        <v>-2.5641025642E-2</v>
      </c>
      <c r="D1226" s="19">
        <v>8.3378089999999996E-6</v>
      </c>
      <c r="E1226" s="2">
        <v>1</v>
      </c>
      <c r="F1226" s="2">
        <v>1.68166543379497E-2</v>
      </c>
      <c r="G1226" s="2">
        <v>2</v>
      </c>
    </row>
    <row r="1227" spans="1:7" x14ac:dyDescent="0.2">
      <c r="A1227" s="2" t="s">
        <v>23</v>
      </c>
      <c r="B1227" s="14">
        <v>39326</v>
      </c>
      <c r="C1227" s="2">
        <v>3.2105263159000003E-2</v>
      </c>
      <c r="D1227" s="2">
        <v>0</v>
      </c>
      <c r="E1227" s="2">
        <v>1</v>
      </c>
      <c r="F1227" s="2">
        <v>1.55864935427424E-2</v>
      </c>
      <c r="G1227" s="2">
        <v>2</v>
      </c>
    </row>
    <row r="1228" spans="1:7" x14ac:dyDescent="0.2">
      <c r="A1228" s="2" t="s">
        <v>23</v>
      </c>
      <c r="B1228" s="14">
        <v>39356</v>
      </c>
      <c r="C1228" s="2">
        <v>9.6379398264999999E-2</v>
      </c>
      <c r="D1228" s="2">
        <v>0</v>
      </c>
      <c r="E1228" s="2">
        <v>1</v>
      </c>
      <c r="F1228" s="2">
        <v>1.66437951026038E-2</v>
      </c>
      <c r="G1228" s="2">
        <v>2</v>
      </c>
    </row>
    <row r="1229" spans="1:7" x14ac:dyDescent="0.2">
      <c r="A1229" s="2" t="s">
        <v>23</v>
      </c>
      <c r="B1229" s="14">
        <v>39387</v>
      </c>
      <c r="C1229" s="2">
        <v>0</v>
      </c>
      <c r="D1229" s="19">
        <v>4.9834255999999997E-7</v>
      </c>
      <c r="E1229" s="2">
        <v>1</v>
      </c>
      <c r="F1229" s="2">
        <v>1.9492745437415401E-2</v>
      </c>
      <c r="G1229" s="2">
        <v>2</v>
      </c>
    </row>
    <row r="1230" spans="1:7" x14ac:dyDescent="0.2">
      <c r="A1230" s="2" t="s">
        <v>23</v>
      </c>
      <c r="B1230" s="14">
        <v>39417</v>
      </c>
      <c r="C1230" s="2">
        <v>4.6511627987999999E-4</v>
      </c>
      <c r="D1230" s="2">
        <v>0</v>
      </c>
      <c r="E1230" s="2">
        <v>1</v>
      </c>
      <c r="F1230" s="2">
        <v>1.91020977632387E-2</v>
      </c>
      <c r="G1230" s="2">
        <v>2</v>
      </c>
    </row>
    <row r="1231" spans="1:7" x14ac:dyDescent="0.2">
      <c r="A1231" s="2" t="s">
        <v>23</v>
      </c>
      <c r="B1231" s="14">
        <v>39448</v>
      </c>
      <c r="C1231" s="2">
        <v>-4.6490004661000001E-4</v>
      </c>
      <c r="D1231" s="2">
        <v>0</v>
      </c>
      <c r="E1231" s="2">
        <v>1</v>
      </c>
      <c r="F1231" s="2">
        <v>1.9199584846117598E-2</v>
      </c>
      <c r="G1231" s="2">
        <v>2</v>
      </c>
    </row>
    <row r="1232" spans="1:7" x14ac:dyDescent="0.2">
      <c r="A1232" s="2" t="s">
        <v>23</v>
      </c>
      <c r="B1232" s="14">
        <v>39479</v>
      </c>
      <c r="C1232" s="2">
        <v>0</v>
      </c>
      <c r="D1232" s="2">
        <v>0</v>
      </c>
      <c r="E1232" s="2">
        <v>1</v>
      </c>
      <c r="F1232" s="2">
        <v>2.1520583802464601E-2</v>
      </c>
      <c r="G1232" s="2">
        <v>2</v>
      </c>
    </row>
    <row r="1233" spans="1:7" x14ac:dyDescent="0.2">
      <c r="A1233" s="2" t="s">
        <v>23</v>
      </c>
      <c r="B1233" s="14">
        <v>39508</v>
      </c>
      <c r="C1233" s="2">
        <v>0</v>
      </c>
      <c r="D1233" s="2">
        <v>0</v>
      </c>
      <c r="E1233" s="2">
        <v>1</v>
      </c>
      <c r="F1233" s="2">
        <v>2.2095433124042E-2</v>
      </c>
      <c r="G1233" s="2">
        <v>2</v>
      </c>
    </row>
    <row r="1234" spans="1:7" x14ac:dyDescent="0.2">
      <c r="A1234" s="2" t="s">
        <v>23</v>
      </c>
      <c r="B1234" s="14">
        <v>39539</v>
      </c>
      <c r="C1234" s="2">
        <v>7.4418604649999998E-2</v>
      </c>
      <c r="D1234" s="19">
        <v>1.3179140000000001E-6</v>
      </c>
      <c r="E1234" s="2">
        <v>1</v>
      </c>
      <c r="F1234" s="2">
        <v>2.0730963842016899E-2</v>
      </c>
      <c r="G1234" s="2">
        <v>2</v>
      </c>
    </row>
    <row r="1235" spans="1:7" x14ac:dyDescent="0.2">
      <c r="A1235" s="2" t="s">
        <v>23</v>
      </c>
      <c r="B1235" s="14">
        <v>39569</v>
      </c>
      <c r="C1235" s="2">
        <v>0.23369925515000001</v>
      </c>
      <c r="D1235" s="19">
        <v>8.8893535999999999E-8</v>
      </c>
      <c r="E1235" s="2">
        <v>1</v>
      </c>
      <c r="F1235" s="2">
        <v>1.9477162631153299E-2</v>
      </c>
      <c r="G1235" s="2">
        <v>2</v>
      </c>
    </row>
    <row r="1236" spans="1:7" x14ac:dyDescent="0.2">
      <c r="A1236" s="2" t="s">
        <v>23</v>
      </c>
      <c r="B1236" s="14">
        <v>39600</v>
      </c>
      <c r="C1236" s="2">
        <v>1.7847197428999999</v>
      </c>
      <c r="D1236" s="2">
        <v>0</v>
      </c>
      <c r="E1236" s="2">
        <v>1</v>
      </c>
      <c r="F1236" s="2">
        <v>2.63616205002693E-2</v>
      </c>
      <c r="G1236" s="2">
        <v>2</v>
      </c>
    </row>
    <row r="1237" spans="1:7" x14ac:dyDescent="0.2">
      <c r="A1237" s="2" t="s">
        <v>23</v>
      </c>
      <c r="B1237" s="14">
        <v>39630</v>
      </c>
      <c r="C1237" s="2">
        <v>-0.29487179486999998</v>
      </c>
      <c r="D1237" s="2">
        <v>0</v>
      </c>
      <c r="E1237" s="2">
        <v>1</v>
      </c>
      <c r="F1237" s="2">
        <v>8.5113302364523302E-2</v>
      </c>
      <c r="G1237" s="2">
        <v>2</v>
      </c>
    </row>
    <row r="1238" spans="1:7" x14ac:dyDescent="0.2">
      <c r="A1238" s="2" t="s">
        <v>23</v>
      </c>
      <c r="B1238" s="14">
        <v>39661</v>
      </c>
      <c r="C1238" s="2">
        <v>-1.8181818182000001E-2</v>
      </c>
      <c r="D1238" s="2">
        <v>0</v>
      </c>
      <c r="E1238" s="2">
        <v>1</v>
      </c>
      <c r="F1238" s="2">
        <v>7.76356692237537E-2</v>
      </c>
      <c r="G1238" s="2">
        <v>2</v>
      </c>
    </row>
    <row r="1239" spans="1:7" x14ac:dyDescent="0.2">
      <c r="A1239" s="2" t="s">
        <v>23</v>
      </c>
      <c r="B1239" s="14">
        <v>39692</v>
      </c>
      <c r="C1239" s="2">
        <v>-9.2592592592000006E-2</v>
      </c>
      <c r="D1239" s="2">
        <v>0</v>
      </c>
      <c r="E1239" s="2">
        <v>1</v>
      </c>
      <c r="F1239" s="2">
        <v>7.7047856210283094E-2</v>
      </c>
      <c r="G1239" s="2">
        <v>2</v>
      </c>
    </row>
    <row r="1240" spans="1:7" x14ac:dyDescent="0.2">
      <c r="A1240" s="2" t="s">
        <v>23</v>
      </c>
      <c r="B1240" s="14">
        <v>39722</v>
      </c>
      <c r="C1240" s="2">
        <v>-0.18367346939000001</v>
      </c>
      <c r="D1240" s="2">
        <v>0</v>
      </c>
      <c r="E1240" s="2">
        <v>1</v>
      </c>
      <c r="F1240" s="2">
        <v>7.5148748551551903E-2</v>
      </c>
      <c r="G1240" s="2">
        <v>2</v>
      </c>
    </row>
    <row r="1241" spans="1:7" x14ac:dyDescent="0.2">
      <c r="A1241" s="2" t="s">
        <v>23</v>
      </c>
      <c r="B1241" s="14">
        <v>39753</v>
      </c>
      <c r="C1241" s="2">
        <v>0</v>
      </c>
      <c r="D1241" s="2">
        <v>0</v>
      </c>
      <c r="E1241" s="2">
        <v>1</v>
      </c>
      <c r="F1241" s="2">
        <v>6.8127667075893406E-2</v>
      </c>
      <c r="G1241" s="2">
        <v>2</v>
      </c>
    </row>
    <row r="1242" spans="1:7" x14ac:dyDescent="0.2">
      <c r="A1242" s="2" t="s">
        <v>23</v>
      </c>
      <c r="B1242" s="14">
        <v>39783</v>
      </c>
      <c r="C1242" s="2">
        <v>0.4375</v>
      </c>
      <c r="D1242" s="2">
        <v>0</v>
      </c>
      <c r="E1242" s="2">
        <v>1</v>
      </c>
      <c r="F1242" s="2">
        <v>6.1252308228152003E-2</v>
      </c>
      <c r="G1242" s="2">
        <v>2</v>
      </c>
    </row>
    <row r="1243" spans="1:7" x14ac:dyDescent="0.2">
      <c r="A1243" s="2" t="s">
        <v>24</v>
      </c>
      <c r="B1243" s="14">
        <v>37591</v>
      </c>
      <c r="C1243" s="2">
        <v>-7.6923076923000003E-2</v>
      </c>
      <c r="D1243" s="2">
        <v>0</v>
      </c>
      <c r="E1243" s="2">
        <v>1</v>
      </c>
      <c r="G1243" s="2">
        <v>2</v>
      </c>
    </row>
    <row r="1244" spans="1:7" x14ac:dyDescent="0.2">
      <c r="A1244" s="2" t="s">
        <v>24</v>
      </c>
      <c r="B1244" s="14">
        <v>37622</v>
      </c>
      <c r="C1244" s="2">
        <v>5.5555555557000001E-2</v>
      </c>
      <c r="D1244" s="2">
        <v>0</v>
      </c>
      <c r="E1244" s="2">
        <v>1</v>
      </c>
      <c r="G1244" s="2">
        <v>2</v>
      </c>
    </row>
    <row r="1245" spans="1:7" x14ac:dyDescent="0.2">
      <c r="A1245" s="2" t="s">
        <v>24</v>
      </c>
      <c r="B1245" s="14">
        <v>37653</v>
      </c>
      <c r="C1245" s="2">
        <v>-0.10526315789</v>
      </c>
      <c r="D1245" s="2">
        <v>0</v>
      </c>
      <c r="E1245" s="2">
        <v>1</v>
      </c>
      <c r="G1245" s="2">
        <v>2</v>
      </c>
    </row>
    <row r="1246" spans="1:7" x14ac:dyDescent="0.2">
      <c r="A1246" s="2" t="s">
        <v>24</v>
      </c>
      <c r="B1246" s="14">
        <v>37681</v>
      </c>
      <c r="C1246" s="2">
        <v>5.8823529410999997E-2</v>
      </c>
      <c r="D1246" s="2">
        <v>0</v>
      </c>
      <c r="E1246" s="2">
        <v>1</v>
      </c>
      <c r="G1246" s="2">
        <v>2</v>
      </c>
    </row>
    <row r="1247" spans="1:7" x14ac:dyDescent="0.2">
      <c r="A1247" s="2" t="s">
        <v>24</v>
      </c>
      <c r="B1247" s="14">
        <v>37712</v>
      </c>
      <c r="C1247" s="2">
        <v>0.46111106873000002</v>
      </c>
      <c r="D1247" s="2">
        <v>0</v>
      </c>
      <c r="E1247" s="2">
        <v>1</v>
      </c>
      <c r="G1247" s="2">
        <v>2</v>
      </c>
    </row>
    <row r="1248" spans="1:7" x14ac:dyDescent="0.2">
      <c r="A1248" s="2" t="s">
        <v>24</v>
      </c>
      <c r="B1248" s="14">
        <v>37742</v>
      </c>
      <c r="C1248" s="2">
        <v>-4.942963022E-2</v>
      </c>
      <c r="D1248" s="2">
        <v>0</v>
      </c>
      <c r="E1248" s="2">
        <v>1</v>
      </c>
      <c r="G1248" s="2">
        <v>2</v>
      </c>
    </row>
    <row r="1249" spans="1:7" x14ac:dyDescent="0.2">
      <c r="A1249" s="2" t="s">
        <v>24</v>
      </c>
      <c r="B1249" s="14">
        <v>37773</v>
      </c>
      <c r="C1249" s="2">
        <v>-0.16</v>
      </c>
      <c r="D1249" s="2">
        <v>0</v>
      </c>
      <c r="E1249" s="2">
        <v>1</v>
      </c>
      <c r="G1249" s="2">
        <v>2</v>
      </c>
    </row>
    <row r="1250" spans="1:7" x14ac:dyDescent="0.2">
      <c r="A1250" s="2" t="s">
        <v>24</v>
      </c>
      <c r="B1250" s="14">
        <v>37803</v>
      </c>
      <c r="C1250" s="2">
        <v>9.5238095238999995E-2</v>
      </c>
      <c r="D1250" s="2">
        <v>0</v>
      </c>
      <c r="E1250" s="2">
        <v>1</v>
      </c>
      <c r="G1250" s="2">
        <v>2</v>
      </c>
    </row>
    <row r="1251" spans="1:7" x14ac:dyDescent="0.2">
      <c r="A1251" s="2" t="s">
        <v>24</v>
      </c>
      <c r="B1251" s="14">
        <v>37834</v>
      </c>
      <c r="C1251" s="2">
        <v>4.347826087E-2</v>
      </c>
      <c r="D1251" s="2">
        <v>0</v>
      </c>
      <c r="E1251" s="2">
        <v>1</v>
      </c>
      <c r="F1251" s="2">
        <v>8.3161857512141293E-2</v>
      </c>
      <c r="G1251" s="2">
        <v>2</v>
      </c>
    </row>
    <row r="1252" spans="1:7" x14ac:dyDescent="0.2">
      <c r="A1252" s="2" t="s">
        <v>24</v>
      </c>
      <c r="B1252" s="14">
        <v>37865</v>
      </c>
      <c r="C1252" s="2">
        <v>-2.5000015895000002E-2</v>
      </c>
      <c r="D1252" s="2">
        <v>0</v>
      </c>
      <c r="E1252" s="2">
        <v>1</v>
      </c>
      <c r="F1252" s="2">
        <v>8.7079312902418299E-2</v>
      </c>
      <c r="G1252" s="2">
        <v>2</v>
      </c>
    </row>
    <row r="1253" spans="1:7" x14ac:dyDescent="0.2">
      <c r="A1253" s="2" t="s">
        <v>24</v>
      </c>
      <c r="B1253" s="14">
        <v>37895</v>
      </c>
      <c r="C1253" s="2">
        <v>6.8803446008999999E-2</v>
      </c>
      <c r="D1253" s="2">
        <v>0</v>
      </c>
      <c r="E1253" s="2">
        <v>1</v>
      </c>
      <c r="F1253" s="2">
        <v>8.4519745482071598E-2</v>
      </c>
      <c r="G1253" s="2">
        <v>2</v>
      </c>
    </row>
    <row r="1254" spans="1:7" x14ac:dyDescent="0.2">
      <c r="A1254" s="2" t="s">
        <v>24</v>
      </c>
      <c r="B1254" s="14">
        <v>37926</v>
      </c>
      <c r="C1254" s="2">
        <v>-0.13994403025999999</v>
      </c>
      <c r="D1254" s="2">
        <v>0</v>
      </c>
      <c r="E1254" s="2">
        <v>1</v>
      </c>
      <c r="F1254" s="2">
        <v>7.2847344234028E-2</v>
      </c>
      <c r="G1254" s="2">
        <v>2</v>
      </c>
    </row>
    <row r="1255" spans="1:7" x14ac:dyDescent="0.2">
      <c r="A1255" s="2" t="s">
        <v>24</v>
      </c>
      <c r="B1255" s="14">
        <v>37956</v>
      </c>
      <c r="C1255" s="2">
        <v>9.2515109250999997E-2</v>
      </c>
      <c r="D1255" s="2">
        <v>0</v>
      </c>
      <c r="E1255" s="2">
        <v>1</v>
      </c>
      <c r="F1255" s="2">
        <v>7.0589412382800004E-2</v>
      </c>
      <c r="G1255" s="2">
        <v>2</v>
      </c>
    </row>
    <row r="1256" spans="1:7" x14ac:dyDescent="0.2">
      <c r="A1256" s="2" t="s">
        <v>24</v>
      </c>
      <c r="B1256" s="14">
        <v>37987</v>
      </c>
      <c r="C1256" s="2">
        <v>4.2553191487999999E-2</v>
      </c>
      <c r="E1256" s="2">
        <v>1</v>
      </c>
      <c r="F1256" s="2">
        <v>7.7556390575745301E-2</v>
      </c>
      <c r="G1256" s="2">
        <v>2</v>
      </c>
    </row>
    <row r="1257" spans="1:7" x14ac:dyDescent="0.2">
      <c r="A1257" s="2" t="s">
        <v>24</v>
      </c>
      <c r="B1257" s="14">
        <v>38018</v>
      </c>
      <c r="C1257" s="2">
        <v>-6.1224489796000002E-2</v>
      </c>
      <c r="E1257" s="2">
        <v>1</v>
      </c>
      <c r="F1257" s="2">
        <v>7.5937207717795094E-2</v>
      </c>
      <c r="G1257" s="2">
        <v>2</v>
      </c>
    </row>
    <row r="1258" spans="1:7" x14ac:dyDescent="0.2">
      <c r="A1258" s="2" t="s">
        <v>24</v>
      </c>
      <c r="B1258" s="14">
        <v>38047</v>
      </c>
      <c r="C1258" s="2">
        <v>-8.6956521738999995E-2</v>
      </c>
      <c r="D1258" s="2">
        <v>0</v>
      </c>
      <c r="E1258" s="2">
        <v>1</v>
      </c>
      <c r="F1258" s="2">
        <v>7.3001389233073505E-2</v>
      </c>
      <c r="G1258" s="2">
        <v>2</v>
      </c>
    </row>
    <row r="1259" spans="1:7" x14ac:dyDescent="0.2">
      <c r="A1259" s="2" t="s">
        <v>24</v>
      </c>
      <c r="B1259" s="14">
        <v>38078</v>
      </c>
      <c r="C1259" s="2">
        <v>-0.10714285714000001</v>
      </c>
      <c r="D1259" s="2">
        <v>0</v>
      </c>
      <c r="E1259" s="2">
        <v>1</v>
      </c>
      <c r="F1259" s="2">
        <v>7.1485570562078396E-2</v>
      </c>
      <c r="G1259" s="2">
        <v>2</v>
      </c>
    </row>
    <row r="1260" spans="1:7" x14ac:dyDescent="0.2">
      <c r="A1260" s="2" t="s">
        <v>24</v>
      </c>
      <c r="B1260" s="14">
        <v>38108</v>
      </c>
      <c r="C1260" s="2">
        <v>-1.3333333332E-2</v>
      </c>
      <c r="D1260" s="2">
        <v>0</v>
      </c>
      <c r="E1260" s="2">
        <v>1</v>
      </c>
      <c r="F1260" s="2">
        <v>6.5306112724839299E-2</v>
      </c>
      <c r="G1260" s="2">
        <v>2</v>
      </c>
    </row>
    <row r="1261" spans="1:7" x14ac:dyDescent="0.2">
      <c r="A1261" s="2" t="s">
        <v>24</v>
      </c>
      <c r="B1261" s="14">
        <v>38139</v>
      </c>
      <c r="C1261" s="2">
        <v>0.16216216216000001</v>
      </c>
      <c r="D1261" s="2">
        <v>2.2666356999999999E-4</v>
      </c>
      <c r="E1261" s="2">
        <v>1</v>
      </c>
      <c r="F1261" s="2">
        <v>6.8988438433063501E-2</v>
      </c>
      <c r="G1261" s="2">
        <v>2</v>
      </c>
    </row>
    <row r="1262" spans="1:7" x14ac:dyDescent="0.2">
      <c r="A1262" s="2" t="s">
        <v>24</v>
      </c>
      <c r="B1262" s="14">
        <v>38169</v>
      </c>
      <c r="C1262" s="2">
        <v>-2.3255813952999999E-2</v>
      </c>
      <c r="D1262" s="2">
        <v>0</v>
      </c>
      <c r="E1262" s="2">
        <v>1</v>
      </c>
      <c r="F1262" s="2">
        <v>7.0710062405201904E-2</v>
      </c>
      <c r="G1262" s="2">
        <v>2</v>
      </c>
    </row>
    <row r="1263" spans="1:7" x14ac:dyDescent="0.2">
      <c r="A1263" s="2" t="s">
        <v>24</v>
      </c>
      <c r="B1263" s="14">
        <v>38200</v>
      </c>
      <c r="C1263" s="2">
        <v>9.5238095238999995E-2</v>
      </c>
      <c r="D1263" s="2">
        <v>0</v>
      </c>
      <c r="E1263" s="2">
        <v>1</v>
      </c>
      <c r="F1263" s="2">
        <v>6.2011533889053297E-2</v>
      </c>
      <c r="G1263" s="2">
        <v>2</v>
      </c>
    </row>
    <row r="1264" spans="1:7" x14ac:dyDescent="0.2">
      <c r="A1264" s="2" t="s">
        <v>24</v>
      </c>
      <c r="B1264" s="14">
        <v>38231</v>
      </c>
      <c r="C1264" s="2">
        <v>0.17391304348</v>
      </c>
      <c r="D1264" s="2">
        <v>4.2219926000000001E-3</v>
      </c>
      <c r="E1264" s="2">
        <v>1</v>
      </c>
      <c r="F1264" s="2">
        <v>6.6394066896233797E-2</v>
      </c>
      <c r="G1264" s="2">
        <v>2</v>
      </c>
    </row>
    <row r="1265" spans="1:7" x14ac:dyDescent="0.2">
      <c r="A1265" s="2" t="s">
        <v>24</v>
      </c>
      <c r="B1265" s="14">
        <v>38261</v>
      </c>
      <c r="C1265" s="2">
        <v>0.38888888889000001</v>
      </c>
      <c r="D1265" s="2">
        <v>0</v>
      </c>
      <c r="E1265" s="2">
        <v>1</v>
      </c>
      <c r="F1265" s="2">
        <v>7.3792201845410896E-2</v>
      </c>
      <c r="G1265" s="2">
        <v>2</v>
      </c>
    </row>
    <row r="1266" spans="1:7" x14ac:dyDescent="0.2">
      <c r="A1266" s="2" t="s">
        <v>24</v>
      </c>
      <c r="B1266" s="14">
        <v>38292</v>
      </c>
      <c r="C1266" s="2">
        <v>-0.10933333333</v>
      </c>
      <c r="D1266" s="2">
        <v>0</v>
      </c>
      <c r="E1266" s="2">
        <v>1</v>
      </c>
      <c r="F1266" s="2">
        <v>8.8226095190385795E-2</v>
      </c>
      <c r="G1266" s="2">
        <v>2</v>
      </c>
    </row>
    <row r="1267" spans="1:7" x14ac:dyDescent="0.2">
      <c r="A1267" s="2" t="s">
        <v>24</v>
      </c>
      <c r="B1267" s="14">
        <v>38322</v>
      </c>
      <c r="C1267" s="2">
        <v>-7.1856287424999998E-2</v>
      </c>
      <c r="D1267" s="2">
        <v>0</v>
      </c>
      <c r="E1267" s="2">
        <v>1</v>
      </c>
      <c r="F1267" s="2">
        <v>8.5656429886293906E-2</v>
      </c>
      <c r="G1267" s="2">
        <v>2</v>
      </c>
    </row>
    <row r="1268" spans="1:7" x14ac:dyDescent="0.2">
      <c r="A1268" s="2" t="s">
        <v>24</v>
      </c>
      <c r="B1268" s="14">
        <v>38353</v>
      </c>
      <c r="C1268" s="2">
        <v>6.4516129032000005E-2</v>
      </c>
      <c r="D1268" s="2">
        <v>0</v>
      </c>
      <c r="E1268" s="2">
        <v>1</v>
      </c>
      <c r="F1268" s="2">
        <v>7.9119849548561202E-2</v>
      </c>
      <c r="G1268" s="2">
        <v>2</v>
      </c>
    </row>
    <row r="1269" spans="1:7" x14ac:dyDescent="0.2">
      <c r="A1269" s="2" t="s">
        <v>24</v>
      </c>
      <c r="B1269" s="14">
        <v>38384</v>
      </c>
      <c r="C1269" s="2">
        <v>2.8988220164999998E-3</v>
      </c>
      <c r="D1269" s="2">
        <v>2.0774228000000001E-4</v>
      </c>
      <c r="E1269" s="2">
        <v>1</v>
      </c>
      <c r="F1269" s="2">
        <v>8.1518441364233807E-2</v>
      </c>
      <c r="G1269" s="2">
        <v>2</v>
      </c>
    </row>
    <row r="1270" spans="1:7" x14ac:dyDescent="0.2">
      <c r="A1270" s="2" t="s">
        <v>24</v>
      </c>
      <c r="B1270" s="14">
        <v>38412</v>
      </c>
      <c r="C1270" s="2">
        <v>-9.0909090908999998E-2</v>
      </c>
      <c r="D1270" s="2">
        <v>6.0499524000000001E-4</v>
      </c>
      <c r="E1270" s="2">
        <v>1</v>
      </c>
      <c r="F1270" s="2">
        <v>7.8422050063940096E-2</v>
      </c>
      <c r="G1270" s="2">
        <v>2</v>
      </c>
    </row>
    <row r="1271" spans="1:7" x14ac:dyDescent="0.2">
      <c r="A1271" s="2" t="s">
        <v>24</v>
      </c>
      <c r="B1271" s="14">
        <v>38443</v>
      </c>
      <c r="C1271" s="2">
        <v>3.3333333335E-2</v>
      </c>
      <c r="D1271" s="2">
        <v>0</v>
      </c>
      <c r="E1271" s="2">
        <v>1</v>
      </c>
      <c r="F1271" s="2">
        <v>7.0993828766555703E-2</v>
      </c>
      <c r="G1271" s="2">
        <v>2</v>
      </c>
    </row>
    <row r="1272" spans="1:7" x14ac:dyDescent="0.2">
      <c r="A1272" s="2" t="s">
        <v>24</v>
      </c>
      <c r="B1272" s="14">
        <v>38473</v>
      </c>
      <c r="C1272" s="2">
        <v>-6.4516129032000005E-2</v>
      </c>
      <c r="D1272" s="2">
        <v>0</v>
      </c>
      <c r="E1272" s="2">
        <v>1</v>
      </c>
      <c r="F1272" s="2">
        <v>6.0510647192450098E-2</v>
      </c>
      <c r="G1272" s="2">
        <v>2</v>
      </c>
    </row>
    <row r="1273" spans="1:7" x14ac:dyDescent="0.2">
      <c r="A1273" s="2" t="s">
        <v>24</v>
      </c>
      <c r="B1273" s="14">
        <v>38504</v>
      </c>
      <c r="C1273" s="2">
        <v>6.8965517241000002E-2</v>
      </c>
      <c r="D1273" s="2">
        <v>0</v>
      </c>
      <c r="E1273" s="2">
        <v>1</v>
      </c>
      <c r="F1273" s="2">
        <v>6.20111381361328E-2</v>
      </c>
      <c r="G1273" s="2">
        <v>2</v>
      </c>
    </row>
    <row r="1274" spans="1:7" x14ac:dyDescent="0.2">
      <c r="A1274" s="2" t="s">
        <v>24</v>
      </c>
      <c r="B1274" s="14">
        <v>38534</v>
      </c>
      <c r="C1274" s="2">
        <v>0.52580645160999995</v>
      </c>
      <c r="D1274" s="2">
        <v>0</v>
      </c>
      <c r="E1274" s="2">
        <v>1</v>
      </c>
      <c r="F1274" s="2">
        <v>6.5846102565326595E-2</v>
      </c>
      <c r="G1274" s="2">
        <v>2</v>
      </c>
    </row>
    <row r="1275" spans="1:7" x14ac:dyDescent="0.2">
      <c r="A1275" s="2" t="s">
        <v>24</v>
      </c>
      <c r="B1275" s="14">
        <v>38565</v>
      </c>
      <c r="C1275" s="2">
        <v>2.0084566597E-2</v>
      </c>
      <c r="D1275" s="2">
        <v>0</v>
      </c>
      <c r="E1275" s="2">
        <v>1</v>
      </c>
      <c r="F1275" s="2">
        <v>7.2513424814005606E-2</v>
      </c>
      <c r="G1275" s="2">
        <v>2</v>
      </c>
    </row>
    <row r="1276" spans="1:7" x14ac:dyDescent="0.2">
      <c r="A1276" s="2" t="s">
        <v>24</v>
      </c>
      <c r="B1276" s="14">
        <v>38596</v>
      </c>
      <c r="C1276" s="2">
        <v>3.6269430052999999E-2</v>
      </c>
      <c r="D1276" s="2">
        <v>0</v>
      </c>
      <c r="E1276" s="2">
        <v>1</v>
      </c>
      <c r="F1276" s="2">
        <v>7.2980345544408395E-2</v>
      </c>
      <c r="G1276" s="2">
        <v>2</v>
      </c>
    </row>
    <row r="1277" spans="1:7" x14ac:dyDescent="0.2">
      <c r="A1277" s="2" t="s">
        <v>24</v>
      </c>
      <c r="B1277" s="14">
        <v>38626</v>
      </c>
      <c r="C1277" s="2">
        <v>-0.01</v>
      </c>
      <c r="D1277" s="2">
        <v>0</v>
      </c>
      <c r="E1277" s="2">
        <v>1</v>
      </c>
      <c r="F1277" s="2">
        <v>7.6534746080583596E-2</v>
      </c>
      <c r="G1277" s="2">
        <v>2</v>
      </c>
    </row>
    <row r="1278" spans="1:7" x14ac:dyDescent="0.2">
      <c r="A1278" s="2" t="s">
        <v>24</v>
      </c>
      <c r="B1278" s="14">
        <v>38657</v>
      </c>
      <c r="C1278" s="2">
        <v>7.0707070706999997E-2</v>
      </c>
      <c r="D1278" s="2">
        <v>0</v>
      </c>
      <c r="E1278" s="2">
        <v>1</v>
      </c>
      <c r="F1278" s="2">
        <v>7.4781561372010294E-2</v>
      </c>
      <c r="G1278" s="2">
        <v>2</v>
      </c>
    </row>
    <row r="1279" spans="1:7" x14ac:dyDescent="0.2">
      <c r="A1279" s="2" t="s">
        <v>24</v>
      </c>
      <c r="B1279" s="14">
        <v>38687</v>
      </c>
      <c r="C1279" s="2">
        <v>0.50566037736000002</v>
      </c>
      <c r="D1279" s="2">
        <v>0</v>
      </c>
      <c r="E1279" s="2">
        <v>1</v>
      </c>
      <c r="F1279" s="2">
        <v>7.8419014717358307E-2</v>
      </c>
      <c r="G1279" s="2">
        <v>2</v>
      </c>
    </row>
    <row r="1280" spans="1:7" x14ac:dyDescent="0.2">
      <c r="A1280" s="2" t="s">
        <v>24</v>
      </c>
      <c r="B1280" s="14">
        <v>38718</v>
      </c>
      <c r="C1280" s="2">
        <v>0.31716791979999998</v>
      </c>
      <c r="D1280" s="2">
        <v>0</v>
      </c>
      <c r="E1280" s="2">
        <v>1</v>
      </c>
      <c r="F1280" s="2">
        <v>9.0887039160689395E-2</v>
      </c>
      <c r="G1280" s="2">
        <v>2</v>
      </c>
    </row>
    <row r="1281" spans="1:7" x14ac:dyDescent="0.2">
      <c r="A1281" s="2" t="s">
        <v>24</v>
      </c>
      <c r="B1281" s="14">
        <v>38749</v>
      </c>
      <c r="C1281" s="2">
        <v>-8.1914185139000006E-2</v>
      </c>
      <c r="D1281" s="2">
        <v>-1.1873442999999999E-2</v>
      </c>
      <c r="E1281" s="2">
        <v>1</v>
      </c>
      <c r="F1281" s="2">
        <v>8.4406318807891401E-2</v>
      </c>
      <c r="G1281" s="2">
        <v>2</v>
      </c>
    </row>
    <row r="1282" spans="1:7" x14ac:dyDescent="0.2">
      <c r="A1282" s="2" t="s">
        <v>24</v>
      </c>
      <c r="B1282" s="14">
        <v>38777</v>
      </c>
      <c r="C1282" s="2">
        <v>0.18652849740999999</v>
      </c>
      <c r="D1282" s="2">
        <v>0</v>
      </c>
      <c r="E1282" s="2">
        <v>1</v>
      </c>
      <c r="F1282" s="2">
        <v>8.17578413750219E-2</v>
      </c>
      <c r="G1282" s="2">
        <v>2</v>
      </c>
    </row>
    <row r="1283" spans="1:7" x14ac:dyDescent="0.2">
      <c r="A1283" s="2" t="s">
        <v>24</v>
      </c>
      <c r="B1283" s="14">
        <v>38808</v>
      </c>
      <c r="C1283" s="2">
        <v>0.17467248907999999</v>
      </c>
      <c r="D1283" s="2">
        <v>0</v>
      </c>
      <c r="E1283" s="2">
        <v>1</v>
      </c>
      <c r="F1283" s="2">
        <v>8.5543732596894295E-2</v>
      </c>
      <c r="G1283" s="2">
        <v>2</v>
      </c>
    </row>
    <row r="1284" spans="1:7" x14ac:dyDescent="0.2">
      <c r="A1284" s="2" t="s">
        <v>24</v>
      </c>
      <c r="B1284" s="14">
        <v>38838</v>
      </c>
      <c r="C1284" s="2">
        <v>0.11147603088999999</v>
      </c>
      <c r="D1284" s="2">
        <v>0</v>
      </c>
      <c r="E1284" s="2">
        <v>1</v>
      </c>
      <c r="F1284" s="2">
        <v>9.0471017869539497E-2</v>
      </c>
      <c r="G1284" s="2">
        <v>2</v>
      </c>
    </row>
    <row r="1285" spans="1:7" x14ac:dyDescent="0.2">
      <c r="A1285" s="2" t="s">
        <v>24</v>
      </c>
      <c r="B1285" s="14">
        <v>38869</v>
      </c>
      <c r="C1285" s="2">
        <v>-9.6995184149000005E-3</v>
      </c>
      <c r="D1285" s="2">
        <v>0</v>
      </c>
      <c r="E1285" s="2">
        <v>1</v>
      </c>
      <c r="F1285" s="2">
        <v>9.1246227630847193E-2</v>
      </c>
      <c r="G1285" s="2">
        <v>2</v>
      </c>
    </row>
    <row r="1286" spans="1:7" x14ac:dyDescent="0.2">
      <c r="A1286" s="2" t="s">
        <v>24</v>
      </c>
      <c r="B1286" s="14">
        <v>38899</v>
      </c>
      <c r="C1286" s="2">
        <v>-0.12328767123000001</v>
      </c>
      <c r="D1286" s="2">
        <v>0</v>
      </c>
      <c r="E1286" s="2">
        <v>1</v>
      </c>
      <c r="F1286" s="2">
        <v>7.6465718184456702E-2</v>
      </c>
      <c r="G1286" s="2">
        <v>2</v>
      </c>
    </row>
    <row r="1287" spans="1:7" x14ac:dyDescent="0.2">
      <c r="A1287" s="2" t="s">
        <v>24</v>
      </c>
      <c r="B1287" s="14">
        <v>38930</v>
      </c>
      <c r="C1287" s="2">
        <v>-0.248046875</v>
      </c>
      <c r="D1287" s="2">
        <v>0</v>
      </c>
      <c r="E1287" s="2">
        <v>1</v>
      </c>
      <c r="F1287" s="2">
        <v>4.32071197135157E-2</v>
      </c>
      <c r="G1287" s="2">
        <v>2</v>
      </c>
    </row>
    <row r="1288" spans="1:7" x14ac:dyDescent="0.2">
      <c r="A1288" s="2" t="s">
        <v>24</v>
      </c>
      <c r="B1288" s="14">
        <v>38961</v>
      </c>
      <c r="C1288" s="2">
        <v>-0.11698701298</v>
      </c>
      <c r="D1288" s="2">
        <v>0</v>
      </c>
      <c r="E1288" s="2">
        <v>1</v>
      </c>
      <c r="F1288" s="2">
        <v>3.9543896937869201E-2</v>
      </c>
      <c r="G1288" s="2">
        <v>2</v>
      </c>
    </row>
    <row r="1289" spans="1:7" x14ac:dyDescent="0.2">
      <c r="A1289" s="2" t="s">
        <v>24</v>
      </c>
      <c r="B1289" s="14">
        <v>38991</v>
      </c>
      <c r="C1289" s="2">
        <v>7.1773149775E-3</v>
      </c>
      <c r="D1289" s="2">
        <v>0</v>
      </c>
      <c r="E1289" s="2">
        <v>1</v>
      </c>
      <c r="F1289" s="2">
        <v>3.1199060581490801E-2</v>
      </c>
      <c r="G1289" s="2">
        <v>2</v>
      </c>
    </row>
    <row r="1290" spans="1:7" x14ac:dyDescent="0.2">
      <c r="A1290" s="2" t="s">
        <v>24</v>
      </c>
      <c r="B1290" s="14">
        <v>39022</v>
      </c>
      <c r="C1290" s="2">
        <v>6.2967289721000005E-2</v>
      </c>
      <c r="D1290" s="2">
        <v>0</v>
      </c>
      <c r="E1290" s="2">
        <v>1</v>
      </c>
      <c r="F1290" s="2">
        <v>2.63344130878445E-2</v>
      </c>
      <c r="G1290" s="2">
        <v>2</v>
      </c>
    </row>
    <row r="1291" spans="1:7" x14ac:dyDescent="0.2">
      <c r="A1291" s="2" t="s">
        <v>24</v>
      </c>
      <c r="B1291" s="14">
        <v>39052</v>
      </c>
      <c r="C1291" s="2">
        <v>-4.3850972634999999E-2</v>
      </c>
      <c r="D1291" s="2">
        <v>0</v>
      </c>
      <c r="E1291" s="2">
        <v>1</v>
      </c>
      <c r="F1291" s="2">
        <v>2.4793967653119999E-2</v>
      </c>
      <c r="G1291" s="2">
        <v>2</v>
      </c>
    </row>
    <row r="1292" spans="1:7" x14ac:dyDescent="0.2">
      <c r="A1292" s="2" t="s">
        <v>24</v>
      </c>
      <c r="B1292" s="14">
        <v>39083</v>
      </c>
      <c r="C1292" s="2">
        <v>1.7241379309999999E-2</v>
      </c>
      <c r="D1292" s="2">
        <v>0</v>
      </c>
      <c r="E1292" s="2">
        <v>1</v>
      </c>
      <c r="F1292" s="2">
        <v>2.29521682091305E-2</v>
      </c>
      <c r="G1292" s="2">
        <v>2</v>
      </c>
    </row>
    <row r="1293" spans="1:7" x14ac:dyDescent="0.2">
      <c r="A1293" s="2" t="s">
        <v>24</v>
      </c>
      <c r="B1293" s="14">
        <v>39114</v>
      </c>
      <c r="C1293" s="2">
        <v>-0.18644067797</v>
      </c>
      <c r="D1293" s="2">
        <v>0</v>
      </c>
      <c r="E1293" s="2">
        <v>1</v>
      </c>
      <c r="F1293" s="2">
        <v>2.64032599415698E-2</v>
      </c>
      <c r="G1293" s="2">
        <v>2</v>
      </c>
    </row>
    <row r="1294" spans="1:7" x14ac:dyDescent="0.2">
      <c r="A1294" s="2" t="s">
        <v>24</v>
      </c>
      <c r="B1294" s="14">
        <v>39142</v>
      </c>
      <c r="C1294" s="2">
        <v>5.5555555557000001E-2</v>
      </c>
      <c r="D1294" s="2">
        <v>0</v>
      </c>
      <c r="E1294" s="2">
        <v>1</v>
      </c>
      <c r="F1294" s="2">
        <v>2.8819637581707799E-2</v>
      </c>
      <c r="G1294" s="2">
        <v>2</v>
      </c>
    </row>
    <row r="1295" spans="1:7" x14ac:dyDescent="0.2">
      <c r="A1295" s="2" t="s">
        <v>24</v>
      </c>
      <c r="B1295" s="14">
        <v>39173</v>
      </c>
      <c r="C1295" s="2">
        <v>-5.2763157895000003E-2</v>
      </c>
      <c r="D1295" s="2">
        <v>0</v>
      </c>
      <c r="E1295" s="2">
        <v>1</v>
      </c>
      <c r="F1295" s="2">
        <v>3.3441717572141302E-2</v>
      </c>
      <c r="G1295" s="2">
        <v>2</v>
      </c>
    </row>
    <row r="1296" spans="1:7" x14ac:dyDescent="0.2">
      <c r="A1296" s="2" t="s">
        <v>24</v>
      </c>
      <c r="B1296" s="14">
        <v>39203</v>
      </c>
      <c r="C1296" s="2">
        <v>8.6950605036999994E-3</v>
      </c>
      <c r="D1296" s="2">
        <v>0</v>
      </c>
      <c r="E1296" s="2">
        <v>1</v>
      </c>
      <c r="F1296" s="2">
        <v>3.1514323332267398E-2</v>
      </c>
      <c r="G1296" s="2">
        <v>2</v>
      </c>
    </row>
    <row r="1297" spans="1:7" x14ac:dyDescent="0.2">
      <c r="A1297" s="2" t="s">
        <v>24</v>
      </c>
      <c r="B1297" s="14">
        <v>39234</v>
      </c>
      <c r="C1297" s="2">
        <v>2.8169014084000001E-2</v>
      </c>
      <c r="D1297" s="2">
        <v>0</v>
      </c>
      <c r="E1297" s="2">
        <v>1</v>
      </c>
      <c r="F1297" s="2">
        <v>2.9792719030604101E-2</v>
      </c>
      <c r="G1297" s="2">
        <v>2</v>
      </c>
    </row>
    <row r="1298" spans="1:7" x14ac:dyDescent="0.2">
      <c r="A1298" s="2" t="s">
        <v>24</v>
      </c>
      <c r="B1298" s="14">
        <v>39264</v>
      </c>
      <c r="C1298" s="2">
        <v>9.5890410959E-2</v>
      </c>
      <c r="D1298" s="2">
        <v>0</v>
      </c>
      <c r="E1298" s="2">
        <v>1</v>
      </c>
      <c r="F1298" s="2">
        <v>3.1849603901333103E-2</v>
      </c>
      <c r="G1298" s="2">
        <v>2</v>
      </c>
    </row>
    <row r="1299" spans="1:7" x14ac:dyDescent="0.2">
      <c r="A1299" s="2" t="s">
        <v>24</v>
      </c>
      <c r="B1299" s="14">
        <v>39295</v>
      </c>
      <c r="C1299" s="2">
        <v>-9.9875000000000005E-2</v>
      </c>
      <c r="D1299" s="2">
        <v>0</v>
      </c>
      <c r="E1299" s="2">
        <v>1</v>
      </c>
      <c r="F1299" s="2">
        <v>3.3362307539501999E-2</v>
      </c>
      <c r="G1299" s="2">
        <v>2</v>
      </c>
    </row>
    <row r="1300" spans="1:7" x14ac:dyDescent="0.2">
      <c r="A1300" s="2" t="s">
        <v>24</v>
      </c>
      <c r="B1300" s="14">
        <v>39326</v>
      </c>
      <c r="C1300" s="2">
        <v>-3.8328009998999997E-2</v>
      </c>
      <c r="D1300" s="2">
        <v>0</v>
      </c>
      <c r="E1300" s="2">
        <v>1</v>
      </c>
      <c r="F1300" s="2">
        <v>3.5702364124814499E-2</v>
      </c>
      <c r="G1300" s="2">
        <v>2</v>
      </c>
    </row>
    <row r="1301" spans="1:7" x14ac:dyDescent="0.2">
      <c r="A1301" s="2" t="s">
        <v>24</v>
      </c>
      <c r="B1301" s="14">
        <v>39356</v>
      </c>
      <c r="C1301" s="2">
        <v>4.6931407942E-2</v>
      </c>
      <c r="D1301" s="2">
        <v>0</v>
      </c>
      <c r="E1301" s="2">
        <v>1</v>
      </c>
      <c r="F1301" s="2">
        <v>3.2975392745175802E-2</v>
      </c>
      <c r="G1301" s="2">
        <v>2</v>
      </c>
    </row>
    <row r="1302" spans="1:7" x14ac:dyDescent="0.2">
      <c r="A1302" s="2" t="s">
        <v>24</v>
      </c>
      <c r="B1302" s="14">
        <v>39387</v>
      </c>
      <c r="C1302" s="2">
        <v>-3.7669227468999998E-2</v>
      </c>
      <c r="D1302" s="2">
        <v>0</v>
      </c>
      <c r="E1302" s="2">
        <v>1</v>
      </c>
      <c r="F1302" s="2">
        <v>3.5783605549806301E-2</v>
      </c>
      <c r="G1302" s="2">
        <v>2</v>
      </c>
    </row>
    <row r="1303" spans="1:7" x14ac:dyDescent="0.2">
      <c r="A1303" s="2" t="s">
        <v>24</v>
      </c>
      <c r="B1303" s="14">
        <v>39417</v>
      </c>
      <c r="C1303" s="2">
        <v>-1.0209869541E-2</v>
      </c>
      <c r="D1303" s="2">
        <v>0</v>
      </c>
      <c r="E1303" s="2">
        <v>1</v>
      </c>
      <c r="F1303" s="2">
        <v>3.3844539483240302E-2</v>
      </c>
      <c r="G1303" s="2">
        <v>2</v>
      </c>
    </row>
    <row r="1304" spans="1:7" x14ac:dyDescent="0.2">
      <c r="A1304" s="2" t="s">
        <v>24</v>
      </c>
      <c r="B1304" s="14">
        <v>39448</v>
      </c>
      <c r="C1304" s="2">
        <v>-0.19770773639</v>
      </c>
      <c r="D1304" s="2">
        <v>0</v>
      </c>
      <c r="E1304" s="2">
        <v>1</v>
      </c>
      <c r="F1304" s="2">
        <v>3.2750658553609202E-2</v>
      </c>
      <c r="G1304" s="2">
        <v>2</v>
      </c>
    </row>
    <row r="1305" spans="1:7" x14ac:dyDescent="0.2">
      <c r="A1305" s="2" t="s">
        <v>24</v>
      </c>
      <c r="B1305" s="14">
        <v>39479</v>
      </c>
      <c r="C1305" s="2">
        <v>3.5714285716000001E-2</v>
      </c>
      <c r="D1305" s="2">
        <v>0</v>
      </c>
      <c r="E1305" s="2">
        <v>1</v>
      </c>
      <c r="F1305" s="2">
        <v>2.5061500602974698E-2</v>
      </c>
      <c r="G1305" s="2">
        <v>2</v>
      </c>
    </row>
    <row r="1306" spans="1:7" x14ac:dyDescent="0.2">
      <c r="A1306" s="2" t="s">
        <v>24</v>
      </c>
      <c r="B1306" s="14">
        <v>39508</v>
      </c>
      <c r="C1306" s="2">
        <v>-0.15517241378999999</v>
      </c>
      <c r="D1306" s="2">
        <v>0</v>
      </c>
      <c r="E1306" s="2">
        <v>1</v>
      </c>
      <c r="F1306" s="2">
        <v>2.8614864778184802E-2</v>
      </c>
      <c r="G1306" s="2">
        <v>2</v>
      </c>
    </row>
    <row r="1307" spans="1:7" x14ac:dyDescent="0.2">
      <c r="A1307" s="2" t="s">
        <v>24</v>
      </c>
      <c r="B1307" s="14">
        <v>39539</v>
      </c>
      <c r="C1307" s="2">
        <v>-7.1428571428000007E-2</v>
      </c>
      <c r="D1307" s="2">
        <v>0</v>
      </c>
      <c r="E1307" s="2">
        <v>1</v>
      </c>
      <c r="F1307" s="2">
        <v>2.5741287722942399E-2</v>
      </c>
      <c r="G1307" s="2">
        <v>2</v>
      </c>
    </row>
    <row r="1308" spans="1:7" x14ac:dyDescent="0.2">
      <c r="A1308" s="2" t="s">
        <v>24</v>
      </c>
      <c r="B1308" s="14">
        <v>39569</v>
      </c>
      <c r="C1308" s="2">
        <v>-8.5668266149E-2</v>
      </c>
      <c r="D1308" s="2">
        <v>0</v>
      </c>
      <c r="E1308" s="2">
        <v>1</v>
      </c>
      <c r="F1308" s="2">
        <v>2.25014618115362E-2</v>
      </c>
      <c r="G1308" s="2">
        <v>2</v>
      </c>
    </row>
    <row r="1309" spans="1:7" x14ac:dyDescent="0.2">
      <c r="A1309" s="2" t="s">
        <v>24</v>
      </c>
      <c r="B1309" s="14">
        <v>39600</v>
      </c>
      <c r="C1309" s="2">
        <v>-0.19287978542000001</v>
      </c>
      <c r="D1309" s="2">
        <v>0</v>
      </c>
      <c r="E1309" s="2">
        <v>1</v>
      </c>
      <c r="F1309" s="2">
        <v>2.1354155449593699E-2</v>
      </c>
      <c r="G1309" s="2">
        <v>2</v>
      </c>
    </row>
    <row r="1310" spans="1:7" x14ac:dyDescent="0.2">
      <c r="A1310" s="2" t="s">
        <v>24</v>
      </c>
      <c r="B1310" s="14">
        <v>39630</v>
      </c>
      <c r="C1310" s="2">
        <v>2.7190332328E-2</v>
      </c>
      <c r="D1310" s="2">
        <v>0</v>
      </c>
      <c r="E1310" s="2">
        <v>1</v>
      </c>
      <c r="F1310" s="2">
        <v>1.6699603613079098E-2</v>
      </c>
      <c r="G1310" s="2">
        <v>2</v>
      </c>
    </row>
    <row r="1311" spans="1:7" x14ac:dyDescent="0.2">
      <c r="A1311" s="2" t="s">
        <v>24</v>
      </c>
      <c r="B1311" s="14">
        <v>39661</v>
      </c>
      <c r="C1311" s="2">
        <v>-0.14705882352999999</v>
      </c>
      <c r="D1311" s="2">
        <v>0</v>
      </c>
      <c r="E1311" s="2">
        <v>1</v>
      </c>
      <c r="F1311" s="2">
        <v>2.6950180758167599E-2</v>
      </c>
      <c r="G1311" s="2">
        <v>2</v>
      </c>
    </row>
    <row r="1312" spans="1:7" x14ac:dyDescent="0.2">
      <c r="A1312" s="2" t="s">
        <v>24</v>
      </c>
      <c r="B1312" s="14">
        <v>39692</v>
      </c>
      <c r="C1312" s="2">
        <v>-0.15689655172</v>
      </c>
      <c r="D1312" s="2">
        <v>0</v>
      </c>
      <c r="E1312" s="2">
        <v>1</v>
      </c>
      <c r="F1312" s="2">
        <v>2.2084255146028201E-2</v>
      </c>
      <c r="G1312" s="2">
        <v>2</v>
      </c>
    </row>
    <row r="1313" spans="1:7" x14ac:dyDescent="0.2">
      <c r="A1313" s="2" t="s">
        <v>24</v>
      </c>
      <c r="B1313" s="14">
        <v>39722</v>
      </c>
      <c r="C1313" s="2">
        <v>-0.14110429447</v>
      </c>
      <c r="D1313" s="2">
        <v>0</v>
      </c>
      <c r="E1313" s="2">
        <v>1</v>
      </c>
      <c r="F1313" s="2">
        <v>2.24766341037302E-2</v>
      </c>
      <c r="G1313" s="2">
        <v>2</v>
      </c>
    </row>
    <row r="1314" spans="1:7" x14ac:dyDescent="0.2">
      <c r="A1314" s="2" t="s">
        <v>24</v>
      </c>
      <c r="B1314" s="14">
        <v>39753</v>
      </c>
      <c r="C1314" s="2">
        <v>-4.7619047619000002E-2</v>
      </c>
      <c r="D1314" s="2">
        <v>0</v>
      </c>
      <c r="E1314" s="2">
        <v>1</v>
      </c>
      <c r="F1314" s="2">
        <v>2.0663925267713299E-2</v>
      </c>
      <c r="G1314" s="2">
        <v>2</v>
      </c>
    </row>
    <row r="1315" spans="1:7" x14ac:dyDescent="0.2">
      <c r="A1315" s="2" t="s">
        <v>24</v>
      </c>
      <c r="B1315" s="14">
        <v>39783</v>
      </c>
      <c r="C1315" s="2">
        <v>-0.15</v>
      </c>
      <c r="D1315" s="2">
        <v>0</v>
      </c>
      <c r="E1315" s="2">
        <v>1</v>
      </c>
      <c r="F1315" s="2">
        <v>2.1863488791177499E-2</v>
      </c>
      <c r="G1315" s="2">
        <v>2</v>
      </c>
    </row>
    <row r="1316" spans="1:7" x14ac:dyDescent="0.2">
      <c r="A1316" s="2" t="s">
        <v>25</v>
      </c>
      <c r="B1316" s="14">
        <v>37591</v>
      </c>
      <c r="C1316" s="2">
        <v>9.0425531914999996E-2</v>
      </c>
      <c r="D1316" s="2">
        <v>2.4702285999999999E-3</v>
      </c>
      <c r="E1316" s="2">
        <v>1</v>
      </c>
      <c r="G1316" s="2">
        <v>1</v>
      </c>
    </row>
    <row r="1317" spans="1:7" x14ac:dyDescent="0.2">
      <c r="A1317" s="2" t="s">
        <v>25</v>
      </c>
      <c r="B1317" s="14">
        <v>37622</v>
      </c>
      <c r="C1317" s="2">
        <v>0.12195121951</v>
      </c>
      <c r="D1317" s="2">
        <v>-8.2834100000000002E-4</v>
      </c>
      <c r="E1317" s="2">
        <v>1</v>
      </c>
      <c r="G1317" s="2">
        <v>1</v>
      </c>
    </row>
    <row r="1318" spans="1:7" x14ac:dyDescent="0.2">
      <c r="A1318" s="2" t="s">
        <v>25</v>
      </c>
      <c r="B1318" s="14">
        <v>37653</v>
      </c>
      <c r="C1318" s="2">
        <v>4.3478260868000003E-2</v>
      </c>
      <c r="D1318" s="2">
        <v>5.6328176999999998E-3</v>
      </c>
      <c r="E1318" s="2">
        <v>1</v>
      </c>
      <c r="G1318" s="2">
        <v>1</v>
      </c>
    </row>
    <row r="1319" spans="1:7" x14ac:dyDescent="0.2">
      <c r="A1319" s="2" t="s">
        <v>25</v>
      </c>
      <c r="B1319" s="14">
        <v>37681</v>
      </c>
      <c r="C1319" s="2">
        <v>-5.8333333332999997E-2</v>
      </c>
      <c r="D1319" s="2">
        <v>-1.2614812999999999E-3</v>
      </c>
      <c r="E1319" s="2">
        <v>1</v>
      </c>
      <c r="G1319" s="2">
        <v>1</v>
      </c>
    </row>
    <row r="1320" spans="1:7" x14ac:dyDescent="0.2">
      <c r="A1320" s="2" t="s">
        <v>25</v>
      </c>
      <c r="B1320" s="14">
        <v>37712</v>
      </c>
      <c r="C1320" s="2">
        <v>1.0243362831</v>
      </c>
      <c r="D1320" s="2">
        <v>-2.9446741E-3</v>
      </c>
      <c r="E1320" s="2">
        <v>1</v>
      </c>
      <c r="G1320" s="2">
        <v>1</v>
      </c>
    </row>
    <row r="1321" spans="1:7" x14ac:dyDescent="0.2">
      <c r="A1321" s="2" t="s">
        <v>25</v>
      </c>
      <c r="B1321" s="14">
        <v>37742</v>
      </c>
      <c r="C1321" s="2">
        <v>0.15271171903</v>
      </c>
      <c r="D1321" s="2">
        <v>-1.2101237000000001E-2</v>
      </c>
      <c r="E1321" s="2">
        <v>1</v>
      </c>
      <c r="G1321" s="2">
        <v>1</v>
      </c>
    </row>
    <row r="1322" spans="1:7" x14ac:dyDescent="0.2">
      <c r="A1322" s="2" t="s">
        <v>25</v>
      </c>
      <c r="B1322" s="14">
        <v>37773</v>
      </c>
      <c r="C1322" s="2">
        <v>0.17142857143000001</v>
      </c>
      <c r="D1322" s="2">
        <v>-9.1073749E-4</v>
      </c>
      <c r="E1322" s="2">
        <v>1</v>
      </c>
      <c r="G1322" s="2">
        <v>1</v>
      </c>
    </row>
    <row r="1323" spans="1:7" x14ac:dyDescent="0.2">
      <c r="A1323" s="2" t="s">
        <v>25</v>
      </c>
      <c r="B1323" s="14">
        <v>37803</v>
      </c>
      <c r="C1323" s="2">
        <v>-3.2601606168000001E-2</v>
      </c>
      <c r="D1323" s="2">
        <v>-2.2407976999999999E-3</v>
      </c>
      <c r="E1323" s="2">
        <v>1</v>
      </c>
      <c r="G1323" s="2">
        <v>1</v>
      </c>
    </row>
    <row r="1324" spans="1:7" x14ac:dyDescent="0.2">
      <c r="A1324" s="2" t="s">
        <v>25</v>
      </c>
      <c r="B1324" s="14">
        <v>37834</v>
      </c>
      <c r="C1324" s="2">
        <v>-1.6724114636000001E-2</v>
      </c>
      <c r="D1324" s="2">
        <v>2.2144208000000002E-3</v>
      </c>
      <c r="E1324" s="2">
        <v>1</v>
      </c>
      <c r="F1324" s="2">
        <v>0.10415422047716499</v>
      </c>
      <c r="G1324" s="2">
        <v>1</v>
      </c>
    </row>
    <row r="1325" spans="1:7" x14ac:dyDescent="0.2">
      <c r="A1325" s="2" t="s">
        <v>25</v>
      </c>
      <c r="B1325" s="14">
        <v>37865</v>
      </c>
      <c r="C1325" s="2">
        <v>-6.7521367521000006E-2</v>
      </c>
      <c r="D1325" s="2">
        <v>5.9965294000000004E-4</v>
      </c>
      <c r="E1325" s="2">
        <v>1</v>
      </c>
      <c r="F1325" s="2">
        <v>0.102097282201021</v>
      </c>
      <c r="G1325" s="2">
        <v>1</v>
      </c>
    </row>
    <row r="1326" spans="1:7" x14ac:dyDescent="0.2">
      <c r="A1326" s="2" t="s">
        <v>25</v>
      </c>
      <c r="B1326" s="14">
        <v>37895</v>
      </c>
      <c r="C1326" s="2">
        <v>0.25834083128000002</v>
      </c>
      <c r="D1326" s="2">
        <v>8.6637028000000008E-3</v>
      </c>
      <c r="E1326" s="2">
        <v>1</v>
      </c>
      <c r="F1326" s="2">
        <v>0.101746166140637</v>
      </c>
      <c r="G1326" s="2">
        <v>1</v>
      </c>
    </row>
    <row r="1327" spans="1:7" x14ac:dyDescent="0.2">
      <c r="A1327" s="2" t="s">
        <v>25</v>
      </c>
      <c r="B1327" s="14">
        <v>37926</v>
      </c>
      <c r="C1327" s="2">
        <v>2.1897810218E-2</v>
      </c>
      <c r="D1327" s="2">
        <v>-2.0167469000000001E-3</v>
      </c>
      <c r="E1327" s="2">
        <v>1</v>
      </c>
      <c r="F1327" s="2">
        <v>7.8767646550035306E-2</v>
      </c>
      <c r="G1327" s="2">
        <v>1</v>
      </c>
    </row>
    <row r="1328" spans="1:7" x14ac:dyDescent="0.2">
      <c r="A1328" s="2" t="s">
        <v>25</v>
      </c>
      <c r="B1328" s="14">
        <v>37956</v>
      </c>
      <c r="C1328" s="2">
        <v>-7.1428571418000004E-3</v>
      </c>
      <c r="D1328" s="2">
        <v>-1.0991506999999999E-3</v>
      </c>
      <c r="E1328" s="2">
        <v>1</v>
      </c>
      <c r="F1328" s="2">
        <v>7.46808574540061E-2</v>
      </c>
      <c r="G1328" s="2">
        <v>1</v>
      </c>
    </row>
    <row r="1329" spans="1:7" x14ac:dyDescent="0.2">
      <c r="A1329" s="2" t="s">
        <v>25</v>
      </c>
      <c r="B1329" s="14">
        <v>37987</v>
      </c>
      <c r="C1329" s="2">
        <v>1.8264827423999999E-2</v>
      </c>
      <c r="E1329" s="2">
        <v>1</v>
      </c>
      <c r="F1329" s="2">
        <v>6.9331018094430499E-2</v>
      </c>
      <c r="G1329" s="2">
        <v>1</v>
      </c>
    </row>
    <row r="1330" spans="1:7" x14ac:dyDescent="0.2">
      <c r="A1330" s="2" t="s">
        <v>25</v>
      </c>
      <c r="B1330" s="14">
        <v>38018</v>
      </c>
      <c r="C1330" s="2">
        <v>0.24285714286000001</v>
      </c>
      <c r="E1330" s="2">
        <v>1</v>
      </c>
      <c r="F1330" s="2">
        <v>7.0819630311843101E-2</v>
      </c>
      <c r="G1330" s="2">
        <v>1</v>
      </c>
    </row>
    <row r="1331" spans="1:7" x14ac:dyDescent="0.2">
      <c r="A1331" s="2" t="s">
        <v>25</v>
      </c>
      <c r="B1331" s="14">
        <v>38047</v>
      </c>
      <c r="C1331" s="2">
        <v>0.41321839081</v>
      </c>
      <c r="D1331" s="2">
        <v>-1.2626321999999999E-3</v>
      </c>
      <c r="E1331" s="2">
        <v>1</v>
      </c>
      <c r="F1331" s="2">
        <v>7.7834886440849599E-2</v>
      </c>
      <c r="G1331" s="2">
        <v>1</v>
      </c>
    </row>
    <row r="1332" spans="1:7" x14ac:dyDescent="0.2">
      <c r="A1332" s="2" t="s">
        <v>25</v>
      </c>
      <c r="B1332" s="14">
        <v>38078</v>
      </c>
      <c r="C1332" s="2">
        <v>-9.2801952012999997E-2</v>
      </c>
      <c r="D1332" s="2">
        <v>-2.4164105000000001E-3</v>
      </c>
      <c r="E1332" s="2">
        <v>1</v>
      </c>
      <c r="F1332" s="2">
        <v>9.0978211129657205E-2</v>
      </c>
      <c r="G1332" s="2">
        <v>1</v>
      </c>
    </row>
    <row r="1333" spans="1:7" x14ac:dyDescent="0.2">
      <c r="A1333" s="2" t="s">
        <v>25</v>
      </c>
      <c r="B1333" s="14">
        <v>38108</v>
      </c>
      <c r="C1333" s="2">
        <v>4.4647660030000001E-2</v>
      </c>
      <c r="D1333" s="2">
        <v>-1.5325921E-3</v>
      </c>
      <c r="E1333" s="2">
        <v>1</v>
      </c>
      <c r="F1333" s="2">
        <v>7.8317250353141701E-2</v>
      </c>
      <c r="G1333" s="2">
        <v>1</v>
      </c>
    </row>
    <row r="1334" spans="1:7" x14ac:dyDescent="0.2">
      <c r="A1334" s="2" t="s">
        <v>25</v>
      </c>
      <c r="B1334" s="14">
        <v>38139</v>
      </c>
      <c r="C1334" s="2">
        <v>6.6340542397999996E-2</v>
      </c>
      <c r="D1334" s="2">
        <v>1.6918180000000001E-3</v>
      </c>
      <c r="E1334" s="2">
        <v>1</v>
      </c>
      <c r="F1334" s="2">
        <v>7.8857846212494906E-2</v>
      </c>
      <c r="G1334" s="2">
        <v>1</v>
      </c>
    </row>
    <row r="1335" spans="1:7" x14ac:dyDescent="0.2">
      <c r="A1335" s="2" t="s">
        <v>25</v>
      </c>
      <c r="B1335" s="14">
        <v>38169</v>
      </c>
      <c r="C1335" s="2">
        <v>4.9613161646999998E-2</v>
      </c>
      <c r="D1335" s="2">
        <v>8.0211786999999997E-4</v>
      </c>
      <c r="E1335" s="2">
        <v>1</v>
      </c>
      <c r="F1335" s="2">
        <v>8.0784005042100399E-2</v>
      </c>
      <c r="G1335" s="2">
        <v>1</v>
      </c>
    </row>
    <row r="1336" spans="1:7" x14ac:dyDescent="0.2">
      <c r="A1336" s="2" t="s">
        <v>25</v>
      </c>
      <c r="B1336" s="14">
        <v>38200</v>
      </c>
      <c r="C1336" s="2">
        <v>0.15830115829999999</v>
      </c>
      <c r="D1336" s="2">
        <v>3.9055429E-3</v>
      </c>
      <c r="E1336" s="2">
        <v>1</v>
      </c>
      <c r="F1336" s="2">
        <v>5.4060669118701103E-2</v>
      </c>
      <c r="G1336" s="2">
        <v>1</v>
      </c>
    </row>
    <row r="1337" spans="1:7" x14ac:dyDescent="0.2">
      <c r="A1337" s="2" t="s">
        <v>25</v>
      </c>
      <c r="B1337" s="14">
        <v>38231</v>
      </c>
      <c r="C1337" s="2">
        <v>0.56676666666999997</v>
      </c>
      <c r="D1337" s="2">
        <v>8.4376512000000001E-3</v>
      </c>
      <c r="E1337" s="2">
        <v>1</v>
      </c>
      <c r="F1337" s="2">
        <v>5.1255305069221803E-2</v>
      </c>
      <c r="G1337" s="2">
        <v>1</v>
      </c>
    </row>
    <row r="1338" spans="1:7" x14ac:dyDescent="0.2">
      <c r="A1338" s="2" t="s">
        <v>25</v>
      </c>
      <c r="B1338" s="14">
        <v>38261</v>
      </c>
      <c r="C1338" s="2">
        <v>-2.1560647903999999E-2</v>
      </c>
      <c r="D1338" s="2">
        <v>3.3214939999999999E-3</v>
      </c>
      <c r="E1338" s="2">
        <v>1</v>
      </c>
      <c r="F1338" s="2">
        <v>5.5499698144646399E-2</v>
      </c>
      <c r="G1338" s="2">
        <v>1</v>
      </c>
    </row>
    <row r="1339" spans="1:7" x14ac:dyDescent="0.2">
      <c r="A1339" s="2" t="s">
        <v>25</v>
      </c>
      <c r="B1339" s="14">
        <v>38292</v>
      </c>
      <c r="C1339" s="2">
        <v>0.1167400881</v>
      </c>
      <c r="D1339" s="2">
        <v>-1.1842840000000001E-3</v>
      </c>
      <c r="E1339" s="2">
        <v>1</v>
      </c>
      <c r="F1339" s="2">
        <v>5.7673706991779101E-2</v>
      </c>
      <c r="G1339" s="2">
        <v>1</v>
      </c>
    </row>
    <row r="1340" spans="1:7" x14ac:dyDescent="0.2">
      <c r="A1340" s="2" t="s">
        <v>25</v>
      </c>
      <c r="B1340" s="14">
        <v>38322</v>
      </c>
      <c r="C1340" s="2">
        <v>2.5641025641000001E-2</v>
      </c>
      <c r="D1340" s="2">
        <v>2.9801314000000001E-3</v>
      </c>
      <c r="E1340" s="2">
        <v>1</v>
      </c>
      <c r="F1340" s="2">
        <v>5.9458271528738497E-2</v>
      </c>
      <c r="G1340" s="2">
        <v>1</v>
      </c>
    </row>
    <row r="1341" spans="1:7" x14ac:dyDescent="0.2">
      <c r="A1341" s="2" t="s">
        <v>25</v>
      </c>
      <c r="B1341" s="14">
        <v>38353</v>
      </c>
      <c r="C1341" s="2">
        <v>-2.4588453302000001E-2</v>
      </c>
      <c r="D1341" s="2">
        <v>-8.8890385999999995E-4</v>
      </c>
      <c r="E1341" s="2">
        <v>1</v>
      </c>
      <c r="F1341" s="2">
        <v>5.81892899128666E-2</v>
      </c>
      <c r="G1341" s="2">
        <v>1</v>
      </c>
    </row>
    <row r="1342" spans="1:7" x14ac:dyDescent="0.2">
      <c r="A1342" s="2" t="s">
        <v>25</v>
      </c>
      <c r="B1342" s="14">
        <v>38384</v>
      </c>
      <c r="C1342" s="2">
        <v>0.14820879428</v>
      </c>
      <c r="D1342" s="2">
        <v>-1.1567292000000001E-3</v>
      </c>
      <c r="E1342" s="2">
        <v>1</v>
      </c>
      <c r="F1342" s="2">
        <v>5.6182156231059301E-2</v>
      </c>
      <c r="G1342" s="2">
        <v>1</v>
      </c>
    </row>
    <row r="1343" spans="1:7" x14ac:dyDescent="0.2">
      <c r="A1343" s="2" t="s">
        <v>25</v>
      </c>
      <c r="B1343" s="14">
        <v>38412</v>
      </c>
      <c r="C1343" s="2">
        <v>0.40685217391</v>
      </c>
      <c r="D1343" s="2">
        <v>-1.6606633E-3</v>
      </c>
      <c r="E1343" s="2">
        <v>1</v>
      </c>
      <c r="F1343" s="2">
        <v>5.55166058658473E-2</v>
      </c>
      <c r="G1343" s="2">
        <v>1</v>
      </c>
    </row>
    <row r="1344" spans="1:7" x14ac:dyDescent="0.2">
      <c r="A1344" s="2" t="s">
        <v>25</v>
      </c>
      <c r="B1344" s="14">
        <v>38443</v>
      </c>
      <c r="C1344" s="2">
        <v>8.7381996218000007E-3</v>
      </c>
      <c r="D1344" s="2">
        <v>6.2649167E-4</v>
      </c>
      <c r="E1344" s="2">
        <v>1</v>
      </c>
      <c r="F1344" s="2">
        <v>5.0103378742846802E-2</v>
      </c>
      <c r="G1344" s="2">
        <v>1</v>
      </c>
    </row>
    <row r="1345" spans="1:7" x14ac:dyDescent="0.2">
      <c r="A1345" s="2" t="s">
        <v>25</v>
      </c>
      <c r="B1345" s="14">
        <v>38473</v>
      </c>
      <c r="C1345" s="2">
        <v>-0.20061728395</v>
      </c>
      <c r="D1345" s="2">
        <v>-6.7630898999999998E-3</v>
      </c>
      <c r="E1345" s="2">
        <v>1</v>
      </c>
      <c r="F1345" s="2">
        <v>5.0819817074249297E-2</v>
      </c>
      <c r="G1345" s="2">
        <v>1</v>
      </c>
    </row>
    <row r="1346" spans="1:7" x14ac:dyDescent="0.2">
      <c r="A1346" s="2" t="s">
        <v>25</v>
      </c>
      <c r="B1346" s="14">
        <v>38504</v>
      </c>
      <c r="C1346" s="2">
        <v>3.7451737452999997E-2</v>
      </c>
      <c r="D1346" s="2">
        <v>-2.4793687999999999E-3</v>
      </c>
      <c r="E1346" s="2">
        <v>1</v>
      </c>
      <c r="F1346" s="2">
        <v>4.25881690562478E-2</v>
      </c>
      <c r="G1346" s="2">
        <v>1</v>
      </c>
    </row>
    <row r="1347" spans="1:7" x14ac:dyDescent="0.2">
      <c r="A1347" s="2" t="s">
        <v>25</v>
      </c>
      <c r="B1347" s="14">
        <v>38534</v>
      </c>
      <c r="C1347" s="2">
        <v>8.4217831260000001E-2</v>
      </c>
      <c r="D1347" s="2">
        <v>-2.6501840999999999E-3</v>
      </c>
      <c r="E1347" s="2">
        <v>1</v>
      </c>
      <c r="F1347" s="2">
        <v>4.2859086000944298E-2</v>
      </c>
      <c r="G1347" s="2">
        <v>1</v>
      </c>
    </row>
    <row r="1348" spans="1:7" x14ac:dyDescent="0.2">
      <c r="A1348" s="2" t="s">
        <v>25</v>
      </c>
      <c r="B1348" s="14">
        <v>38565</v>
      </c>
      <c r="C1348" s="2">
        <v>-4.8882486223000003E-2</v>
      </c>
      <c r="D1348" s="2">
        <v>4.2861700000000001E-4</v>
      </c>
      <c r="E1348" s="2">
        <v>1</v>
      </c>
      <c r="F1348" s="2">
        <v>2.1573177920008402E-2</v>
      </c>
      <c r="G1348" s="2">
        <v>1</v>
      </c>
    </row>
    <row r="1349" spans="1:7" x14ac:dyDescent="0.2">
      <c r="A1349" s="2" t="s">
        <v>25</v>
      </c>
      <c r="B1349" s="14">
        <v>38596</v>
      </c>
      <c r="C1349" s="2">
        <v>0.13965560343</v>
      </c>
      <c r="D1349" s="2">
        <v>-2.0468374999999999E-3</v>
      </c>
      <c r="E1349" s="2">
        <v>1</v>
      </c>
      <c r="F1349" s="2">
        <v>1.6071176349004301E-2</v>
      </c>
      <c r="G1349" s="2">
        <v>1</v>
      </c>
    </row>
    <row r="1350" spans="1:7" x14ac:dyDescent="0.2">
      <c r="A1350" s="2" t="s">
        <v>25</v>
      </c>
      <c r="B1350" s="14">
        <v>38626</v>
      </c>
      <c r="C1350" s="2">
        <v>-9.5014888337999995E-2</v>
      </c>
      <c r="D1350" s="2">
        <v>-5.7370413999999995E-4</v>
      </c>
      <c r="E1350" s="2">
        <v>1</v>
      </c>
      <c r="F1350" s="2">
        <v>6.9062169380426901E-3</v>
      </c>
      <c r="G1350" s="2">
        <v>1</v>
      </c>
    </row>
    <row r="1351" spans="1:7" x14ac:dyDescent="0.2">
      <c r="A1351" s="2" t="s">
        <v>25</v>
      </c>
      <c r="B1351" s="14">
        <v>38657</v>
      </c>
      <c r="C1351" s="2">
        <v>-3.546428209E-2</v>
      </c>
      <c r="D1351" s="2">
        <v>5.8629712999999997E-4</v>
      </c>
      <c r="E1351" s="2">
        <v>1</v>
      </c>
      <c r="F1351" s="2">
        <v>4.2664685144070003E-3</v>
      </c>
      <c r="G1351" s="2">
        <v>1</v>
      </c>
    </row>
    <row r="1352" spans="1:7" x14ac:dyDescent="0.2">
      <c r="A1352" s="2" t="s">
        <v>25</v>
      </c>
      <c r="B1352" s="14">
        <v>38687</v>
      </c>
      <c r="C1352" s="2">
        <v>1.2741916093999999E-2</v>
      </c>
      <c r="D1352" s="2">
        <v>1.6095821000000001E-3</v>
      </c>
      <c r="E1352" s="2">
        <v>1</v>
      </c>
      <c r="F1352" s="2">
        <v>9.1249542226841899E-3</v>
      </c>
      <c r="G1352" s="2">
        <v>1</v>
      </c>
    </row>
    <row r="1353" spans="1:7" x14ac:dyDescent="0.2">
      <c r="A1353" s="2" t="s">
        <v>25</v>
      </c>
      <c r="B1353" s="14">
        <v>38718</v>
      </c>
      <c r="C1353" s="2">
        <v>9.2468368630000006E-2</v>
      </c>
      <c r="D1353" s="2">
        <v>6.7252771E-4</v>
      </c>
      <c r="E1353" s="2">
        <v>1</v>
      </c>
      <c r="F1353" s="2">
        <v>8.3847898202248396E-3</v>
      </c>
      <c r="G1353" s="2">
        <v>1</v>
      </c>
    </row>
    <row r="1354" spans="1:7" x14ac:dyDescent="0.2">
      <c r="A1354" s="2" t="s">
        <v>25</v>
      </c>
      <c r="B1354" s="14">
        <v>38749</v>
      </c>
      <c r="C1354" s="2">
        <v>4.2710353648999999E-2</v>
      </c>
      <c r="D1354" s="2">
        <v>-7.7094988E-4</v>
      </c>
      <c r="E1354" s="2">
        <v>1</v>
      </c>
      <c r="F1354" s="2">
        <v>8.4417039967490792E-3</v>
      </c>
      <c r="G1354" s="2">
        <v>1</v>
      </c>
    </row>
    <row r="1355" spans="1:7" x14ac:dyDescent="0.2">
      <c r="A1355" s="2" t="s">
        <v>25</v>
      </c>
      <c r="B1355" s="14">
        <v>38777</v>
      </c>
      <c r="C1355" s="2">
        <v>-3.6950556698999999E-2</v>
      </c>
      <c r="D1355" s="2">
        <v>-1.9778905000000001E-3</v>
      </c>
      <c r="E1355" s="2">
        <v>1</v>
      </c>
      <c r="F1355" s="2">
        <v>1.0927886903134801E-2</v>
      </c>
      <c r="G1355" s="2">
        <v>1</v>
      </c>
    </row>
    <row r="1356" spans="1:7" x14ac:dyDescent="0.2">
      <c r="A1356" s="2" t="s">
        <v>25</v>
      </c>
      <c r="B1356" s="14">
        <v>38808</v>
      </c>
      <c r="C1356" s="2">
        <v>5.3020534160000002E-3</v>
      </c>
      <c r="D1356" s="2">
        <v>1.3166844E-3</v>
      </c>
      <c r="E1356" s="2">
        <v>1</v>
      </c>
      <c r="F1356" s="2">
        <v>4.8621562584415202E-3</v>
      </c>
      <c r="G1356" s="2">
        <v>1</v>
      </c>
    </row>
    <row r="1357" spans="1:7" x14ac:dyDescent="0.2">
      <c r="A1357" s="2" t="s">
        <v>25</v>
      </c>
      <c r="B1357" s="14">
        <v>38838</v>
      </c>
      <c r="C1357" s="2">
        <v>1.7487420606E-2</v>
      </c>
      <c r="D1357" s="2">
        <v>-3.4212541999999999E-3</v>
      </c>
      <c r="E1357" s="2">
        <v>1</v>
      </c>
      <c r="F1357" s="2">
        <v>7.7682132464053904E-3</v>
      </c>
      <c r="G1357" s="2">
        <v>1</v>
      </c>
    </row>
    <row r="1358" spans="1:7" x14ac:dyDescent="0.2">
      <c r="A1358" s="2" t="s">
        <v>25</v>
      </c>
      <c r="B1358" s="14">
        <v>38869</v>
      </c>
      <c r="C1358" s="2">
        <v>-3.1225510065E-2</v>
      </c>
      <c r="D1358" s="2">
        <v>-1.9527245E-3</v>
      </c>
      <c r="E1358" s="2">
        <v>1</v>
      </c>
      <c r="F1358" s="2">
        <v>8.7880527680742095E-3</v>
      </c>
      <c r="G1358" s="2">
        <v>1</v>
      </c>
    </row>
    <row r="1359" spans="1:7" x14ac:dyDescent="0.2">
      <c r="A1359" s="2" t="s">
        <v>25</v>
      </c>
      <c r="B1359" s="14">
        <v>38899</v>
      </c>
      <c r="C1359" s="2">
        <v>-2.7774901368999998E-2</v>
      </c>
      <c r="D1359" s="2">
        <v>6.9781409999999998E-4</v>
      </c>
      <c r="E1359" s="2">
        <v>1</v>
      </c>
      <c r="F1359" s="2">
        <v>7.61083009563201E-3</v>
      </c>
      <c r="G1359" s="2">
        <v>1</v>
      </c>
    </row>
    <row r="1360" spans="1:7" x14ac:dyDescent="0.2">
      <c r="A1360" s="2" t="s">
        <v>25</v>
      </c>
      <c r="B1360" s="14">
        <v>38930</v>
      </c>
      <c r="C1360" s="2">
        <v>2.3713581679E-2</v>
      </c>
      <c r="D1360" s="2">
        <v>-8.4516490000000003E-3</v>
      </c>
      <c r="E1360" s="2">
        <v>1</v>
      </c>
      <c r="F1360" s="19">
        <v>7.0465240567126506E-5</v>
      </c>
      <c r="G1360" s="2">
        <v>1</v>
      </c>
    </row>
    <row r="1361" spans="1:7" x14ac:dyDescent="0.2">
      <c r="A1361" s="2" t="s">
        <v>25</v>
      </c>
      <c r="B1361" s="14">
        <v>38961</v>
      </c>
      <c r="C1361" s="2">
        <v>-3.7167615325999999E-2</v>
      </c>
      <c r="D1361" s="2">
        <v>2.3539072999999998E-3</v>
      </c>
      <c r="E1361" s="2">
        <v>1</v>
      </c>
      <c r="F1361" s="2">
        <v>-5.6763327511836798E-4</v>
      </c>
      <c r="G1361" s="2">
        <v>1</v>
      </c>
    </row>
    <row r="1362" spans="1:7" x14ac:dyDescent="0.2">
      <c r="A1362" s="2" t="s">
        <v>25</v>
      </c>
      <c r="B1362" s="14">
        <v>38991</v>
      </c>
      <c r="C1362" s="2">
        <v>4.2051431227999999E-3</v>
      </c>
      <c r="D1362" s="19">
        <v>7.0860711000000001E-5</v>
      </c>
      <c r="E1362" s="2">
        <v>1</v>
      </c>
      <c r="F1362" s="2">
        <v>-7.5658872642545396E-4</v>
      </c>
      <c r="G1362" s="2">
        <v>1</v>
      </c>
    </row>
    <row r="1363" spans="1:7" x14ac:dyDescent="0.2">
      <c r="A1363" s="2" t="s">
        <v>25</v>
      </c>
      <c r="B1363" s="14">
        <v>39022</v>
      </c>
      <c r="C1363" s="2">
        <v>1.5772964016E-2</v>
      </c>
      <c r="D1363" s="19">
        <v>4.0321687000000002E-5</v>
      </c>
      <c r="E1363" s="2">
        <v>1</v>
      </c>
      <c r="F1363" s="2">
        <v>-9.4262944518689901E-4</v>
      </c>
      <c r="G1363" s="2">
        <v>1</v>
      </c>
    </row>
    <row r="1364" spans="1:7" x14ac:dyDescent="0.2">
      <c r="A1364" s="2" t="s">
        <v>25</v>
      </c>
      <c r="B1364" s="14">
        <v>39052</v>
      </c>
      <c r="C1364" s="2">
        <v>0.17880553531999999</v>
      </c>
      <c r="D1364" s="2">
        <v>-1.8430878E-3</v>
      </c>
      <c r="E1364" s="2">
        <v>1</v>
      </c>
      <c r="F1364" s="2">
        <v>-1.0605313257095301E-3</v>
      </c>
      <c r="G1364" s="2">
        <v>1</v>
      </c>
    </row>
    <row r="1365" spans="1:7" x14ac:dyDescent="0.2">
      <c r="A1365" s="2" t="s">
        <v>25</v>
      </c>
      <c r="B1365" s="14">
        <v>39083</v>
      </c>
      <c r="C1365" s="2">
        <v>-8.8151148775000004E-3</v>
      </c>
      <c r="D1365" s="2">
        <v>-6.6953000999999995E-4</v>
      </c>
      <c r="E1365" s="2">
        <v>1</v>
      </c>
      <c r="F1365" s="2">
        <v>5.0968177366218503E-3</v>
      </c>
      <c r="G1365" s="2">
        <v>1</v>
      </c>
    </row>
    <row r="1366" spans="1:7" x14ac:dyDescent="0.2">
      <c r="A1366" s="2" t="s">
        <v>25</v>
      </c>
      <c r="B1366" s="14">
        <v>39114</v>
      </c>
      <c r="C1366" s="2">
        <v>3.1949685534000002E-2</v>
      </c>
      <c r="D1366" s="2">
        <v>7.7657051999999996E-4</v>
      </c>
      <c r="E1366" s="2">
        <v>1</v>
      </c>
      <c r="F1366" s="2">
        <v>5.6124852035366003E-3</v>
      </c>
      <c r="G1366" s="2">
        <v>1</v>
      </c>
    </row>
    <row r="1367" spans="1:7" x14ac:dyDescent="0.2">
      <c r="A1367" s="2" t="s">
        <v>25</v>
      </c>
      <c r="B1367" s="14">
        <v>39142</v>
      </c>
      <c r="C1367" s="2">
        <v>5.1596782057000003E-2</v>
      </c>
      <c r="D1367" s="2">
        <v>-7.5867801E-4</v>
      </c>
      <c r="E1367" s="2">
        <v>1</v>
      </c>
      <c r="F1367" s="2">
        <v>5.7708404297195101E-3</v>
      </c>
      <c r="G1367" s="2">
        <v>1</v>
      </c>
    </row>
    <row r="1368" spans="1:7" x14ac:dyDescent="0.2">
      <c r="A1368" s="2" t="s">
        <v>25</v>
      </c>
      <c r="B1368" s="14">
        <v>39173</v>
      </c>
      <c r="C1368" s="2">
        <v>0.13414595192000001</v>
      </c>
      <c r="D1368" s="2">
        <v>9.5902849E-4</v>
      </c>
      <c r="E1368" s="2">
        <v>1</v>
      </c>
      <c r="F1368" s="2">
        <v>8.2008505639264706E-3</v>
      </c>
      <c r="G1368" s="2">
        <v>1</v>
      </c>
    </row>
    <row r="1369" spans="1:7" x14ac:dyDescent="0.2">
      <c r="A1369" s="2" t="s">
        <v>25</v>
      </c>
      <c r="B1369" s="14">
        <v>39203</v>
      </c>
      <c r="C1369" s="2">
        <v>-4.1268041236000003E-2</v>
      </c>
      <c r="D1369" s="2">
        <v>-9.3434436999999997E-4</v>
      </c>
      <c r="E1369" s="2">
        <v>1</v>
      </c>
      <c r="F1369" s="2">
        <v>1.18515719747393E-2</v>
      </c>
      <c r="G1369" s="2">
        <v>1</v>
      </c>
    </row>
    <row r="1370" spans="1:7" x14ac:dyDescent="0.2">
      <c r="A1370" s="2" t="s">
        <v>25</v>
      </c>
      <c r="B1370" s="14">
        <v>39234</v>
      </c>
      <c r="C1370" s="2">
        <v>0.30638622751</v>
      </c>
      <c r="D1370" s="2">
        <v>6.1991885000000002E-3</v>
      </c>
      <c r="E1370" s="2">
        <v>1</v>
      </c>
      <c r="F1370" s="2">
        <v>1.03572129881268E-2</v>
      </c>
      <c r="G1370" s="2">
        <v>1</v>
      </c>
    </row>
    <row r="1371" spans="1:7" x14ac:dyDescent="0.2">
      <c r="A1371" s="2" t="s">
        <v>25</v>
      </c>
      <c r="B1371" s="14">
        <v>39264</v>
      </c>
      <c r="C1371" s="2">
        <v>4.4201730671999999E-2</v>
      </c>
      <c r="D1371" s="2">
        <v>-9.7384972999999995E-4</v>
      </c>
      <c r="E1371" s="2">
        <v>1</v>
      </c>
      <c r="F1371" s="2">
        <v>1.4093769498594399E-2</v>
      </c>
      <c r="G1371" s="2">
        <v>1</v>
      </c>
    </row>
    <row r="1372" spans="1:7" x14ac:dyDescent="0.2">
      <c r="A1372" s="2" t="s">
        <v>25</v>
      </c>
      <c r="B1372" s="14">
        <v>39295</v>
      </c>
      <c r="C1372" s="2">
        <v>-2.9920634921E-2</v>
      </c>
      <c r="D1372" s="2">
        <v>1.390603E-3</v>
      </c>
      <c r="E1372" s="2">
        <v>1</v>
      </c>
      <c r="F1372" s="2">
        <v>1.51037802085115E-2</v>
      </c>
      <c r="G1372" s="2">
        <v>1</v>
      </c>
    </row>
    <row r="1373" spans="1:7" x14ac:dyDescent="0.2">
      <c r="A1373" s="2" t="s">
        <v>25</v>
      </c>
      <c r="B1373" s="14">
        <v>39326</v>
      </c>
      <c r="C1373" s="2">
        <v>0.18375194306000001</v>
      </c>
      <c r="D1373" s="2">
        <v>-3.5977034999999999E-4</v>
      </c>
      <c r="E1373" s="2">
        <v>1</v>
      </c>
      <c r="F1373" s="2">
        <v>1.3438483062957101E-2</v>
      </c>
      <c r="G1373" s="2">
        <v>1</v>
      </c>
    </row>
    <row r="1374" spans="1:7" x14ac:dyDescent="0.2">
      <c r="A1374" s="2" t="s">
        <v>25</v>
      </c>
      <c r="B1374" s="14">
        <v>39356</v>
      </c>
      <c r="C1374" s="2">
        <v>0.10320281961</v>
      </c>
      <c r="D1374" s="2">
        <v>1.7691558E-3</v>
      </c>
      <c r="E1374" s="2">
        <v>1</v>
      </c>
      <c r="F1374" s="2">
        <v>1.6908431011594699E-2</v>
      </c>
      <c r="G1374" s="2">
        <v>1</v>
      </c>
    </row>
    <row r="1375" spans="1:7" x14ac:dyDescent="0.2">
      <c r="A1375" s="2" t="s">
        <v>25</v>
      </c>
      <c r="B1375" s="14">
        <v>39387</v>
      </c>
      <c r="C1375" s="2">
        <v>-5.4925673973000001E-2</v>
      </c>
      <c r="D1375" s="2">
        <v>-5.0691905999999997E-3</v>
      </c>
      <c r="E1375" s="2">
        <v>1</v>
      </c>
      <c r="F1375" s="2">
        <v>1.5766324612389599E-2</v>
      </c>
      <c r="G1375" s="2">
        <v>1</v>
      </c>
    </row>
    <row r="1376" spans="1:7" x14ac:dyDescent="0.2">
      <c r="A1376" s="2" t="s">
        <v>25</v>
      </c>
      <c r="B1376" s="14">
        <v>39417</v>
      </c>
      <c r="C1376" s="2">
        <v>-9.0375899760000003E-2</v>
      </c>
      <c r="D1376" s="2">
        <v>-4.4411400000000001E-4</v>
      </c>
      <c r="E1376" s="2">
        <v>1</v>
      </c>
      <c r="F1376" s="2">
        <v>1.56102588672851E-2</v>
      </c>
      <c r="G1376" s="2">
        <v>1</v>
      </c>
    </row>
    <row r="1377" spans="1:7" x14ac:dyDescent="0.2">
      <c r="A1377" s="2" t="s">
        <v>25</v>
      </c>
      <c r="B1377" s="14">
        <v>39448</v>
      </c>
      <c r="C1377" s="2">
        <v>-8.5853948846999997E-2</v>
      </c>
      <c r="D1377" s="2">
        <v>-2.730292E-3</v>
      </c>
      <c r="E1377" s="2">
        <v>1</v>
      </c>
      <c r="F1377" s="2">
        <v>4.4429776997765699E-3</v>
      </c>
      <c r="G1377" s="2">
        <v>1</v>
      </c>
    </row>
    <row r="1378" spans="1:7" x14ac:dyDescent="0.2">
      <c r="A1378" s="2" t="s">
        <v>25</v>
      </c>
      <c r="B1378" s="14">
        <v>39479</v>
      </c>
      <c r="C1378" s="2">
        <v>0.15879932219000001</v>
      </c>
      <c r="D1378" s="2">
        <v>4.8564211000000001E-3</v>
      </c>
      <c r="E1378" s="2">
        <v>1</v>
      </c>
      <c r="F1378" s="2">
        <v>1.01358298336472E-3</v>
      </c>
      <c r="G1378" s="2">
        <v>1</v>
      </c>
    </row>
    <row r="1379" spans="1:7" x14ac:dyDescent="0.2">
      <c r="A1379" s="2" t="s">
        <v>25</v>
      </c>
      <c r="B1379" s="14">
        <v>39508</v>
      </c>
      <c r="C1379" s="2">
        <v>2.4928626139000001E-2</v>
      </c>
      <c r="D1379" s="2">
        <v>1.033101E-3</v>
      </c>
      <c r="E1379" s="2">
        <v>1</v>
      </c>
      <c r="F1379" s="2">
        <v>6.2086405246611302E-3</v>
      </c>
      <c r="G1379" s="2">
        <v>1</v>
      </c>
    </row>
    <row r="1380" spans="1:7" x14ac:dyDescent="0.2">
      <c r="A1380" s="2" t="s">
        <v>25</v>
      </c>
      <c r="B1380" s="14">
        <v>39539</v>
      </c>
      <c r="C1380" s="2">
        <v>6.1474549407999998E-2</v>
      </c>
      <c r="D1380" s="2">
        <v>1.4694665E-3</v>
      </c>
      <c r="E1380" s="2">
        <v>1</v>
      </c>
      <c r="F1380" s="2">
        <v>1.5704187978463199E-3</v>
      </c>
      <c r="G1380" s="2">
        <v>1</v>
      </c>
    </row>
    <row r="1381" spans="1:7" x14ac:dyDescent="0.2">
      <c r="A1381" s="2" t="s">
        <v>25</v>
      </c>
      <c r="B1381" s="14">
        <v>39569</v>
      </c>
      <c r="C1381" s="2">
        <v>3.9909589927E-2</v>
      </c>
      <c r="D1381" s="2">
        <v>-3.407584E-3</v>
      </c>
      <c r="E1381" s="2">
        <v>1</v>
      </c>
      <c r="F1381" s="2">
        <v>2.0270428111460699E-4</v>
      </c>
      <c r="G1381" s="2">
        <v>1</v>
      </c>
    </row>
    <row r="1382" spans="1:7" x14ac:dyDescent="0.2">
      <c r="A1382" s="2" t="s">
        <v>25</v>
      </c>
      <c r="B1382" s="14">
        <v>39600</v>
      </c>
      <c r="C1382" s="2">
        <v>0.50263925976000001</v>
      </c>
      <c r="D1382" s="2">
        <v>-1.4940972000000001E-3</v>
      </c>
      <c r="E1382" s="2">
        <v>1</v>
      </c>
      <c r="F1382" s="2">
        <v>2.7931685221089199E-3</v>
      </c>
      <c r="G1382" s="2">
        <v>1</v>
      </c>
    </row>
    <row r="1383" spans="1:7" x14ac:dyDescent="0.2">
      <c r="A1383" s="2" t="s">
        <v>25</v>
      </c>
      <c r="B1383" s="14">
        <v>39630</v>
      </c>
      <c r="C1383" s="2">
        <v>-0.12207085751000001</v>
      </c>
      <c r="D1383" s="2">
        <v>-3.0162241000000001E-3</v>
      </c>
      <c r="E1383" s="2">
        <v>1</v>
      </c>
      <c r="F1383" s="2">
        <v>1.9813018920575898E-2</v>
      </c>
      <c r="G1383" s="2">
        <v>1</v>
      </c>
    </row>
    <row r="1384" spans="1:7" x14ac:dyDescent="0.2">
      <c r="A1384" s="2" t="s">
        <v>25</v>
      </c>
      <c r="B1384" s="14">
        <v>39661</v>
      </c>
      <c r="C1384" s="2">
        <v>-0.11474944399000001</v>
      </c>
      <c r="D1384" s="2">
        <v>-3.3520933000000001E-3</v>
      </c>
      <c r="E1384" s="2">
        <v>1</v>
      </c>
      <c r="F1384" s="2">
        <v>1.1114971520146E-2</v>
      </c>
      <c r="G1384" s="2">
        <v>1</v>
      </c>
    </row>
    <row r="1385" spans="1:7" x14ac:dyDescent="0.2">
      <c r="A1385" s="2" t="s">
        <v>25</v>
      </c>
      <c r="B1385" s="14">
        <v>39692</v>
      </c>
      <c r="C1385" s="2">
        <v>-0.26010262988999999</v>
      </c>
      <c r="D1385" s="2">
        <v>-5.1928456E-3</v>
      </c>
      <c r="E1385" s="2">
        <v>1</v>
      </c>
      <c r="F1385" s="2">
        <v>3.5941706110335201E-3</v>
      </c>
      <c r="G1385" s="2">
        <v>1</v>
      </c>
    </row>
    <row r="1386" spans="1:7" x14ac:dyDescent="0.2">
      <c r="A1386" s="2" t="s">
        <v>25</v>
      </c>
      <c r="B1386" s="14">
        <v>39722</v>
      </c>
      <c r="C1386" s="2">
        <v>-0.41119227112000001</v>
      </c>
      <c r="D1386" s="2">
        <v>-6.4495765E-3</v>
      </c>
      <c r="E1386" s="2">
        <v>1</v>
      </c>
      <c r="F1386" s="2">
        <v>-3.6675123889246802E-3</v>
      </c>
      <c r="G1386" s="2">
        <v>1</v>
      </c>
    </row>
    <row r="1387" spans="1:7" x14ac:dyDescent="0.2">
      <c r="A1387" s="2" t="s">
        <v>25</v>
      </c>
      <c r="B1387" s="14">
        <v>39753</v>
      </c>
      <c r="C1387" s="2">
        <v>-4.6682558604999999E-3</v>
      </c>
      <c r="D1387" s="2">
        <v>-5.4532173000000003E-3</v>
      </c>
      <c r="E1387" s="2">
        <v>1</v>
      </c>
      <c r="F1387" s="2">
        <v>-1.54775257825201E-2</v>
      </c>
      <c r="G1387" s="2">
        <v>1</v>
      </c>
    </row>
    <row r="1388" spans="1:7" x14ac:dyDescent="0.2">
      <c r="A1388" s="2" t="s">
        <v>25</v>
      </c>
      <c r="B1388" s="14">
        <v>39783</v>
      </c>
      <c r="C1388" s="2">
        <v>-0.16794731064999999</v>
      </c>
      <c r="D1388" s="2">
        <v>-7.4354503000000002E-3</v>
      </c>
      <c r="E1388" s="2">
        <v>1</v>
      </c>
      <c r="F1388" s="2">
        <v>-1.6755757417363799E-2</v>
      </c>
      <c r="G1388" s="2">
        <v>1</v>
      </c>
    </row>
    <row r="1389" spans="1:7" x14ac:dyDescent="0.2">
      <c r="A1389" s="2" t="s">
        <v>26</v>
      </c>
      <c r="B1389" s="14">
        <v>37591</v>
      </c>
      <c r="C1389" s="2">
        <v>5.1980198019000001E-2</v>
      </c>
      <c r="E1389" s="2">
        <v>1</v>
      </c>
      <c r="G1389" s="2">
        <v>1</v>
      </c>
    </row>
    <row r="1390" spans="1:7" x14ac:dyDescent="0.2">
      <c r="A1390" s="2" t="s">
        <v>26</v>
      </c>
      <c r="B1390" s="14">
        <v>37622</v>
      </c>
      <c r="C1390" s="2">
        <v>0.14109350369000001</v>
      </c>
      <c r="E1390" s="2">
        <v>1</v>
      </c>
      <c r="G1390" s="2">
        <v>1</v>
      </c>
    </row>
    <row r="1391" spans="1:7" x14ac:dyDescent="0.2">
      <c r="A1391" s="2" t="s">
        <v>26</v>
      </c>
      <c r="B1391" s="14">
        <v>37653</v>
      </c>
      <c r="C1391" s="2">
        <v>5.2083333331999999E-2</v>
      </c>
      <c r="E1391" s="2">
        <v>1</v>
      </c>
      <c r="G1391" s="2">
        <v>1</v>
      </c>
    </row>
    <row r="1392" spans="1:7" x14ac:dyDescent="0.2">
      <c r="A1392" s="2" t="s">
        <v>26</v>
      </c>
      <c r="B1392" s="14">
        <v>37681</v>
      </c>
      <c r="C1392" s="2">
        <v>-9.3007918231000006E-3</v>
      </c>
      <c r="E1392" s="2">
        <v>1</v>
      </c>
      <c r="G1392" s="2">
        <v>1</v>
      </c>
    </row>
    <row r="1393" spans="1:7" x14ac:dyDescent="0.2">
      <c r="A1393" s="2" t="s">
        <v>26</v>
      </c>
      <c r="B1393" s="14">
        <v>37712</v>
      </c>
      <c r="C1393" s="2">
        <v>8.6270219745000001E-3</v>
      </c>
      <c r="E1393" s="2">
        <v>1</v>
      </c>
      <c r="G1393" s="2">
        <v>1</v>
      </c>
    </row>
    <row r="1394" spans="1:7" x14ac:dyDescent="0.2">
      <c r="A1394" s="2" t="s">
        <v>26</v>
      </c>
      <c r="B1394" s="14">
        <v>37742</v>
      </c>
      <c r="C1394" s="2">
        <v>1.3891298797000001E-2</v>
      </c>
      <c r="E1394" s="2">
        <v>1</v>
      </c>
      <c r="G1394" s="2">
        <v>1</v>
      </c>
    </row>
    <row r="1395" spans="1:7" x14ac:dyDescent="0.2">
      <c r="A1395" s="2" t="s">
        <v>26</v>
      </c>
      <c r="B1395" s="14">
        <v>37773</v>
      </c>
      <c r="C1395" s="2">
        <v>-2.9957306690000001E-2</v>
      </c>
      <c r="E1395" s="2">
        <v>1</v>
      </c>
      <c r="G1395" s="2">
        <v>1</v>
      </c>
    </row>
    <row r="1396" spans="1:7" x14ac:dyDescent="0.2">
      <c r="A1396" s="2" t="s">
        <v>26</v>
      </c>
      <c r="B1396" s="14">
        <v>37803</v>
      </c>
      <c r="C1396" s="2">
        <v>0.15868549751</v>
      </c>
      <c r="E1396" s="2">
        <v>1</v>
      </c>
      <c r="G1396" s="2">
        <v>1</v>
      </c>
    </row>
    <row r="1397" spans="1:7" x14ac:dyDescent="0.2">
      <c r="A1397" s="2" t="s">
        <v>26</v>
      </c>
      <c r="B1397" s="14">
        <v>37834</v>
      </c>
      <c r="C1397" s="2">
        <v>-4.1305550371999997E-2</v>
      </c>
      <c r="E1397" s="2">
        <v>1</v>
      </c>
      <c r="F1397" s="2">
        <v>2.0597720440153702E-2</v>
      </c>
      <c r="G1397" s="2">
        <v>1</v>
      </c>
    </row>
    <row r="1398" spans="1:7" x14ac:dyDescent="0.2">
      <c r="A1398" s="2" t="s">
        <v>26</v>
      </c>
      <c r="B1398" s="14">
        <v>37865</v>
      </c>
      <c r="C1398" s="2">
        <v>6.1135371179000003E-2</v>
      </c>
      <c r="E1398" s="2">
        <v>1</v>
      </c>
      <c r="F1398" s="2">
        <v>1.82407284610114E-2</v>
      </c>
      <c r="G1398" s="2">
        <v>1</v>
      </c>
    </row>
    <row r="1399" spans="1:7" x14ac:dyDescent="0.2">
      <c r="A1399" s="2" t="s">
        <v>26</v>
      </c>
      <c r="B1399" s="14">
        <v>37895</v>
      </c>
      <c r="C1399" s="2">
        <v>0.15345061082</v>
      </c>
      <c r="E1399" s="2">
        <v>1</v>
      </c>
      <c r="F1399" s="2">
        <v>2.0057980869835599E-2</v>
      </c>
      <c r="G1399" s="2">
        <v>1</v>
      </c>
    </row>
    <row r="1400" spans="1:7" x14ac:dyDescent="0.2">
      <c r="A1400" s="2" t="s">
        <v>26</v>
      </c>
      <c r="B1400" s="14">
        <v>37926</v>
      </c>
      <c r="C1400" s="2">
        <v>-2.6180720213999999E-2</v>
      </c>
      <c r="E1400" s="2">
        <v>1</v>
      </c>
      <c r="F1400" s="2">
        <v>2.4121654851699401E-2</v>
      </c>
      <c r="G1400" s="2">
        <v>1</v>
      </c>
    </row>
    <row r="1401" spans="1:7" x14ac:dyDescent="0.2">
      <c r="A1401" s="2" t="s">
        <v>26</v>
      </c>
      <c r="B1401" s="14">
        <v>37956</v>
      </c>
      <c r="C1401" s="2">
        <v>1.3461538461000001E-2</v>
      </c>
      <c r="E1401" s="2">
        <v>1</v>
      </c>
      <c r="F1401" s="2">
        <v>2.3019288289985399E-2</v>
      </c>
      <c r="G1401" s="2">
        <v>1</v>
      </c>
    </row>
    <row r="1402" spans="1:7" x14ac:dyDescent="0.2">
      <c r="A1402" s="2" t="s">
        <v>26</v>
      </c>
      <c r="B1402" s="14">
        <v>37987</v>
      </c>
      <c r="C1402" s="2">
        <v>-4.2267327353000001E-4</v>
      </c>
      <c r="E1402" s="2">
        <v>1</v>
      </c>
      <c r="F1402" s="2">
        <v>2.4187015201912701E-2</v>
      </c>
      <c r="G1402" s="2">
        <v>1</v>
      </c>
    </row>
    <row r="1403" spans="1:7" x14ac:dyDescent="0.2">
      <c r="A1403" s="2" t="s">
        <v>26</v>
      </c>
      <c r="B1403" s="14">
        <v>38018</v>
      </c>
      <c r="C1403" s="2">
        <v>0.11538461538</v>
      </c>
      <c r="E1403" s="2">
        <v>1</v>
      </c>
      <c r="F1403" s="2">
        <v>1.9499814094856301E-2</v>
      </c>
      <c r="G1403" s="2">
        <v>1</v>
      </c>
    </row>
    <row r="1404" spans="1:7" x14ac:dyDescent="0.2">
      <c r="A1404" s="2" t="s">
        <v>26</v>
      </c>
      <c r="B1404" s="14">
        <v>38047</v>
      </c>
      <c r="C1404" s="2">
        <v>-3.4482758620999997E-2</v>
      </c>
      <c r="E1404" s="2">
        <v>1</v>
      </c>
      <c r="F1404" s="2">
        <v>2.3859364254128601E-2</v>
      </c>
      <c r="G1404" s="2">
        <v>1</v>
      </c>
    </row>
    <row r="1405" spans="1:7" x14ac:dyDescent="0.2">
      <c r="A1405" s="2" t="s">
        <v>26</v>
      </c>
      <c r="B1405" s="14">
        <v>38078</v>
      </c>
      <c r="C1405" s="2">
        <v>-3.8355480767000003E-2</v>
      </c>
      <c r="E1405" s="2">
        <v>1</v>
      </c>
      <c r="F1405" s="2">
        <v>2.1210023680856099E-2</v>
      </c>
      <c r="G1405" s="2">
        <v>1</v>
      </c>
    </row>
    <row r="1406" spans="1:7" x14ac:dyDescent="0.2">
      <c r="A1406" s="2" t="s">
        <v>26</v>
      </c>
      <c r="B1406" s="14">
        <v>38108</v>
      </c>
      <c r="C1406" s="2">
        <v>-3.4090909091000002E-2</v>
      </c>
      <c r="E1406" s="2">
        <v>1</v>
      </c>
      <c r="F1406" s="2">
        <v>1.58518727322342E-2</v>
      </c>
      <c r="G1406" s="2">
        <v>1</v>
      </c>
    </row>
    <row r="1407" spans="1:7" x14ac:dyDescent="0.2">
      <c r="A1407" s="2" t="s">
        <v>26</v>
      </c>
      <c r="B1407" s="14">
        <v>38139</v>
      </c>
      <c r="C1407" s="2">
        <v>5.4901960784000003E-2</v>
      </c>
      <c r="E1407" s="2">
        <v>1</v>
      </c>
      <c r="F1407" s="2">
        <v>1.5741792179667501E-2</v>
      </c>
      <c r="G1407" s="2">
        <v>1</v>
      </c>
    </row>
    <row r="1408" spans="1:7" x14ac:dyDescent="0.2">
      <c r="A1408" s="2" t="s">
        <v>26</v>
      </c>
      <c r="B1408" s="14">
        <v>38169</v>
      </c>
      <c r="C1408" s="2">
        <v>-5.5762081783999997E-3</v>
      </c>
      <c r="E1408" s="2">
        <v>1</v>
      </c>
      <c r="F1408" s="2">
        <v>1.6787503890382201E-2</v>
      </c>
      <c r="G1408" s="2">
        <v>1</v>
      </c>
    </row>
    <row r="1409" spans="1:7" x14ac:dyDescent="0.2">
      <c r="A1409" s="2" t="s">
        <v>26</v>
      </c>
      <c r="B1409" s="14">
        <v>38200</v>
      </c>
      <c r="C1409" s="2">
        <v>0.10280373831</v>
      </c>
      <c r="E1409" s="2">
        <v>1</v>
      </c>
      <c r="F1409" s="2">
        <v>3.2753883624199202E-3</v>
      </c>
      <c r="G1409" s="2">
        <v>1</v>
      </c>
    </row>
    <row r="1410" spans="1:7" x14ac:dyDescent="0.2">
      <c r="A1410" s="2" t="s">
        <v>26</v>
      </c>
      <c r="B1410" s="14">
        <v>38231</v>
      </c>
      <c r="C1410" s="2">
        <v>-3.0474576271E-2</v>
      </c>
      <c r="E1410" s="2">
        <v>1</v>
      </c>
      <c r="F1410" s="2">
        <v>2.7140115218424799E-3</v>
      </c>
      <c r="G1410" s="2">
        <v>1</v>
      </c>
    </row>
    <row r="1411" spans="1:7" x14ac:dyDescent="0.2">
      <c r="A1411" s="2" t="s">
        <v>26</v>
      </c>
      <c r="B1411" s="14">
        <v>38261</v>
      </c>
      <c r="C1411" s="2">
        <v>-2.8006013776E-2</v>
      </c>
      <c r="E1411" s="2">
        <v>1</v>
      </c>
      <c r="F1411" s="2">
        <v>2.9259958453221901E-3</v>
      </c>
      <c r="G1411" s="2">
        <v>1</v>
      </c>
    </row>
    <row r="1412" spans="1:7" x14ac:dyDescent="0.2">
      <c r="A1412" s="2" t="s">
        <v>26</v>
      </c>
      <c r="B1412" s="14">
        <v>38292</v>
      </c>
      <c r="C1412" s="2">
        <v>7.1942446044000005E-2</v>
      </c>
      <c r="E1412" s="2">
        <v>1</v>
      </c>
      <c r="F1412" s="2">
        <v>3.0475025775454799E-3</v>
      </c>
      <c r="G1412" s="2">
        <v>1</v>
      </c>
    </row>
    <row r="1413" spans="1:7" x14ac:dyDescent="0.2">
      <c r="A1413" s="2" t="s">
        <v>26</v>
      </c>
      <c r="B1413" s="14">
        <v>38322</v>
      </c>
      <c r="C1413" s="2">
        <v>-4.6308724831999999E-2</v>
      </c>
      <c r="E1413" s="2">
        <v>1</v>
      </c>
      <c r="F1413" s="2">
        <v>5.9871581888015103E-3</v>
      </c>
      <c r="G1413" s="2">
        <v>1</v>
      </c>
    </row>
    <row r="1414" spans="1:7" x14ac:dyDescent="0.2">
      <c r="A1414" s="2" t="s">
        <v>26</v>
      </c>
      <c r="B1414" s="14">
        <v>38353</v>
      </c>
      <c r="C1414" s="2">
        <v>-7.0066073804000003E-3</v>
      </c>
      <c r="E1414" s="2">
        <v>1</v>
      </c>
      <c r="F1414" s="2">
        <v>3.2230559065320298E-3</v>
      </c>
      <c r="G1414" s="2">
        <v>1</v>
      </c>
    </row>
    <row r="1415" spans="1:7" x14ac:dyDescent="0.2">
      <c r="A1415" s="2" t="s">
        <v>26</v>
      </c>
      <c r="B1415" s="14">
        <v>38384</v>
      </c>
      <c r="C1415" s="2">
        <v>3.0411449015000001E-2</v>
      </c>
      <c r="E1415" s="2">
        <v>1</v>
      </c>
      <c r="F1415" s="2">
        <v>3.2223319991488502E-3</v>
      </c>
      <c r="G1415" s="2">
        <v>1</v>
      </c>
    </row>
    <row r="1416" spans="1:7" x14ac:dyDescent="0.2">
      <c r="A1416" s="2" t="s">
        <v>26</v>
      </c>
      <c r="B1416" s="14">
        <v>38412</v>
      </c>
      <c r="C1416" s="2">
        <v>-1.0416666667E-2</v>
      </c>
      <c r="E1416" s="2">
        <v>1</v>
      </c>
      <c r="F1416" s="2">
        <v>8.8657400345465898E-4</v>
      </c>
      <c r="G1416" s="2">
        <v>1</v>
      </c>
    </row>
    <row r="1417" spans="1:7" x14ac:dyDescent="0.2">
      <c r="A1417" s="2" t="s">
        <v>26</v>
      </c>
      <c r="B1417" s="14">
        <v>38443</v>
      </c>
      <c r="C1417" s="2">
        <v>-1.2195430542000001E-2</v>
      </c>
      <c r="E1417" s="2">
        <v>1</v>
      </c>
      <c r="F1417" s="2">
        <v>1.4678893069945101E-3</v>
      </c>
      <c r="G1417" s="2">
        <v>1</v>
      </c>
    </row>
    <row r="1418" spans="1:7" x14ac:dyDescent="0.2">
      <c r="A1418" s="2" t="s">
        <v>26</v>
      </c>
      <c r="B1418" s="14">
        <v>38473</v>
      </c>
      <c r="C1418" s="2">
        <v>-1.2345679012E-2</v>
      </c>
      <c r="E1418" s="2">
        <v>1</v>
      </c>
      <c r="F1418" s="2">
        <v>1.9734559628201702E-3</v>
      </c>
      <c r="G1418" s="2">
        <v>1</v>
      </c>
    </row>
    <row r="1419" spans="1:7" x14ac:dyDescent="0.2">
      <c r="A1419" s="2" t="s">
        <v>26</v>
      </c>
      <c r="B1419" s="14">
        <v>38504</v>
      </c>
      <c r="C1419" s="2">
        <v>2.4852941177000001E-2</v>
      </c>
      <c r="E1419" s="2">
        <v>1</v>
      </c>
      <c r="F1419" s="2">
        <v>-4.5838128488237399E-4</v>
      </c>
      <c r="G1419" s="2">
        <v>1</v>
      </c>
    </row>
    <row r="1420" spans="1:7" x14ac:dyDescent="0.2">
      <c r="A1420" s="2" t="s">
        <v>26</v>
      </c>
      <c r="B1420" s="14">
        <v>38534</v>
      </c>
      <c r="C1420" s="2">
        <v>0.13635385277000001</v>
      </c>
      <c r="E1420" s="2">
        <v>1</v>
      </c>
      <c r="F1420" s="2">
        <v>1.5049548635943299E-3</v>
      </c>
      <c r="G1420" s="2">
        <v>1</v>
      </c>
    </row>
    <row r="1421" spans="1:7" x14ac:dyDescent="0.2">
      <c r="A1421" s="2" t="s">
        <v>26</v>
      </c>
      <c r="B1421" s="14">
        <v>38565</v>
      </c>
      <c r="C1421" s="2">
        <v>-0.10019888246</v>
      </c>
      <c r="E1421" s="2">
        <v>1</v>
      </c>
      <c r="F1421" s="2">
        <v>5.7045859822201801E-3</v>
      </c>
      <c r="G1421" s="2">
        <v>1</v>
      </c>
    </row>
    <row r="1422" spans="1:7" x14ac:dyDescent="0.2">
      <c r="A1422" s="2" t="s">
        <v>26</v>
      </c>
      <c r="B1422" s="14">
        <v>38596</v>
      </c>
      <c r="C1422" s="2">
        <v>-3.8662596919000002E-2</v>
      </c>
      <c r="E1422" s="2">
        <v>1</v>
      </c>
      <c r="F1422" s="2">
        <v>2.2216756362433299E-3</v>
      </c>
      <c r="G1422" s="2">
        <v>1</v>
      </c>
    </row>
    <row r="1423" spans="1:7" x14ac:dyDescent="0.2">
      <c r="A1423" s="2" t="s">
        <v>26</v>
      </c>
      <c r="B1423" s="14">
        <v>38626</v>
      </c>
      <c r="C1423" s="2">
        <v>-4.7480018978999998E-2</v>
      </c>
      <c r="E1423" s="2">
        <v>1</v>
      </c>
      <c r="F1423" s="2">
        <v>1.5035778690254201E-3</v>
      </c>
      <c r="G1423" s="2">
        <v>1</v>
      </c>
    </row>
    <row r="1424" spans="1:7" x14ac:dyDescent="0.2">
      <c r="A1424" s="2" t="s">
        <v>26</v>
      </c>
      <c r="B1424" s="14">
        <v>38657</v>
      </c>
      <c r="C1424" s="2">
        <v>2.2988505746999999E-2</v>
      </c>
      <c r="E1424" s="2">
        <v>1</v>
      </c>
      <c r="F1424" s="2">
        <v>6.1530703534707796E-4</v>
      </c>
      <c r="G1424" s="2">
        <v>1</v>
      </c>
    </row>
    <row r="1425" spans="1:7" x14ac:dyDescent="0.2">
      <c r="A1425" s="2" t="s">
        <v>26</v>
      </c>
      <c r="B1425" s="14">
        <v>38687</v>
      </c>
      <c r="C1425" s="2">
        <v>-2.6217228464E-2</v>
      </c>
      <c r="E1425" s="2">
        <v>1</v>
      </c>
      <c r="F1425" s="2">
        <v>1.5139744518574299E-3</v>
      </c>
      <c r="G1425" s="2">
        <v>1</v>
      </c>
    </row>
    <row r="1426" spans="1:7" x14ac:dyDescent="0.2">
      <c r="A1426" s="2" t="s">
        <v>26</v>
      </c>
      <c r="B1426" s="14">
        <v>38718</v>
      </c>
      <c r="C1426" s="2">
        <v>3.1128404669E-2</v>
      </c>
      <c r="E1426" s="2">
        <v>1</v>
      </c>
      <c r="F1426" s="19">
        <v>7.9783727918547804E-5</v>
      </c>
      <c r="G1426" s="2">
        <v>1</v>
      </c>
    </row>
    <row r="1427" spans="1:7" x14ac:dyDescent="0.2">
      <c r="A1427" s="2" t="s">
        <v>26</v>
      </c>
      <c r="B1427" s="14">
        <v>38749</v>
      </c>
      <c r="C1427" s="2">
        <v>5.2415094340000003E-2</v>
      </c>
      <c r="E1427" s="2">
        <v>1</v>
      </c>
      <c r="F1427" s="2">
        <v>-2.9879259030559302E-3</v>
      </c>
      <c r="G1427" s="2">
        <v>1</v>
      </c>
    </row>
    <row r="1428" spans="1:7" x14ac:dyDescent="0.2">
      <c r="A1428" s="2" t="s">
        <v>26</v>
      </c>
      <c r="B1428" s="14">
        <v>38777</v>
      </c>
      <c r="C1428" s="2">
        <v>-5.8768690164999998E-2</v>
      </c>
      <c r="E1428" s="2">
        <v>1</v>
      </c>
      <c r="F1428" s="2">
        <v>1.33110811207757E-3</v>
      </c>
      <c r="G1428" s="2">
        <v>1</v>
      </c>
    </row>
    <row r="1429" spans="1:7" x14ac:dyDescent="0.2">
      <c r="A1429" s="2" t="s">
        <v>26</v>
      </c>
      <c r="B1429" s="14">
        <v>38808</v>
      </c>
      <c r="C1429" s="2">
        <v>-5.9403034493000001E-3</v>
      </c>
      <c r="E1429" s="2">
        <v>1</v>
      </c>
      <c r="F1429" s="2">
        <v>9.3485138233411803E-4</v>
      </c>
      <c r="G1429" s="2">
        <v>1</v>
      </c>
    </row>
    <row r="1430" spans="1:7" x14ac:dyDescent="0.2">
      <c r="A1430" s="2" t="s">
        <v>26</v>
      </c>
      <c r="B1430" s="14">
        <v>38838</v>
      </c>
      <c r="C1430" s="2">
        <v>-2.1645021645000002E-2</v>
      </c>
      <c r="E1430" s="2">
        <v>1</v>
      </c>
      <c r="F1430" s="2">
        <v>2.2077476567274401E-3</v>
      </c>
      <c r="G1430" s="2">
        <v>1</v>
      </c>
    </row>
    <row r="1431" spans="1:7" x14ac:dyDescent="0.2">
      <c r="A1431" s="2" t="s">
        <v>26</v>
      </c>
      <c r="B1431" s="14">
        <v>38869</v>
      </c>
      <c r="C1431" s="2">
        <v>-4.2437650845000001E-2</v>
      </c>
      <c r="E1431" s="2">
        <v>1</v>
      </c>
      <c r="F1431" s="2">
        <v>9.7184028681853698E-4</v>
      </c>
      <c r="G1431" s="2">
        <v>1</v>
      </c>
    </row>
    <row r="1432" spans="1:7" x14ac:dyDescent="0.2">
      <c r="A1432" s="2" t="s">
        <v>26</v>
      </c>
      <c r="B1432" s="14">
        <v>38899</v>
      </c>
      <c r="C1432" s="2">
        <v>2.9195547155000001E-2</v>
      </c>
      <c r="E1432" s="2">
        <v>1</v>
      </c>
      <c r="F1432" s="2">
        <v>6.0816390921414798E-4</v>
      </c>
      <c r="G1432" s="2">
        <v>1</v>
      </c>
    </row>
    <row r="1433" spans="1:7" x14ac:dyDescent="0.2">
      <c r="A1433" s="2" t="s">
        <v>26</v>
      </c>
      <c r="B1433" s="14">
        <v>38930</v>
      </c>
      <c r="C1433" s="2">
        <v>9.5918367347999994E-2</v>
      </c>
      <c r="E1433" s="2">
        <v>1</v>
      </c>
      <c r="F1433" s="2">
        <v>3.0384774718213198E-3</v>
      </c>
      <c r="G1433" s="2">
        <v>1</v>
      </c>
    </row>
    <row r="1434" spans="1:7" x14ac:dyDescent="0.2">
      <c r="A1434" s="2" t="s">
        <v>26</v>
      </c>
      <c r="B1434" s="14">
        <v>38961</v>
      </c>
      <c r="C1434" s="2">
        <v>5.0279329609000001E-2</v>
      </c>
      <c r="E1434" s="2">
        <v>1</v>
      </c>
      <c r="F1434" s="2">
        <v>4.1366572958311601E-3</v>
      </c>
      <c r="G1434" s="2">
        <v>1</v>
      </c>
    </row>
    <row r="1435" spans="1:7" x14ac:dyDescent="0.2">
      <c r="A1435" s="2" t="s">
        <v>26</v>
      </c>
      <c r="B1435" s="14">
        <v>38991</v>
      </c>
      <c r="C1435" s="2">
        <v>2.4822695035000002E-2</v>
      </c>
      <c r="E1435" s="2">
        <v>1</v>
      </c>
      <c r="F1435" s="2">
        <v>7.1847807447035696E-3</v>
      </c>
      <c r="G1435" s="2">
        <v>1</v>
      </c>
    </row>
    <row r="1436" spans="1:7" x14ac:dyDescent="0.2">
      <c r="A1436" s="2" t="s">
        <v>26</v>
      </c>
      <c r="B1436" s="14">
        <v>39022</v>
      </c>
      <c r="C1436" s="2">
        <v>6.5743944637000007E-2</v>
      </c>
      <c r="E1436" s="2">
        <v>1</v>
      </c>
      <c r="F1436" s="2">
        <v>7.9618604662490596E-3</v>
      </c>
      <c r="G1436" s="2">
        <v>1</v>
      </c>
    </row>
    <row r="1437" spans="1:7" x14ac:dyDescent="0.2">
      <c r="A1437" s="2" t="s">
        <v>26</v>
      </c>
      <c r="B1437" s="14">
        <v>39052</v>
      </c>
      <c r="C1437" s="2">
        <v>2.8019480520000001E-2</v>
      </c>
      <c r="E1437" s="2">
        <v>1</v>
      </c>
      <c r="F1437" s="2">
        <v>1.0389185850959E-2</v>
      </c>
      <c r="G1437" s="2">
        <v>1</v>
      </c>
    </row>
    <row r="1438" spans="1:7" x14ac:dyDescent="0.2">
      <c r="A1438" s="2" t="s">
        <v>26</v>
      </c>
      <c r="B1438" s="14">
        <v>39083</v>
      </c>
      <c r="C1438" s="2">
        <v>4.1101140102999999E-2</v>
      </c>
      <c r="E1438" s="2">
        <v>1</v>
      </c>
      <c r="F1438" s="2">
        <v>1.23521014667456E-2</v>
      </c>
      <c r="G1438" s="2">
        <v>1</v>
      </c>
    </row>
    <row r="1439" spans="1:7" x14ac:dyDescent="0.2">
      <c r="A1439" s="2" t="s">
        <v>26</v>
      </c>
      <c r="B1439" s="14">
        <v>39114</v>
      </c>
      <c r="C1439" s="2">
        <v>-3.7576687116999997E-2</v>
      </c>
      <c r="E1439" s="2">
        <v>1</v>
      </c>
      <c r="F1439" s="2">
        <v>1.2610016311195699E-2</v>
      </c>
      <c r="G1439" s="2">
        <v>1</v>
      </c>
    </row>
    <row r="1440" spans="1:7" x14ac:dyDescent="0.2">
      <c r="A1440" s="2" t="s">
        <v>26</v>
      </c>
      <c r="B1440" s="14">
        <v>39142</v>
      </c>
      <c r="C1440" s="2">
        <v>7.5378486054999999E-2</v>
      </c>
      <c r="E1440" s="2">
        <v>1</v>
      </c>
      <c r="F1440" s="2">
        <v>8.8745849514237501E-3</v>
      </c>
      <c r="G1440" s="2">
        <v>1</v>
      </c>
    </row>
    <row r="1441" spans="1:7" x14ac:dyDescent="0.2">
      <c r="A1441" s="2" t="s">
        <v>26</v>
      </c>
      <c r="B1441" s="14">
        <v>39173</v>
      </c>
      <c r="C1441" s="2">
        <v>0.12038233872</v>
      </c>
      <c r="E1441" s="2">
        <v>1</v>
      </c>
      <c r="F1441" s="2">
        <v>9.3779930698126499E-3</v>
      </c>
      <c r="G1441" s="2">
        <v>1</v>
      </c>
    </row>
    <row r="1442" spans="1:7" x14ac:dyDescent="0.2">
      <c r="A1442" s="2" t="s">
        <v>26</v>
      </c>
      <c r="B1442" s="14">
        <v>39203</v>
      </c>
      <c r="C1442" s="19">
        <v>-2.7027027499999999E-5</v>
      </c>
      <c r="E1442" s="2">
        <v>1</v>
      </c>
      <c r="F1442" s="2">
        <v>1.20495307956952E-2</v>
      </c>
      <c r="G1442" s="2">
        <v>1</v>
      </c>
    </row>
    <row r="1443" spans="1:7" x14ac:dyDescent="0.2">
      <c r="A1443" s="2" t="s">
        <v>26</v>
      </c>
      <c r="B1443" s="14">
        <v>39234</v>
      </c>
      <c r="C1443" s="2">
        <v>3.8974026325000001E-2</v>
      </c>
      <c r="D1443" s="2">
        <v>3.1256422000000002E-3</v>
      </c>
      <c r="E1443" s="2">
        <v>1</v>
      </c>
      <c r="F1443" s="2">
        <v>1.0114407889362E-2</v>
      </c>
      <c r="G1443" s="2">
        <v>1</v>
      </c>
    </row>
    <row r="1444" spans="1:7" x14ac:dyDescent="0.2">
      <c r="A1444" s="2" t="s">
        <v>26</v>
      </c>
      <c r="B1444" s="14">
        <v>39264</v>
      </c>
      <c r="C1444" s="2">
        <v>4.4743893231000004E-3</v>
      </c>
      <c r="D1444" s="2">
        <v>-2.891999E-4</v>
      </c>
      <c r="E1444" s="2">
        <v>1</v>
      </c>
      <c r="F1444" s="2">
        <v>1.0213972820205299E-2</v>
      </c>
      <c r="G1444" s="2">
        <v>1</v>
      </c>
    </row>
    <row r="1445" spans="1:7" x14ac:dyDescent="0.2">
      <c r="A1445" s="2" t="s">
        <v>26</v>
      </c>
      <c r="B1445" s="14">
        <v>39295</v>
      </c>
      <c r="C1445" s="2">
        <v>-5.9565431328999999E-3</v>
      </c>
      <c r="D1445" s="2">
        <v>6.5236148999999995E-4</v>
      </c>
      <c r="E1445" s="2">
        <v>1</v>
      </c>
      <c r="F1445" s="2">
        <v>7.2560371992118899E-3</v>
      </c>
      <c r="G1445" s="2">
        <v>1</v>
      </c>
    </row>
    <row r="1446" spans="1:7" x14ac:dyDescent="0.2">
      <c r="A1446" s="2" t="s">
        <v>26</v>
      </c>
      <c r="B1446" s="14">
        <v>39326</v>
      </c>
      <c r="C1446" s="2">
        <v>-1.2609749107000001E-2</v>
      </c>
      <c r="D1446" s="2">
        <v>-7.2616298000000002E-4</v>
      </c>
      <c r="E1446" s="2">
        <v>1</v>
      </c>
      <c r="F1446" s="2">
        <v>8.1549993865173698E-3</v>
      </c>
      <c r="G1446" s="2">
        <v>1</v>
      </c>
    </row>
    <row r="1447" spans="1:7" x14ac:dyDescent="0.2">
      <c r="A1447" s="2" t="s">
        <v>26</v>
      </c>
      <c r="B1447" s="14">
        <v>39356</v>
      </c>
      <c r="C1447" s="2">
        <v>6.9500514526000007E-2</v>
      </c>
      <c r="D1447" s="2">
        <v>-4.5552146999999999E-3</v>
      </c>
      <c r="E1447" s="2">
        <v>1</v>
      </c>
      <c r="F1447" s="2">
        <v>5.6727171814015898E-3</v>
      </c>
      <c r="G1447" s="2">
        <v>1</v>
      </c>
    </row>
    <row r="1448" spans="1:7" x14ac:dyDescent="0.2">
      <c r="A1448" s="2" t="s">
        <v>26</v>
      </c>
      <c r="B1448" s="14">
        <v>39387</v>
      </c>
      <c r="C1448" s="2">
        <v>-0.11158808871000001</v>
      </c>
      <c r="D1448" s="2">
        <v>-5.2815377999999996E-3</v>
      </c>
      <c r="E1448" s="2">
        <v>1</v>
      </c>
      <c r="F1448" s="2">
        <v>4.0785305076570999E-3</v>
      </c>
      <c r="G1448" s="2">
        <v>1</v>
      </c>
    </row>
    <row r="1449" spans="1:7" x14ac:dyDescent="0.2">
      <c r="A1449" s="2" t="s">
        <v>26</v>
      </c>
      <c r="B1449" s="14">
        <v>39417</v>
      </c>
      <c r="C1449" s="2">
        <v>-3.2435434601999998E-2</v>
      </c>
      <c r="D1449" s="2">
        <v>-4.3471161999999999E-3</v>
      </c>
      <c r="E1449" s="2">
        <v>1</v>
      </c>
      <c r="F1449" s="2">
        <v>1.39973305337105E-3</v>
      </c>
      <c r="G1449" s="2">
        <v>1</v>
      </c>
    </row>
    <row r="1450" spans="1:7" x14ac:dyDescent="0.2">
      <c r="A1450" s="2" t="s">
        <v>26</v>
      </c>
      <c r="B1450" s="14">
        <v>39448</v>
      </c>
      <c r="C1450" s="2">
        <v>-7.1413911499000005E-2</v>
      </c>
      <c r="D1450" s="2">
        <v>6.8500135E-3</v>
      </c>
      <c r="E1450" s="2">
        <v>1</v>
      </c>
      <c r="F1450" s="2">
        <v>-5.5911709841216799E-4</v>
      </c>
      <c r="G1450" s="2">
        <v>1</v>
      </c>
    </row>
    <row r="1451" spans="1:7" x14ac:dyDescent="0.2">
      <c r="A1451" s="2" t="s">
        <v>26</v>
      </c>
      <c r="B1451" s="14">
        <v>39479</v>
      </c>
      <c r="C1451" s="2">
        <v>-2.6557551814000002E-2</v>
      </c>
      <c r="D1451" s="2">
        <v>6.0766893000000002E-3</v>
      </c>
      <c r="E1451" s="2">
        <v>1</v>
      </c>
      <c r="F1451" s="2">
        <v>-2.4808958460043602E-3</v>
      </c>
      <c r="G1451" s="2">
        <v>1</v>
      </c>
    </row>
    <row r="1452" spans="1:7" x14ac:dyDescent="0.2">
      <c r="A1452" s="2" t="s">
        <v>26</v>
      </c>
      <c r="B1452" s="14">
        <v>39508</v>
      </c>
      <c r="C1452" s="2">
        <v>-4.5094376073E-3</v>
      </c>
      <c r="D1452" s="2">
        <v>3.7839626999999999E-3</v>
      </c>
      <c r="E1452" s="2">
        <v>1</v>
      </c>
      <c r="F1452" s="2">
        <v>-3.0251496002411801E-3</v>
      </c>
      <c r="G1452" s="2">
        <v>1</v>
      </c>
    </row>
    <row r="1453" spans="1:7" x14ac:dyDescent="0.2">
      <c r="A1453" s="2" t="s">
        <v>26</v>
      </c>
      <c r="B1453" s="14">
        <v>39539</v>
      </c>
      <c r="C1453" s="2">
        <v>0.10155915683</v>
      </c>
      <c r="D1453" s="2">
        <v>-3.0140575999999999E-3</v>
      </c>
      <c r="E1453" s="2">
        <v>1</v>
      </c>
      <c r="F1453" s="2">
        <v>-2.85645842229135E-3</v>
      </c>
      <c r="G1453" s="2">
        <v>1</v>
      </c>
    </row>
    <row r="1454" spans="1:7" x14ac:dyDescent="0.2">
      <c r="A1454" s="2" t="s">
        <v>26</v>
      </c>
      <c r="B1454" s="14">
        <v>39569</v>
      </c>
      <c r="C1454" s="2">
        <v>4.7299137539000002E-2</v>
      </c>
      <c r="D1454" s="2">
        <v>-4.5934058999999999E-3</v>
      </c>
      <c r="E1454" s="2">
        <v>1</v>
      </c>
      <c r="F1454" s="2">
        <v>-2.14482266441648E-3</v>
      </c>
      <c r="G1454" s="2">
        <v>1</v>
      </c>
    </row>
    <row r="1455" spans="1:7" x14ac:dyDescent="0.2">
      <c r="A1455" s="2" t="s">
        <v>26</v>
      </c>
      <c r="B1455" s="14">
        <v>39600</v>
      </c>
      <c r="C1455" s="2">
        <v>-0.10656495608</v>
      </c>
      <c r="D1455" s="2">
        <v>-3.8738332000000002E-3</v>
      </c>
      <c r="E1455" s="2">
        <v>1</v>
      </c>
      <c r="F1455" s="2">
        <v>2.3762852704399999E-3</v>
      </c>
      <c r="G1455" s="2">
        <v>1</v>
      </c>
    </row>
    <row r="1456" spans="1:7" x14ac:dyDescent="0.2">
      <c r="A1456" s="2" t="s">
        <v>26</v>
      </c>
      <c r="B1456" s="14">
        <v>39630</v>
      </c>
      <c r="C1456" s="2">
        <v>4.8868046571000003E-2</v>
      </c>
      <c r="D1456" s="2">
        <v>-2.8717198999999999E-3</v>
      </c>
      <c r="E1456" s="2">
        <v>1</v>
      </c>
      <c r="F1456" s="2">
        <v>6.0070695792100305E-4</v>
      </c>
      <c r="G1456" s="2">
        <v>1</v>
      </c>
    </row>
    <row r="1457" spans="1:7" x14ac:dyDescent="0.2">
      <c r="A1457" s="2" t="s">
        <v>26</v>
      </c>
      <c r="B1457" s="14">
        <v>39661</v>
      </c>
      <c r="C1457" s="2">
        <v>0.10878480466</v>
      </c>
      <c r="D1457" s="2">
        <v>1.1730551000000001E-2</v>
      </c>
      <c r="E1457" s="2">
        <v>1</v>
      </c>
      <c r="F1457" s="2">
        <v>4.6803693534840799E-3</v>
      </c>
      <c r="G1457" s="2">
        <v>1</v>
      </c>
    </row>
    <row r="1458" spans="1:7" x14ac:dyDescent="0.2">
      <c r="A1458" s="2" t="s">
        <v>26</v>
      </c>
      <c r="B1458" s="14">
        <v>39692</v>
      </c>
      <c r="C1458" s="2">
        <v>1.3904724800999999E-4</v>
      </c>
      <c r="D1458" s="2">
        <v>5.1811556E-3</v>
      </c>
      <c r="E1458" s="2">
        <v>1</v>
      </c>
      <c r="F1458" s="2">
        <v>8.5072874013416497E-3</v>
      </c>
      <c r="G1458" s="2">
        <v>1</v>
      </c>
    </row>
    <row r="1459" spans="1:7" x14ac:dyDescent="0.2">
      <c r="A1459" s="2" t="s">
        <v>26</v>
      </c>
      <c r="B1459" s="14">
        <v>39722</v>
      </c>
      <c r="C1459" s="2">
        <v>9.7319541783000003E-4</v>
      </c>
      <c r="D1459" s="2">
        <v>-9.1608185000000009E-3</v>
      </c>
      <c r="E1459" s="2">
        <v>1</v>
      </c>
      <c r="F1459" s="2">
        <v>8.6390690177949401E-3</v>
      </c>
      <c r="G1459" s="2">
        <v>1</v>
      </c>
    </row>
    <row r="1460" spans="1:7" x14ac:dyDescent="0.2">
      <c r="A1460" s="2" t="s">
        <v>26</v>
      </c>
      <c r="B1460" s="14">
        <v>39753</v>
      </c>
      <c r="C1460" s="2">
        <v>2.6417400484E-2</v>
      </c>
      <c r="D1460" s="2">
        <v>-9.1671384999999995E-4</v>
      </c>
      <c r="E1460" s="2">
        <v>1</v>
      </c>
      <c r="F1460" s="2">
        <v>5.6735572115954201E-3</v>
      </c>
      <c r="G1460" s="2">
        <v>1</v>
      </c>
    </row>
    <row r="1461" spans="1:7" x14ac:dyDescent="0.2">
      <c r="A1461" s="2" t="s">
        <v>26</v>
      </c>
      <c r="B1461" s="14">
        <v>39783</v>
      </c>
      <c r="C1461" s="2">
        <v>-1.2097428957E-2</v>
      </c>
      <c r="D1461" s="2">
        <v>1.1726518999999999E-3</v>
      </c>
      <c r="E1461" s="2">
        <v>1</v>
      </c>
      <c r="F1461" s="2">
        <v>4.8570701451671298E-3</v>
      </c>
      <c r="G1461" s="2">
        <v>1</v>
      </c>
    </row>
    <row r="1462" spans="1:7" x14ac:dyDescent="0.2">
      <c r="A1462" s="2" t="s">
        <v>27</v>
      </c>
      <c r="B1462" s="14">
        <v>37591</v>
      </c>
      <c r="C1462" s="2">
        <v>0</v>
      </c>
      <c r="D1462" s="2">
        <v>0</v>
      </c>
      <c r="E1462" s="2">
        <v>1</v>
      </c>
      <c r="G1462" s="2">
        <v>2</v>
      </c>
    </row>
    <row r="1463" spans="1:7" x14ac:dyDescent="0.2">
      <c r="A1463" s="2" t="s">
        <v>27</v>
      </c>
      <c r="B1463" s="14">
        <v>37622</v>
      </c>
      <c r="C1463" s="2">
        <v>0</v>
      </c>
      <c r="D1463" s="2">
        <v>0</v>
      </c>
      <c r="E1463" s="2">
        <v>1</v>
      </c>
      <c r="G1463" s="2">
        <v>2</v>
      </c>
    </row>
    <row r="1464" spans="1:7" x14ac:dyDescent="0.2">
      <c r="A1464" s="2" t="s">
        <v>27</v>
      </c>
      <c r="B1464" s="14">
        <v>37653</v>
      </c>
      <c r="C1464" s="2">
        <v>-3.7974683544E-2</v>
      </c>
      <c r="D1464" s="2">
        <v>0</v>
      </c>
      <c r="E1464" s="2">
        <v>1</v>
      </c>
      <c r="G1464" s="2">
        <v>2</v>
      </c>
    </row>
    <row r="1465" spans="1:7" x14ac:dyDescent="0.2">
      <c r="A1465" s="2" t="s">
        <v>27</v>
      </c>
      <c r="B1465" s="14">
        <v>37681</v>
      </c>
      <c r="C1465" s="2">
        <v>0</v>
      </c>
      <c r="D1465" s="2">
        <v>0</v>
      </c>
      <c r="E1465" s="2">
        <v>1</v>
      </c>
      <c r="G1465" s="2">
        <v>2</v>
      </c>
    </row>
    <row r="1466" spans="1:7" x14ac:dyDescent="0.2">
      <c r="A1466" s="2" t="s">
        <v>27</v>
      </c>
      <c r="B1466" s="14">
        <v>37712</v>
      </c>
      <c r="C1466" s="2">
        <v>-1.3157894737999999E-2</v>
      </c>
      <c r="D1466" s="2">
        <v>0</v>
      </c>
      <c r="E1466" s="2">
        <v>1</v>
      </c>
      <c r="G1466" s="2">
        <v>2</v>
      </c>
    </row>
    <row r="1467" spans="1:7" x14ac:dyDescent="0.2">
      <c r="A1467" s="2" t="s">
        <v>27</v>
      </c>
      <c r="B1467" s="14">
        <v>37742</v>
      </c>
      <c r="C1467" s="2">
        <v>2.2723658806999999E-2</v>
      </c>
      <c r="D1467" s="2">
        <v>0</v>
      </c>
      <c r="E1467" s="2">
        <v>1</v>
      </c>
      <c r="G1467" s="2">
        <v>2</v>
      </c>
    </row>
    <row r="1468" spans="1:7" x14ac:dyDescent="0.2">
      <c r="A1468" s="2" t="s">
        <v>27</v>
      </c>
      <c r="B1468" s="14">
        <v>37773</v>
      </c>
      <c r="C1468" s="2">
        <v>-6.8493150685000004E-2</v>
      </c>
      <c r="D1468" s="2">
        <v>0</v>
      </c>
      <c r="E1468" s="2">
        <v>1</v>
      </c>
      <c r="G1468" s="2">
        <v>2</v>
      </c>
    </row>
    <row r="1469" spans="1:7" x14ac:dyDescent="0.2">
      <c r="A1469" s="2" t="s">
        <v>27</v>
      </c>
      <c r="B1469" s="14">
        <v>37803</v>
      </c>
      <c r="C1469" s="2">
        <v>0</v>
      </c>
      <c r="D1469" s="2">
        <v>0</v>
      </c>
      <c r="E1469" s="2">
        <v>1</v>
      </c>
      <c r="G1469" s="2">
        <v>2</v>
      </c>
    </row>
    <row r="1470" spans="1:7" x14ac:dyDescent="0.2">
      <c r="A1470" s="2" t="s">
        <v>27</v>
      </c>
      <c r="B1470" s="14">
        <v>37834</v>
      </c>
      <c r="C1470" s="2">
        <v>-0.26470588234999998</v>
      </c>
      <c r="D1470" s="2">
        <v>0</v>
      </c>
      <c r="E1470" s="2">
        <v>1</v>
      </c>
      <c r="F1470" s="2">
        <v>3.1839120467390299E-2</v>
      </c>
      <c r="G1470" s="2">
        <v>2</v>
      </c>
    </row>
    <row r="1471" spans="1:7" x14ac:dyDescent="0.2">
      <c r="A1471" s="2" t="s">
        <v>27</v>
      </c>
      <c r="B1471" s="14">
        <v>37865</v>
      </c>
      <c r="C1471" s="2">
        <v>0</v>
      </c>
      <c r="D1471" s="2">
        <v>0</v>
      </c>
      <c r="E1471" s="2">
        <v>1</v>
      </c>
      <c r="F1471" s="2">
        <v>2.7164580303944998E-2</v>
      </c>
      <c r="G1471" s="2">
        <v>2</v>
      </c>
    </row>
    <row r="1472" spans="1:7" x14ac:dyDescent="0.2">
      <c r="A1472" s="2" t="s">
        <v>27</v>
      </c>
      <c r="B1472" s="14">
        <v>37895</v>
      </c>
      <c r="C1472" s="2">
        <v>1.9996643095999999E-4</v>
      </c>
      <c r="D1472" s="2">
        <v>0</v>
      </c>
      <c r="E1472" s="2">
        <v>1</v>
      </c>
      <c r="F1472" s="2">
        <v>2.70762929510012E-2</v>
      </c>
      <c r="G1472" s="2">
        <v>2</v>
      </c>
    </row>
    <row r="1473" spans="1:7" x14ac:dyDescent="0.2">
      <c r="A1473" s="2" t="s">
        <v>27</v>
      </c>
      <c r="B1473" s="14">
        <v>37926</v>
      </c>
      <c r="C1473" s="2">
        <v>9.7763240818999994E-2</v>
      </c>
      <c r="D1473" s="2">
        <v>0</v>
      </c>
      <c r="E1473" s="2">
        <v>1</v>
      </c>
      <c r="F1473" s="2">
        <v>2.7385382310027798E-2</v>
      </c>
      <c r="G1473" s="2">
        <v>2</v>
      </c>
    </row>
    <row r="1474" spans="1:7" x14ac:dyDescent="0.2">
      <c r="A1474" s="2" t="s">
        <v>27</v>
      </c>
      <c r="B1474" s="14">
        <v>37956</v>
      </c>
      <c r="C1474" s="2">
        <v>0</v>
      </c>
      <c r="D1474" s="2">
        <v>0</v>
      </c>
      <c r="E1474" s="2">
        <v>1</v>
      </c>
      <c r="F1474" s="2">
        <v>2.9563875274690898E-2</v>
      </c>
      <c r="G1474" s="2">
        <v>2</v>
      </c>
    </row>
    <row r="1475" spans="1:7" x14ac:dyDescent="0.2">
      <c r="A1475" s="2" t="s">
        <v>27</v>
      </c>
      <c r="B1475" s="14">
        <v>37987</v>
      </c>
      <c r="C1475" s="2">
        <v>0.30769230769</v>
      </c>
      <c r="E1475" s="2">
        <v>1</v>
      </c>
      <c r="F1475" s="2">
        <v>3.1469880795257303E-2</v>
      </c>
      <c r="G1475" s="2">
        <v>2</v>
      </c>
    </row>
    <row r="1476" spans="1:7" x14ac:dyDescent="0.2">
      <c r="A1476" s="2" t="s">
        <v>27</v>
      </c>
      <c r="B1476" s="14">
        <v>38018</v>
      </c>
      <c r="C1476" s="2">
        <v>0</v>
      </c>
      <c r="E1476" s="2">
        <v>1</v>
      </c>
      <c r="F1476" s="2">
        <v>4.0547890620203197E-2</v>
      </c>
      <c r="G1476" s="2">
        <v>2</v>
      </c>
    </row>
    <row r="1477" spans="1:7" x14ac:dyDescent="0.2">
      <c r="A1477" s="2" t="s">
        <v>27</v>
      </c>
      <c r="B1477" s="14">
        <v>38047</v>
      </c>
      <c r="C1477" s="2">
        <v>0</v>
      </c>
      <c r="D1477" s="2">
        <v>0</v>
      </c>
      <c r="E1477" s="2">
        <v>1</v>
      </c>
      <c r="F1477" s="2">
        <v>4.8183191914307401E-2</v>
      </c>
      <c r="G1477" s="2">
        <v>2</v>
      </c>
    </row>
    <row r="1478" spans="1:7" x14ac:dyDescent="0.2">
      <c r="A1478" s="2" t="s">
        <v>27</v>
      </c>
      <c r="B1478" s="14">
        <v>38078</v>
      </c>
      <c r="C1478" s="2">
        <v>0</v>
      </c>
      <c r="D1478" s="2">
        <v>0</v>
      </c>
      <c r="E1478" s="2">
        <v>1</v>
      </c>
      <c r="F1478" s="2">
        <v>4.8183191914307401E-2</v>
      </c>
      <c r="G1478" s="2">
        <v>2</v>
      </c>
    </row>
    <row r="1479" spans="1:7" x14ac:dyDescent="0.2">
      <c r="A1479" s="2" t="s">
        <v>27</v>
      </c>
      <c r="B1479" s="14">
        <v>38108</v>
      </c>
      <c r="C1479" s="2">
        <v>5.0245765231000002E-2</v>
      </c>
      <c r="D1479" s="2">
        <v>0</v>
      </c>
      <c r="E1479" s="2">
        <v>1</v>
      </c>
      <c r="F1479" s="2">
        <v>4.8286493959514398E-2</v>
      </c>
      <c r="G1479" s="2">
        <v>2</v>
      </c>
    </row>
    <row r="1480" spans="1:7" x14ac:dyDescent="0.2">
      <c r="A1480" s="2" t="s">
        <v>27</v>
      </c>
      <c r="B1480" s="14">
        <v>38139</v>
      </c>
      <c r="C1480" s="2">
        <v>0</v>
      </c>
      <c r="D1480" s="2">
        <v>0</v>
      </c>
      <c r="E1480" s="2">
        <v>1</v>
      </c>
      <c r="F1480" s="2">
        <v>4.6812202598581799E-2</v>
      </c>
      <c r="G1480" s="2">
        <v>2</v>
      </c>
    </row>
    <row r="1481" spans="1:7" x14ac:dyDescent="0.2">
      <c r="A1481" s="2" t="s">
        <v>27</v>
      </c>
      <c r="B1481" s="14">
        <v>38169</v>
      </c>
      <c r="C1481" s="2">
        <v>0</v>
      </c>
      <c r="D1481" s="2">
        <v>0</v>
      </c>
      <c r="E1481" s="2">
        <v>1</v>
      </c>
      <c r="F1481" s="2">
        <v>4.6768672922105702E-2</v>
      </c>
      <c r="G1481" s="2">
        <v>2</v>
      </c>
    </row>
    <row r="1482" spans="1:7" x14ac:dyDescent="0.2">
      <c r="A1482" s="2" t="s">
        <v>27</v>
      </c>
      <c r="B1482" s="14">
        <v>38200</v>
      </c>
      <c r="C1482" s="2">
        <v>0.10294117647000001</v>
      </c>
      <c r="D1482" s="2">
        <v>0</v>
      </c>
      <c r="E1482" s="2">
        <v>1</v>
      </c>
      <c r="F1482" s="2">
        <v>4.6595381289689403E-2</v>
      </c>
      <c r="G1482" s="2">
        <v>2</v>
      </c>
    </row>
    <row r="1483" spans="1:7" x14ac:dyDescent="0.2">
      <c r="A1483" s="2" t="s">
        <v>27</v>
      </c>
      <c r="B1483" s="14">
        <v>38231</v>
      </c>
      <c r="C1483" s="2">
        <v>0</v>
      </c>
      <c r="D1483" s="2">
        <v>0</v>
      </c>
      <c r="E1483" s="2">
        <v>1</v>
      </c>
      <c r="F1483" s="2">
        <v>4.8698691529466299E-2</v>
      </c>
      <c r="G1483" s="2">
        <v>2</v>
      </c>
    </row>
    <row r="1484" spans="1:7" x14ac:dyDescent="0.2">
      <c r="A1484" s="2" t="s">
        <v>27</v>
      </c>
      <c r="B1484" s="14">
        <v>38261</v>
      </c>
      <c r="C1484" s="2">
        <v>0.38904065848000002</v>
      </c>
      <c r="D1484" s="2">
        <v>0</v>
      </c>
      <c r="E1484" s="2">
        <v>1</v>
      </c>
      <c r="F1484" s="2">
        <v>4.8698691529466299E-2</v>
      </c>
      <c r="G1484" s="2">
        <v>2</v>
      </c>
    </row>
    <row r="1485" spans="1:7" x14ac:dyDescent="0.2">
      <c r="A1485" s="2" t="s">
        <v>27</v>
      </c>
      <c r="B1485" s="14">
        <v>38292</v>
      </c>
      <c r="C1485" s="2">
        <v>3.9603960397000003E-2</v>
      </c>
      <c r="D1485" s="2">
        <v>0</v>
      </c>
      <c r="E1485" s="2">
        <v>1</v>
      </c>
      <c r="F1485" s="2">
        <v>6.0041458662942797E-2</v>
      </c>
      <c r="G1485" s="2">
        <v>2</v>
      </c>
    </row>
    <row r="1486" spans="1:7" x14ac:dyDescent="0.2">
      <c r="A1486" s="2" t="s">
        <v>27</v>
      </c>
      <c r="B1486" s="14">
        <v>38322</v>
      </c>
      <c r="C1486" s="2">
        <v>-2.3550665137999999E-2</v>
      </c>
      <c r="D1486" s="2">
        <v>0</v>
      </c>
      <c r="E1486" s="2">
        <v>1</v>
      </c>
      <c r="F1486" s="2">
        <v>5.9651509628144098E-2</v>
      </c>
      <c r="G1486" s="2">
        <v>2</v>
      </c>
    </row>
    <row r="1487" spans="1:7" x14ac:dyDescent="0.2">
      <c r="A1487" s="2" t="s">
        <v>27</v>
      </c>
      <c r="B1487" s="14">
        <v>38353</v>
      </c>
      <c r="C1487" s="2">
        <v>0.15</v>
      </c>
      <c r="D1487" s="2">
        <v>0</v>
      </c>
      <c r="E1487" s="2">
        <v>1</v>
      </c>
      <c r="F1487" s="2">
        <v>5.91075856302858E-2</v>
      </c>
      <c r="G1487" s="2">
        <v>2</v>
      </c>
    </row>
    <row r="1488" spans="1:7" x14ac:dyDescent="0.2">
      <c r="A1488" s="2" t="s">
        <v>27</v>
      </c>
      <c r="B1488" s="14">
        <v>38384</v>
      </c>
      <c r="C1488" s="2">
        <v>0</v>
      </c>
      <c r="D1488" s="2">
        <v>0</v>
      </c>
      <c r="E1488" s="2">
        <v>1</v>
      </c>
      <c r="F1488" s="2">
        <v>6.2772604657286402E-2</v>
      </c>
      <c r="G1488" s="2">
        <v>2</v>
      </c>
    </row>
    <row r="1489" spans="1:7" x14ac:dyDescent="0.2">
      <c r="A1489" s="2" t="s">
        <v>27</v>
      </c>
      <c r="B1489" s="14">
        <v>38412</v>
      </c>
      <c r="C1489" s="2">
        <v>0</v>
      </c>
      <c r="D1489" s="2">
        <v>0</v>
      </c>
      <c r="E1489" s="2">
        <v>1</v>
      </c>
      <c r="F1489" s="2">
        <v>5.9798554234826898E-2</v>
      </c>
      <c r="G1489" s="2">
        <v>2</v>
      </c>
    </row>
    <row r="1490" spans="1:7" x14ac:dyDescent="0.2">
      <c r="A1490" s="2" t="s">
        <v>27</v>
      </c>
      <c r="B1490" s="14">
        <v>38443</v>
      </c>
      <c r="C1490" s="2">
        <v>-7.7219252225999999E-2</v>
      </c>
      <c r="D1490" s="2">
        <v>0</v>
      </c>
      <c r="E1490" s="2">
        <v>1</v>
      </c>
      <c r="F1490" s="2">
        <v>5.9798554234826898E-2</v>
      </c>
      <c r="G1490" s="2">
        <v>2</v>
      </c>
    </row>
    <row r="1491" spans="1:7" x14ac:dyDescent="0.2">
      <c r="A1491" s="2" t="s">
        <v>27</v>
      </c>
      <c r="B1491" s="14">
        <v>38473</v>
      </c>
      <c r="C1491" s="2">
        <v>0.12531262856</v>
      </c>
      <c r="D1491" s="2">
        <v>0</v>
      </c>
      <c r="E1491" s="2">
        <v>1</v>
      </c>
      <c r="F1491" s="2">
        <v>4.6029657923438799E-2</v>
      </c>
      <c r="G1491" s="2">
        <v>2</v>
      </c>
    </row>
    <row r="1492" spans="1:7" x14ac:dyDescent="0.2">
      <c r="A1492" s="2" t="s">
        <v>27</v>
      </c>
      <c r="B1492" s="14">
        <v>38504</v>
      </c>
      <c r="C1492" s="2">
        <v>-1.7094017093E-2</v>
      </c>
      <c r="D1492" s="2">
        <v>6.6666668000000002E-3</v>
      </c>
      <c r="E1492" s="2">
        <v>1</v>
      </c>
      <c r="F1492" s="2">
        <v>4.8270803328867802E-2</v>
      </c>
      <c r="G1492" s="2">
        <v>2</v>
      </c>
    </row>
    <row r="1493" spans="1:7" x14ac:dyDescent="0.2">
      <c r="A1493" s="2" t="s">
        <v>27</v>
      </c>
      <c r="B1493" s="14">
        <v>38534</v>
      </c>
      <c r="C1493" s="2">
        <v>-2.3662861912E-2</v>
      </c>
      <c r="D1493" s="2">
        <v>0</v>
      </c>
      <c r="E1493" s="2">
        <v>1</v>
      </c>
      <c r="F1493" s="2">
        <v>4.8512286574645798E-2</v>
      </c>
      <c r="G1493" s="2">
        <v>2</v>
      </c>
    </row>
    <row r="1494" spans="1:7" x14ac:dyDescent="0.2">
      <c r="A1494" s="2" t="s">
        <v>27</v>
      </c>
      <c r="B1494" s="14">
        <v>38565</v>
      </c>
      <c r="C1494" s="2">
        <v>-9.0909090903999994E-3</v>
      </c>
      <c r="D1494" s="2">
        <v>2.263451E-2</v>
      </c>
      <c r="E1494" s="2">
        <v>1</v>
      </c>
      <c r="F1494" s="2">
        <v>3.1407225851725298E-2</v>
      </c>
      <c r="G1494" s="2">
        <v>2</v>
      </c>
    </row>
    <row r="1495" spans="1:7" x14ac:dyDescent="0.2">
      <c r="A1495" s="2" t="s">
        <v>27</v>
      </c>
      <c r="B1495" s="14">
        <v>38596</v>
      </c>
      <c r="C1495" s="2">
        <v>-9.1743119264999992E-3</v>
      </c>
      <c r="D1495" s="2">
        <v>0</v>
      </c>
      <c r="E1495" s="2">
        <v>1</v>
      </c>
      <c r="F1495" s="2">
        <v>3.1171231431529001E-2</v>
      </c>
      <c r="G1495" s="2">
        <v>2</v>
      </c>
    </row>
    <row r="1496" spans="1:7" x14ac:dyDescent="0.2">
      <c r="A1496" s="2" t="s">
        <v>27</v>
      </c>
      <c r="B1496" s="14">
        <v>38626</v>
      </c>
      <c r="C1496" s="2">
        <v>2.7777777776999999E-2</v>
      </c>
      <c r="D1496" s="2">
        <v>0</v>
      </c>
      <c r="E1496" s="2">
        <v>1</v>
      </c>
      <c r="F1496" s="2">
        <v>3.0933407868811599E-2</v>
      </c>
      <c r="G1496" s="2">
        <v>2</v>
      </c>
    </row>
    <row r="1497" spans="1:7" x14ac:dyDescent="0.2">
      <c r="A1497" s="2" t="s">
        <v>27</v>
      </c>
      <c r="B1497" s="14">
        <v>38657</v>
      </c>
      <c r="C1497" s="2">
        <v>4.5045045043999997E-2</v>
      </c>
      <c r="D1497" s="2">
        <v>0</v>
      </c>
      <c r="E1497" s="2">
        <v>1</v>
      </c>
      <c r="F1497" s="2">
        <v>3.2750282793408199E-2</v>
      </c>
      <c r="G1497" s="2">
        <v>2</v>
      </c>
    </row>
    <row r="1498" spans="1:7" x14ac:dyDescent="0.2">
      <c r="A1498" s="2" t="s">
        <v>27</v>
      </c>
      <c r="B1498" s="14">
        <v>38687</v>
      </c>
      <c r="C1498" s="2">
        <v>-8.6206896558000002E-3</v>
      </c>
      <c r="D1498" s="2">
        <v>0</v>
      </c>
      <c r="E1498" s="2">
        <v>1</v>
      </c>
      <c r="F1498" s="2">
        <v>3.03349239882575E-2</v>
      </c>
      <c r="G1498" s="2">
        <v>2</v>
      </c>
    </row>
    <row r="1499" spans="1:7" x14ac:dyDescent="0.2">
      <c r="A1499" s="2" t="s">
        <v>27</v>
      </c>
      <c r="B1499" s="14">
        <v>38718</v>
      </c>
      <c r="C1499" s="2">
        <v>-8.6956521727E-3</v>
      </c>
      <c r="D1499" s="2">
        <v>0</v>
      </c>
      <c r="E1499" s="2">
        <v>1</v>
      </c>
      <c r="F1499" s="2">
        <v>3.0586552049717299E-2</v>
      </c>
      <c r="G1499" s="2">
        <v>2</v>
      </c>
    </row>
    <row r="1500" spans="1:7" x14ac:dyDescent="0.2">
      <c r="A1500" s="2" t="s">
        <v>27</v>
      </c>
      <c r="B1500" s="14">
        <v>38749</v>
      </c>
      <c r="C1500" s="2">
        <v>-6.1403508772000001E-2</v>
      </c>
      <c r="D1500" s="2">
        <v>0</v>
      </c>
      <c r="E1500" s="2">
        <v>1</v>
      </c>
      <c r="F1500" s="2">
        <v>3.07471161257383E-2</v>
      </c>
      <c r="G1500" s="2">
        <v>2</v>
      </c>
    </row>
    <row r="1501" spans="1:7" x14ac:dyDescent="0.2">
      <c r="A1501" s="2" t="s">
        <v>27</v>
      </c>
      <c r="B1501" s="14">
        <v>38777</v>
      </c>
      <c r="C1501" s="2">
        <v>-5.6074766355E-2</v>
      </c>
      <c r="D1501" s="2">
        <v>0</v>
      </c>
      <c r="E1501" s="2">
        <v>1</v>
      </c>
      <c r="F1501" s="2">
        <v>2.94467136857774E-2</v>
      </c>
      <c r="G1501" s="2">
        <v>2</v>
      </c>
    </row>
    <row r="1502" spans="1:7" x14ac:dyDescent="0.2">
      <c r="A1502" s="2" t="s">
        <v>27</v>
      </c>
      <c r="B1502" s="14">
        <v>38808</v>
      </c>
      <c r="C1502" s="2">
        <v>-2.9702970296000001E-2</v>
      </c>
      <c r="D1502" s="2">
        <v>0</v>
      </c>
      <c r="E1502" s="2">
        <v>1</v>
      </c>
      <c r="F1502" s="2">
        <v>2.8266927577993099E-2</v>
      </c>
      <c r="G1502" s="2">
        <v>2</v>
      </c>
    </row>
    <row r="1503" spans="1:7" x14ac:dyDescent="0.2">
      <c r="A1503" s="2" t="s">
        <v>27</v>
      </c>
      <c r="B1503" s="14">
        <v>38838</v>
      </c>
      <c r="C1503" s="2">
        <v>-0.14797847502</v>
      </c>
      <c r="D1503" s="2">
        <v>0</v>
      </c>
      <c r="E1503" s="2">
        <v>1</v>
      </c>
      <c r="F1503" s="2">
        <v>2.6597984012864499E-2</v>
      </c>
      <c r="G1503" s="2">
        <v>2</v>
      </c>
    </row>
    <row r="1504" spans="1:7" x14ac:dyDescent="0.2">
      <c r="A1504" s="2" t="s">
        <v>27</v>
      </c>
      <c r="B1504" s="14">
        <v>38869</v>
      </c>
      <c r="C1504" s="2">
        <v>6.0975609755E-2</v>
      </c>
      <c r="D1504" s="2">
        <v>0</v>
      </c>
      <c r="E1504" s="2">
        <v>1</v>
      </c>
      <c r="F1504" s="2">
        <v>2.14064549786891E-2</v>
      </c>
      <c r="G1504" s="2">
        <v>2</v>
      </c>
    </row>
    <row r="1505" spans="1:7" x14ac:dyDescent="0.2">
      <c r="A1505" s="2" t="s">
        <v>27</v>
      </c>
      <c r="B1505" s="14">
        <v>38899</v>
      </c>
      <c r="C1505" s="2">
        <v>0</v>
      </c>
      <c r="D1505" s="2">
        <v>0</v>
      </c>
      <c r="E1505" s="2">
        <v>1</v>
      </c>
      <c r="F1505" s="2">
        <v>2.3394332846718401E-2</v>
      </c>
      <c r="G1505" s="2">
        <v>2</v>
      </c>
    </row>
    <row r="1506" spans="1:7" x14ac:dyDescent="0.2">
      <c r="A1506" s="2" t="s">
        <v>27</v>
      </c>
      <c r="B1506" s="14">
        <v>38930</v>
      </c>
      <c r="C1506" s="2">
        <v>0</v>
      </c>
      <c r="D1506" s="2">
        <v>0</v>
      </c>
      <c r="E1506" s="2">
        <v>1</v>
      </c>
      <c r="F1506" s="2">
        <v>2.1750765442045801E-2</v>
      </c>
      <c r="G1506" s="2">
        <v>2</v>
      </c>
    </row>
    <row r="1507" spans="1:7" x14ac:dyDescent="0.2">
      <c r="A1507" s="2" t="s">
        <v>27</v>
      </c>
      <c r="B1507" s="14">
        <v>38961</v>
      </c>
      <c r="C1507" s="2">
        <v>1.1494252874000001E-2</v>
      </c>
      <c r="D1507" s="2">
        <v>0</v>
      </c>
      <c r="E1507" s="2">
        <v>1</v>
      </c>
      <c r="F1507" s="2">
        <v>2.3527988831654498E-2</v>
      </c>
      <c r="G1507" s="2">
        <v>2</v>
      </c>
    </row>
    <row r="1508" spans="1:7" x14ac:dyDescent="0.2">
      <c r="A1508" s="2" t="s">
        <v>27</v>
      </c>
      <c r="B1508" s="14">
        <v>38991</v>
      </c>
      <c r="C1508" s="2">
        <v>5.6931818182E-2</v>
      </c>
      <c r="D1508" s="2">
        <v>0</v>
      </c>
      <c r="E1508" s="2">
        <v>1</v>
      </c>
      <c r="F1508" s="2">
        <v>2.5464236784524402E-2</v>
      </c>
      <c r="G1508" s="2">
        <v>2</v>
      </c>
    </row>
    <row r="1509" spans="1:7" x14ac:dyDescent="0.2">
      <c r="A1509" s="2" t="s">
        <v>27</v>
      </c>
      <c r="B1509" s="14">
        <v>39022</v>
      </c>
      <c r="C1509" s="2">
        <v>2.1395548864999999E-2</v>
      </c>
      <c r="D1509" s="2">
        <v>0</v>
      </c>
      <c r="E1509" s="2">
        <v>1</v>
      </c>
      <c r="F1509" s="2">
        <v>2.78891863925479E-2</v>
      </c>
      <c r="G1509" s="2">
        <v>2</v>
      </c>
    </row>
    <row r="1510" spans="1:7" x14ac:dyDescent="0.2">
      <c r="A1510" s="2" t="s">
        <v>27</v>
      </c>
      <c r="B1510" s="14">
        <v>39052</v>
      </c>
      <c r="C1510" s="2">
        <v>5.2631578946999998E-2</v>
      </c>
      <c r="D1510" s="2">
        <v>0</v>
      </c>
      <c r="E1510" s="2">
        <v>1</v>
      </c>
      <c r="F1510" s="2">
        <v>3.2702310213821702E-2</v>
      </c>
      <c r="G1510" s="2">
        <v>2</v>
      </c>
    </row>
    <row r="1511" spans="1:7" x14ac:dyDescent="0.2">
      <c r="A1511" s="2" t="s">
        <v>27</v>
      </c>
      <c r="B1511" s="14">
        <v>39083</v>
      </c>
      <c r="C1511" s="2">
        <v>0.02</v>
      </c>
      <c r="D1511" s="2">
        <v>0</v>
      </c>
      <c r="E1511" s="2">
        <v>1</v>
      </c>
      <c r="F1511" s="2">
        <v>3.2403624420356603E-2</v>
      </c>
      <c r="G1511" s="2">
        <v>2</v>
      </c>
    </row>
    <row r="1512" spans="1:7" x14ac:dyDescent="0.2">
      <c r="A1512" s="2" t="s">
        <v>27</v>
      </c>
      <c r="B1512" s="14">
        <v>39114</v>
      </c>
      <c r="C1512" s="2">
        <v>-1.9607843138E-2</v>
      </c>
      <c r="D1512" s="2">
        <v>0</v>
      </c>
      <c r="E1512" s="2">
        <v>1</v>
      </c>
      <c r="F1512" s="2">
        <v>3.2946834654366798E-2</v>
      </c>
      <c r="G1512" s="2">
        <v>2</v>
      </c>
    </row>
    <row r="1513" spans="1:7" x14ac:dyDescent="0.2">
      <c r="A1513" s="2" t="s">
        <v>27</v>
      </c>
      <c r="B1513" s="14">
        <v>39142</v>
      </c>
      <c r="C1513" s="2">
        <v>-0.02</v>
      </c>
      <c r="D1513" s="2">
        <v>0</v>
      </c>
      <c r="E1513" s="2">
        <v>1</v>
      </c>
      <c r="F1513" s="2">
        <v>3.23817255229885E-2</v>
      </c>
      <c r="G1513" s="2">
        <v>2</v>
      </c>
    </row>
    <row r="1514" spans="1:7" x14ac:dyDescent="0.2">
      <c r="A1514" s="2" t="s">
        <v>27</v>
      </c>
      <c r="B1514" s="14">
        <v>39173</v>
      </c>
      <c r="C1514" s="2">
        <v>0</v>
      </c>
      <c r="D1514" s="2">
        <v>0</v>
      </c>
      <c r="E1514" s="2">
        <v>1</v>
      </c>
      <c r="F1514" s="2">
        <v>3.1477778978625998E-2</v>
      </c>
      <c r="G1514" s="2">
        <v>2</v>
      </c>
    </row>
    <row r="1515" spans="1:7" x14ac:dyDescent="0.2">
      <c r="A1515" s="2" t="s">
        <v>27</v>
      </c>
      <c r="B1515" s="14">
        <v>39203</v>
      </c>
      <c r="C1515" s="2">
        <v>2.0833333334E-2</v>
      </c>
      <c r="D1515" s="2">
        <v>0</v>
      </c>
      <c r="E1515" s="2">
        <v>1</v>
      </c>
      <c r="F1515" s="2">
        <v>2.9864728244838702E-2</v>
      </c>
      <c r="G1515" s="2">
        <v>2</v>
      </c>
    </row>
    <row r="1516" spans="1:7" x14ac:dyDescent="0.2">
      <c r="A1516" s="2" t="s">
        <v>27</v>
      </c>
      <c r="B1516" s="14">
        <v>39234</v>
      </c>
      <c r="C1516" s="2">
        <v>0</v>
      </c>
      <c r="D1516" s="2">
        <v>0</v>
      </c>
      <c r="E1516" s="2">
        <v>1</v>
      </c>
      <c r="F1516" s="2">
        <v>2.9289941411972699E-2</v>
      </c>
      <c r="G1516" s="2">
        <v>2</v>
      </c>
    </row>
    <row r="1517" spans="1:7" x14ac:dyDescent="0.2">
      <c r="A1517" s="2" t="s">
        <v>27</v>
      </c>
      <c r="B1517" s="14">
        <v>39264</v>
      </c>
      <c r="D1517" s="2">
        <v>0</v>
      </c>
      <c r="E1517" s="2">
        <v>1</v>
      </c>
      <c r="F1517" s="2">
        <v>2.7705581347050201E-2</v>
      </c>
      <c r="G1517" s="2">
        <v>2</v>
      </c>
    </row>
    <row r="1518" spans="1:7" x14ac:dyDescent="0.2">
      <c r="A1518" s="2" t="s">
        <v>27</v>
      </c>
      <c r="B1518" s="14">
        <v>39295</v>
      </c>
      <c r="C1518" s="2">
        <v>-8.1632653060999996E-2</v>
      </c>
      <c r="D1518" s="2">
        <v>0</v>
      </c>
      <c r="E1518" s="2">
        <v>1</v>
      </c>
      <c r="G1518" s="2">
        <v>2</v>
      </c>
    </row>
    <row r="1519" spans="1:7" x14ac:dyDescent="0.2">
      <c r="A1519" s="2" t="s">
        <v>27</v>
      </c>
      <c r="B1519" s="14">
        <v>39326</v>
      </c>
      <c r="C1519" s="2">
        <v>3.3333333333000002E-2</v>
      </c>
      <c r="D1519" s="2">
        <v>0</v>
      </c>
      <c r="E1519" s="2">
        <v>1</v>
      </c>
      <c r="F1519" s="2">
        <v>2.90185098994486E-2</v>
      </c>
      <c r="G1519" s="2">
        <v>2</v>
      </c>
    </row>
    <row r="1520" spans="1:7" x14ac:dyDescent="0.2">
      <c r="A1520" s="2" t="s">
        <v>27</v>
      </c>
      <c r="B1520" s="14">
        <v>39356</v>
      </c>
      <c r="C1520" s="2">
        <v>0</v>
      </c>
      <c r="D1520" s="2">
        <v>0</v>
      </c>
      <c r="E1520" s="2">
        <v>1</v>
      </c>
      <c r="F1520" s="2">
        <v>3.0501495812726199E-2</v>
      </c>
      <c r="G1520" s="2">
        <v>2</v>
      </c>
    </row>
    <row r="1521" spans="1:7" x14ac:dyDescent="0.2">
      <c r="A1521" s="2" t="s">
        <v>27</v>
      </c>
      <c r="B1521" s="14">
        <v>39387</v>
      </c>
      <c r="D1521" s="2">
        <v>0</v>
      </c>
      <c r="E1521" s="2">
        <v>1</v>
      </c>
      <c r="F1521" s="2">
        <v>3.0475579783285599E-2</v>
      </c>
      <c r="G1521" s="2">
        <v>2</v>
      </c>
    </row>
    <row r="1522" spans="1:7" x14ac:dyDescent="0.2">
      <c r="A1522" s="2" t="s">
        <v>27</v>
      </c>
      <c r="B1522" s="14">
        <v>39417</v>
      </c>
      <c r="D1522" s="2">
        <v>0</v>
      </c>
      <c r="E1522" s="2">
        <v>1</v>
      </c>
      <c r="G1522" s="2">
        <v>2</v>
      </c>
    </row>
    <row r="1523" spans="1:7" x14ac:dyDescent="0.2">
      <c r="A1523" s="2" t="s">
        <v>27</v>
      </c>
      <c r="B1523" s="14">
        <v>39448</v>
      </c>
      <c r="D1523" s="2">
        <v>0</v>
      </c>
      <c r="E1523" s="2">
        <v>1</v>
      </c>
      <c r="G1523" s="2">
        <v>2</v>
      </c>
    </row>
    <row r="1524" spans="1:7" x14ac:dyDescent="0.2">
      <c r="A1524" s="2" t="s">
        <v>27</v>
      </c>
      <c r="B1524" s="14">
        <v>39479</v>
      </c>
      <c r="C1524" s="2">
        <v>-2.0037227636999999E-2</v>
      </c>
      <c r="D1524" s="2">
        <v>0</v>
      </c>
      <c r="E1524" s="2">
        <v>1</v>
      </c>
      <c r="G1524" s="2">
        <v>2</v>
      </c>
    </row>
    <row r="1525" spans="1:7" x14ac:dyDescent="0.2">
      <c r="A1525" s="2" t="s">
        <v>27</v>
      </c>
      <c r="B1525" s="14">
        <v>39508</v>
      </c>
      <c r="C1525" s="2">
        <v>0</v>
      </c>
      <c r="D1525" s="2">
        <v>0</v>
      </c>
      <c r="E1525" s="2">
        <v>1</v>
      </c>
      <c r="F1525" s="2">
        <v>3.1686007456246897E-2</v>
      </c>
      <c r="G1525" s="2">
        <v>2</v>
      </c>
    </row>
    <row r="1526" spans="1:7" x14ac:dyDescent="0.2">
      <c r="A1526" s="2" t="s">
        <v>27</v>
      </c>
      <c r="B1526" s="14">
        <v>39539</v>
      </c>
      <c r="D1526" s="2">
        <v>0</v>
      </c>
      <c r="E1526" s="2">
        <v>1</v>
      </c>
      <c r="F1526" s="2">
        <v>3.0718631467792301E-2</v>
      </c>
      <c r="G1526" s="2">
        <v>2</v>
      </c>
    </row>
    <row r="1527" spans="1:7" x14ac:dyDescent="0.2">
      <c r="A1527" s="2" t="s">
        <v>27</v>
      </c>
      <c r="B1527" s="14">
        <v>39569</v>
      </c>
      <c r="C1527" s="2">
        <v>6.1362695001999999E-2</v>
      </c>
      <c r="D1527" s="19">
        <v>1.7666665999999999E-7</v>
      </c>
      <c r="E1527" s="2">
        <v>1</v>
      </c>
      <c r="G1527" s="2">
        <v>2</v>
      </c>
    </row>
    <row r="1528" spans="1:7" x14ac:dyDescent="0.2">
      <c r="A1528" s="2" t="s">
        <v>27</v>
      </c>
      <c r="B1528" s="14">
        <v>39600</v>
      </c>
      <c r="D1528" s="2">
        <v>0</v>
      </c>
      <c r="E1528" s="2">
        <v>1</v>
      </c>
      <c r="F1528" s="2">
        <v>3.2680831990135897E-2</v>
      </c>
      <c r="G1528" s="2">
        <v>2</v>
      </c>
    </row>
    <row r="1529" spans="1:7" x14ac:dyDescent="0.2">
      <c r="A1529" s="2" t="s">
        <v>27</v>
      </c>
      <c r="B1529" s="14">
        <v>39630</v>
      </c>
      <c r="C1529" s="2">
        <v>0</v>
      </c>
      <c r="D1529" s="19">
        <v>5.0499998000000001E-6</v>
      </c>
      <c r="E1529" s="2">
        <v>1</v>
      </c>
      <c r="G1529" s="2">
        <v>2</v>
      </c>
    </row>
    <row r="1530" spans="1:7" x14ac:dyDescent="0.2">
      <c r="A1530" s="2" t="s">
        <v>27</v>
      </c>
      <c r="B1530" s="14">
        <v>39661</v>
      </c>
      <c r="C1530" s="2">
        <v>-2.7932960893999999E-2</v>
      </c>
      <c r="D1530" s="19">
        <v>7.4766666999999998E-6</v>
      </c>
      <c r="E1530" s="2">
        <v>1</v>
      </c>
      <c r="G1530" s="2">
        <v>2</v>
      </c>
    </row>
    <row r="1531" spans="1:7" x14ac:dyDescent="0.2">
      <c r="A1531" s="2" t="s">
        <v>27</v>
      </c>
      <c r="B1531" s="14">
        <v>39692</v>
      </c>
      <c r="C1531" s="2">
        <v>-4.0396316320999999E-2</v>
      </c>
      <c r="D1531" s="2">
        <v>0</v>
      </c>
      <c r="E1531" s="2">
        <v>1</v>
      </c>
      <c r="G1531" s="2">
        <v>2</v>
      </c>
    </row>
    <row r="1532" spans="1:7" x14ac:dyDescent="0.2">
      <c r="A1532" s="2" t="s">
        <v>27</v>
      </c>
      <c r="B1532" s="14">
        <v>39722</v>
      </c>
      <c r="C1532" s="2">
        <v>0</v>
      </c>
      <c r="D1532" s="19">
        <v>1.3333334E-8</v>
      </c>
      <c r="E1532" s="2">
        <v>1</v>
      </c>
      <c r="G1532" s="2">
        <v>2</v>
      </c>
    </row>
    <row r="1533" spans="1:7" x14ac:dyDescent="0.2">
      <c r="A1533" s="2" t="s">
        <v>27</v>
      </c>
      <c r="B1533" s="14">
        <v>39753</v>
      </c>
      <c r="C1533" s="2">
        <v>0</v>
      </c>
      <c r="D1533" s="2">
        <v>0</v>
      </c>
      <c r="E1533" s="2">
        <v>1</v>
      </c>
      <c r="G1533" s="2">
        <v>2</v>
      </c>
    </row>
    <row r="1534" spans="1:7" x14ac:dyDescent="0.2">
      <c r="A1534" s="2" t="s">
        <v>27</v>
      </c>
      <c r="B1534" s="14">
        <v>39783</v>
      </c>
      <c r="D1534" s="2">
        <v>0</v>
      </c>
      <c r="E1534" s="2">
        <v>1</v>
      </c>
      <c r="G1534" s="2">
        <v>2</v>
      </c>
    </row>
    <row r="1535" spans="1:7" x14ac:dyDescent="0.2">
      <c r="A1535" s="2" t="s">
        <v>28</v>
      </c>
      <c r="B1535" s="14">
        <v>37591</v>
      </c>
      <c r="C1535" s="2">
        <v>5.6250000000000001E-2</v>
      </c>
      <c r="D1535" s="2">
        <v>1.4629420000000001E-3</v>
      </c>
      <c r="E1535" s="2">
        <v>1</v>
      </c>
      <c r="G1535" s="2">
        <v>1</v>
      </c>
    </row>
    <row r="1536" spans="1:7" x14ac:dyDescent="0.2">
      <c r="A1536" s="2" t="s">
        <v>28</v>
      </c>
      <c r="B1536" s="14">
        <v>37622</v>
      </c>
      <c r="C1536" s="2">
        <v>-3.3530571992999997E-2</v>
      </c>
      <c r="D1536" s="2">
        <v>1.4657767E-3</v>
      </c>
      <c r="E1536" s="2">
        <v>1</v>
      </c>
      <c r="G1536" s="2">
        <v>1</v>
      </c>
    </row>
    <row r="1537" spans="1:7" x14ac:dyDescent="0.2">
      <c r="A1537" s="2" t="s">
        <v>28</v>
      </c>
      <c r="B1537" s="14">
        <v>37653</v>
      </c>
      <c r="C1537" s="2">
        <v>2.0408163266E-2</v>
      </c>
      <c r="D1537" s="19">
        <v>-9.4617761000000001E-5</v>
      </c>
      <c r="E1537" s="2">
        <v>1</v>
      </c>
      <c r="G1537" s="2">
        <v>1</v>
      </c>
    </row>
    <row r="1538" spans="1:7" x14ac:dyDescent="0.2">
      <c r="A1538" s="2" t="s">
        <v>28</v>
      </c>
      <c r="B1538" s="14">
        <v>37681</v>
      </c>
      <c r="C1538" s="2">
        <v>0.02</v>
      </c>
      <c r="D1538" s="19">
        <v>5.6770659000000003E-5</v>
      </c>
      <c r="E1538" s="2">
        <v>1</v>
      </c>
      <c r="G1538" s="2">
        <v>1</v>
      </c>
    </row>
    <row r="1539" spans="1:7" x14ac:dyDescent="0.2">
      <c r="A1539" s="2" t="s">
        <v>28</v>
      </c>
      <c r="B1539" s="14">
        <v>37712</v>
      </c>
      <c r="C1539" s="2">
        <v>0.22549019608000001</v>
      </c>
      <c r="D1539" s="2">
        <v>-4.5122454000000003E-4</v>
      </c>
      <c r="E1539" s="2">
        <v>1</v>
      </c>
      <c r="G1539" s="2">
        <v>1</v>
      </c>
    </row>
    <row r="1540" spans="1:7" x14ac:dyDescent="0.2">
      <c r="A1540" s="2" t="s">
        <v>28</v>
      </c>
      <c r="B1540" s="14">
        <v>37742</v>
      </c>
      <c r="C1540" s="2">
        <v>0.21557692308000001</v>
      </c>
      <c r="D1540" s="2">
        <v>-3.6810472000000001E-4</v>
      </c>
      <c r="E1540" s="2">
        <v>1</v>
      </c>
      <c r="G1540" s="2">
        <v>1</v>
      </c>
    </row>
    <row r="1541" spans="1:7" x14ac:dyDescent="0.2">
      <c r="A1541" s="2" t="s">
        <v>28</v>
      </c>
      <c r="B1541" s="14">
        <v>37773</v>
      </c>
      <c r="C1541" s="2">
        <v>-4.7483026413999999E-2</v>
      </c>
      <c r="D1541" s="2">
        <v>2.6492972000000001E-4</v>
      </c>
      <c r="E1541" s="2">
        <v>1</v>
      </c>
      <c r="G1541" s="2">
        <v>1</v>
      </c>
    </row>
    <row r="1542" spans="1:7" x14ac:dyDescent="0.2">
      <c r="A1542" s="2" t="s">
        <v>28</v>
      </c>
      <c r="B1542" s="14">
        <v>37803</v>
      </c>
      <c r="C1542" s="2">
        <v>2.8424546645999998E-2</v>
      </c>
      <c r="D1542" s="2">
        <v>1.8892139E-4</v>
      </c>
      <c r="E1542" s="2">
        <v>1</v>
      </c>
      <c r="G1542" s="2">
        <v>1</v>
      </c>
    </row>
    <row r="1543" spans="1:7" x14ac:dyDescent="0.2">
      <c r="A1543" s="2" t="s">
        <v>28</v>
      </c>
      <c r="B1543" s="14">
        <v>37834</v>
      </c>
      <c r="C1543" s="2">
        <v>0.13902774387</v>
      </c>
      <c r="D1543" s="2">
        <v>5.7575287000000001E-4</v>
      </c>
      <c r="E1543" s="2">
        <v>1</v>
      </c>
      <c r="F1543" s="2">
        <v>4.7071310060313697E-2</v>
      </c>
      <c r="G1543" s="2">
        <v>1</v>
      </c>
    </row>
    <row r="1544" spans="1:7" x14ac:dyDescent="0.2">
      <c r="A1544" s="2" t="s">
        <v>28</v>
      </c>
      <c r="B1544" s="14">
        <v>37865</v>
      </c>
      <c r="C1544" s="2">
        <v>0.15839535212</v>
      </c>
      <c r="D1544" s="2">
        <v>4.2594268E-4</v>
      </c>
      <c r="E1544" s="2">
        <v>1</v>
      </c>
      <c r="F1544" s="2">
        <v>5.0112475450596203E-2</v>
      </c>
      <c r="G1544" s="2">
        <v>1</v>
      </c>
    </row>
    <row r="1545" spans="1:7" x14ac:dyDescent="0.2">
      <c r="A1545" s="2" t="s">
        <v>28</v>
      </c>
      <c r="B1545" s="14">
        <v>37895</v>
      </c>
      <c r="C1545" s="2">
        <v>-1.0526315790000001E-2</v>
      </c>
      <c r="D1545" s="2">
        <v>1.4898437E-3</v>
      </c>
      <c r="E1545" s="2">
        <v>1</v>
      </c>
      <c r="F1545" s="2">
        <v>5.3723150258216799E-2</v>
      </c>
      <c r="G1545" s="2">
        <v>1</v>
      </c>
    </row>
    <row r="1546" spans="1:7" x14ac:dyDescent="0.2">
      <c r="A1546" s="2" t="s">
        <v>28</v>
      </c>
      <c r="B1546" s="14">
        <v>37926</v>
      </c>
      <c r="C1546" s="2">
        <v>-4.2366120297000001E-3</v>
      </c>
      <c r="D1546" s="2">
        <v>1.4372815999999999E-4</v>
      </c>
      <c r="E1546" s="2">
        <v>1</v>
      </c>
      <c r="F1546" s="2">
        <v>4.6893239181356003E-2</v>
      </c>
      <c r="G1546" s="2">
        <v>1</v>
      </c>
    </row>
    <row r="1547" spans="1:7" x14ac:dyDescent="0.2">
      <c r="A1547" s="2" t="s">
        <v>28</v>
      </c>
      <c r="B1547" s="14">
        <v>37956</v>
      </c>
      <c r="C1547" s="2">
        <v>5.4347826087999998E-2</v>
      </c>
      <c r="D1547" s="2">
        <v>6.6023518000000005E-4</v>
      </c>
      <c r="E1547" s="2">
        <v>1</v>
      </c>
      <c r="F1547" s="2">
        <v>4.0541870270458302E-2</v>
      </c>
      <c r="G1547" s="2">
        <v>1</v>
      </c>
    </row>
    <row r="1548" spans="1:7" x14ac:dyDescent="0.2">
      <c r="A1548" s="2" t="s">
        <v>28</v>
      </c>
      <c r="B1548" s="14">
        <v>37987</v>
      </c>
      <c r="C1548" s="2">
        <v>-3.6082474226999998E-2</v>
      </c>
      <c r="E1548" s="2">
        <v>1</v>
      </c>
      <c r="F1548" s="2">
        <v>4.3276742203813799E-2</v>
      </c>
      <c r="G1548" s="2">
        <v>1</v>
      </c>
    </row>
    <row r="1549" spans="1:7" x14ac:dyDescent="0.2">
      <c r="A1549" s="2" t="s">
        <v>28</v>
      </c>
      <c r="B1549" s="14">
        <v>38018</v>
      </c>
      <c r="C1549" s="2">
        <v>0</v>
      </c>
      <c r="E1549" s="2">
        <v>1</v>
      </c>
      <c r="F1549" s="2">
        <v>4.1501157288941E-2</v>
      </c>
      <c r="G1549" s="2">
        <v>1</v>
      </c>
    </row>
    <row r="1550" spans="1:7" x14ac:dyDescent="0.2">
      <c r="A1550" s="2" t="s">
        <v>28</v>
      </c>
      <c r="B1550" s="14">
        <v>38047</v>
      </c>
      <c r="C1550" s="2">
        <v>-5.3475935829000003E-3</v>
      </c>
      <c r="D1550" s="2">
        <v>6.3022999999999996E-4</v>
      </c>
      <c r="E1550" s="2">
        <v>1</v>
      </c>
      <c r="F1550" s="2">
        <v>3.7503465114279398E-2</v>
      </c>
      <c r="G1550" s="2">
        <v>1</v>
      </c>
    </row>
    <row r="1551" spans="1:7" x14ac:dyDescent="0.2">
      <c r="A1551" s="2" t="s">
        <v>28</v>
      </c>
      <c r="B1551" s="14">
        <v>38078</v>
      </c>
      <c r="C1551" s="2">
        <v>2.1505376343999998E-2</v>
      </c>
      <c r="D1551" s="2">
        <v>0</v>
      </c>
      <c r="E1551" s="2">
        <v>1</v>
      </c>
      <c r="F1551" s="2">
        <v>3.2808667218802899E-2</v>
      </c>
      <c r="G1551" s="2">
        <v>1</v>
      </c>
    </row>
    <row r="1552" spans="1:7" x14ac:dyDescent="0.2">
      <c r="A1552" s="2" t="s">
        <v>28</v>
      </c>
      <c r="B1552" s="14">
        <v>38108</v>
      </c>
      <c r="C1552" s="2">
        <v>2.1566401815999999E-2</v>
      </c>
      <c r="D1552" s="2">
        <v>2.33475E-4</v>
      </c>
      <c r="E1552" s="2">
        <v>1</v>
      </c>
      <c r="F1552" s="2">
        <v>3.3409818319920001E-2</v>
      </c>
      <c r="G1552" s="2">
        <v>1</v>
      </c>
    </row>
    <row r="1553" spans="1:7" x14ac:dyDescent="0.2">
      <c r="A1553" s="2" t="s">
        <v>28</v>
      </c>
      <c r="B1553" s="14">
        <v>38139</v>
      </c>
      <c r="C1553" s="2">
        <v>3.1684210525999998E-2</v>
      </c>
      <c r="D1553" s="2">
        <v>0</v>
      </c>
      <c r="E1553" s="2">
        <v>1</v>
      </c>
      <c r="F1553" s="2">
        <v>3.3778358481267E-2</v>
      </c>
      <c r="G1553" s="2">
        <v>1</v>
      </c>
    </row>
    <row r="1554" spans="1:7" x14ac:dyDescent="0.2">
      <c r="A1554" s="2" t="s">
        <v>28</v>
      </c>
      <c r="B1554" s="14">
        <v>38169</v>
      </c>
      <c r="C1554" s="2">
        <v>0.12233445565999999</v>
      </c>
      <c r="D1554" s="2">
        <v>6.4349920000000003E-4</v>
      </c>
      <c r="E1554" s="2">
        <v>1</v>
      </c>
      <c r="F1554" s="2">
        <v>3.2969321043867801E-2</v>
      </c>
      <c r="G1554" s="2">
        <v>1</v>
      </c>
    </row>
    <row r="1555" spans="1:7" x14ac:dyDescent="0.2">
      <c r="A1555" s="2" t="s">
        <v>28</v>
      </c>
      <c r="B1555" s="14">
        <v>38200</v>
      </c>
      <c r="C1555" s="2">
        <v>0.18636363636</v>
      </c>
      <c r="D1555" s="19">
        <v>6.4351436E-5</v>
      </c>
      <c r="E1555" s="2">
        <v>1</v>
      </c>
      <c r="F1555" s="2">
        <v>2.4921862237011299E-2</v>
      </c>
      <c r="G1555" s="2">
        <v>1</v>
      </c>
    </row>
    <row r="1556" spans="1:7" x14ac:dyDescent="0.2">
      <c r="A1556" s="2" t="s">
        <v>28</v>
      </c>
      <c r="B1556" s="14">
        <v>38231</v>
      </c>
      <c r="C1556" s="2">
        <v>5.7471264368E-2</v>
      </c>
      <c r="D1556" s="2">
        <v>1.3408851E-4</v>
      </c>
      <c r="E1556" s="2">
        <v>1</v>
      </c>
      <c r="F1556" s="2">
        <v>3.0058964906308799E-2</v>
      </c>
      <c r="G1556" s="2">
        <v>1</v>
      </c>
    </row>
    <row r="1557" spans="1:7" x14ac:dyDescent="0.2">
      <c r="A1557" s="2" t="s">
        <v>28</v>
      </c>
      <c r="B1557" s="14">
        <v>38261</v>
      </c>
      <c r="C1557" s="2">
        <v>0.13913043478000001</v>
      </c>
      <c r="D1557" s="2">
        <v>0</v>
      </c>
      <c r="E1557" s="2">
        <v>1</v>
      </c>
      <c r="F1557" s="2">
        <v>3.1575212484454197E-2</v>
      </c>
      <c r="G1557" s="2">
        <v>1</v>
      </c>
    </row>
    <row r="1558" spans="1:7" x14ac:dyDescent="0.2">
      <c r="A1558" s="2" t="s">
        <v>28</v>
      </c>
      <c r="B1558" s="14">
        <v>38292</v>
      </c>
      <c r="C1558" s="2">
        <v>-4.2752910084999998E-2</v>
      </c>
      <c r="D1558" s="2">
        <v>-3.7912204000000002E-4</v>
      </c>
      <c r="E1558" s="2">
        <v>1</v>
      </c>
      <c r="F1558" s="2">
        <v>3.4761398151846298E-2</v>
      </c>
      <c r="G1558" s="2">
        <v>1</v>
      </c>
    </row>
    <row r="1559" spans="1:7" x14ac:dyDescent="0.2">
      <c r="A1559" s="2" t="s">
        <v>28</v>
      </c>
      <c r="B1559" s="14">
        <v>38322</v>
      </c>
      <c r="C1559" s="2">
        <v>-2.0270270270000001E-2</v>
      </c>
      <c r="D1559" s="2">
        <v>2.8564344000000001E-4</v>
      </c>
      <c r="E1559" s="2">
        <v>1</v>
      </c>
      <c r="F1559" s="2">
        <v>3.3107811004905001E-2</v>
      </c>
      <c r="G1559" s="2">
        <v>1</v>
      </c>
    </row>
    <row r="1560" spans="1:7" x14ac:dyDescent="0.2">
      <c r="A1560" s="2" t="s">
        <v>28</v>
      </c>
      <c r="B1560" s="14">
        <v>38353</v>
      </c>
      <c r="C1560" s="2">
        <v>-1.7241379309999999E-2</v>
      </c>
      <c r="D1560" s="19">
        <v>-7.1795956999999999E-6</v>
      </c>
      <c r="E1560" s="2">
        <v>1</v>
      </c>
      <c r="F1560" s="2">
        <v>3.1698754168521803E-2</v>
      </c>
      <c r="G1560" s="2">
        <v>1</v>
      </c>
    </row>
    <row r="1561" spans="1:7" x14ac:dyDescent="0.2">
      <c r="A1561" s="2" t="s">
        <v>28</v>
      </c>
      <c r="B1561" s="14">
        <v>38384</v>
      </c>
      <c r="C1561" s="2">
        <v>5.2631578946999998E-2</v>
      </c>
      <c r="D1561" s="2">
        <v>0</v>
      </c>
      <c r="E1561" s="2">
        <v>1</v>
      </c>
      <c r="F1561" s="2">
        <v>2.7676149963457301E-2</v>
      </c>
      <c r="G1561" s="2">
        <v>1</v>
      </c>
    </row>
    <row r="1562" spans="1:7" x14ac:dyDescent="0.2">
      <c r="A1562" s="2" t="s">
        <v>28</v>
      </c>
      <c r="B1562" s="14">
        <v>38412</v>
      </c>
      <c r="C1562" s="2">
        <v>-2.6666666668000001E-2</v>
      </c>
      <c r="D1562" s="2">
        <v>0</v>
      </c>
      <c r="E1562" s="2">
        <v>1</v>
      </c>
      <c r="F1562" s="2">
        <v>2.3674287091158201E-2</v>
      </c>
      <c r="G1562" s="2">
        <v>1</v>
      </c>
    </row>
    <row r="1563" spans="1:7" x14ac:dyDescent="0.2">
      <c r="A1563" s="2" t="s">
        <v>28</v>
      </c>
      <c r="B1563" s="14">
        <v>38443</v>
      </c>
      <c r="C1563" s="2">
        <v>-0.10958904109000001</v>
      </c>
      <c r="D1563" s="2">
        <v>5.1560535999999997E-2</v>
      </c>
      <c r="E1563" s="2">
        <v>1</v>
      </c>
      <c r="F1563" s="2">
        <v>2.13358774147182E-2</v>
      </c>
      <c r="G1563" s="2">
        <v>1</v>
      </c>
    </row>
    <row r="1564" spans="1:7" x14ac:dyDescent="0.2">
      <c r="A1564" s="2" t="s">
        <v>28</v>
      </c>
      <c r="B1564" s="14">
        <v>38473</v>
      </c>
      <c r="C1564" s="2">
        <v>1.4254336867000001E-2</v>
      </c>
      <c r="D1564" s="2">
        <v>4.2166937999999999E-3</v>
      </c>
      <c r="E1564" s="2">
        <v>1</v>
      </c>
      <c r="F1564" s="2">
        <v>1.4648890747161801E-2</v>
      </c>
      <c r="G1564" s="2">
        <v>1</v>
      </c>
    </row>
    <row r="1565" spans="1:7" x14ac:dyDescent="0.2">
      <c r="A1565" s="2" t="s">
        <v>28</v>
      </c>
      <c r="B1565" s="14">
        <v>38504</v>
      </c>
      <c r="C1565" s="2">
        <v>4.2471042472000002E-2</v>
      </c>
      <c r="D1565" s="2">
        <v>0</v>
      </c>
      <c r="E1565" s="2">
        <v>1</v>
      </c>
      <c r="F1565" s="2">
        <v>1.63067984111708E-2</v>
      </c>
      <c r="G1565" s="2">
        <v>1</v>
      </c>
    </row>
    <row r="1566" spans="1:7" x14ac:dyDescent="0.2">
      <c r="A1566" s="2" t="s">
        <v>28</v>
      </c>
      <c r="B1566" s="14">
        <v>38534</v>
      </c>
      <c r="C1566" s="2">
        <v>5.5555555554999997E-2</v>
      </c>
      <c r="D1566" s="2">
        <v>0</v>
      </c>
      <c r="E1566" s="2">
        <v>1</v>
      </c>
      <c r="F1566" s="2">
        <v>1.8025757181964499E-2</v>
      </c>
      <c r="G1566" s="2">
        <v>1</v>
      </c>
    </row>
    <row r="1567" spans="1:7" x14ac:dyDescent="0.2">
      <c r="A1567" s="2" t="s">
        <v>28</v>
      </c>
      <c r="B1567" s="14">
        <v>38565</v>
      </c>
      <c r="C1567" s="2">
        <v>-3.4385964912000001E-2</v>
      </c>
      <c r="D1567" s="2">
        <v>2.1459271999999998E-3</v>
      </c>
      <c r="E1567" s="2">
        <v>1</v>
      </c>
      <c r="F1567" s="2">
        <v>1.3499997394059301E-2</v>
      </c>
      <c r="G1567" s="2">
        <v>1</v>
      </c>
    </row>
    <row r="1568" spans="1:7" x14ac:dyDescent="0.2">
      <c r="A1568" s="2" t="s">
        <v>28</v>
      </c>
      <c r="B1568" s="14">
        <v>38596</v>
      </c>
      <c r="C1568" s="2">
        <v>1.0174418605000001E-2</v>
      </c>
      <c r="D1568" s="2">
        <v>1.6420836999999999E-3</v>
      </c>
      <c r="E1568" s="2">
        <v>1</v>
      </c>
      <c r="F1568" s="2">
        <v>1.07673292674776E-2</v>
      </c>
      <c r="G1568" s="2">
        <v>1</v>
      </c>
    </row>
    <row r="1569" spans="1:7" x14ac:dyDescent="0.2">
      <c r="A1569" s="2" t="s">
        <v>28</v>
      </c>
      <c r="B1569" s="14">
        <v>38626</v>
      </c>
      <c r="C1569" s="2">
        <v>-6.4748201438999994E-2</v>
      </c>
      <c r="D1569" s="2">
        <v>1.1421121E-4</v>
      </c>
      <c r="E1569" s="2">
        <v>1</v>
      </c>
      <c r="F1569" s="2">
        <v>1.17750680996645E-2</v>
      </c>
      <c r="G1569" s="2">
        <v>1</v>
      </c>
    </row>
    <row r="1570" spans="1:7" x14ac:dyDescent="0.2">
      <c r="A1570" s="2" t="s">
        <v>28</v>
      </c>
      <c r="B1570" s="14">
        <v>38657</v>
      </c>
      <c r="C1570" s="2">
        <v>3.1179985064E-2</v>
      </c>
      <c r="D1570" s="19">
        <v>6.9487287000000004E-6</v>
      </c>
      <c r="E1570" s="2">
        <v>1</v>
      </c>
      <c r="F1570" s="2">
        <v>1.29729710349405E-2</v>
      </c>
      <c r="G1570" s="2">
        <v>1</v>
      </c>
    </row>
    <row r="1571" spans="1:7" x14ac:dyDescent="0.2">
      <c r="A1571" s="2" t="s">
        <v>28</v>
      </c>
      <c r="B1571" s="14">
        <v>38687</v>
      </c>
      <c r="C1571" s="2">
        <v>-7.3764258555000004E-2</v>
      </c>
      <c r="D1571" s="19">
        <v>7.9365381999999998E-6</v>
      </c>
      <c r="E1571" s="2">
        <v>1</v>
      </c>
      <c r="F1571" s="2">
        <v>1.3443081366000399E-2</v>
      </c>
      <c r="G1571" s="2">
        <v>1</v>
      </c>
    </row>
    <row r="1572" spans="1:7" x14ac:dyDescent="0.2">
      <c r="A1572" s="2" t="s">
        <v>28</v>
      </c>
      <c r="B1572" s="14">
        <v>38718</v>
      </c>
      <c r="C1572" s="2">
        <v>1.3957307061000001E-2</v>
      </c>
      <c r="D1572" s="2">
        <v>-6.4003997000000004E-4</v>
      </c>
      <c r="E1572" s="2">
        <v>1</v>
      </c>
      <c r="F1572" s="2">
        <v>1.03284014873362E-2</v>
      </c>
      <c r="G1572" s="2">
        <v>1</v>
      </c>
    </row>
    <row r="1573" spans="1:7" x14ac:dyDescent="0.2">
      <c r="A1573" s="2" t="s">
        <v>28</v>
      </c>
      <c r="B1573" s="14">
        <v>38749</v>
      </c>
      <c r="C1573" s="2">
        <v>8.0971659917999997E-3</v>
      </c>
      <c r="D1573" s="2">
        <v>-1.5266425000000001E-3</v>
      </c>
      <c r="E1573" s="2">
        <v>1</v>
      </c>
      <c r="F1573" s="2">
        <v>9.1020498490043192E-3</v>
      </c>
      <c r="G1573" s="2">
        <v>1</v>
      </c>
    </row>
    <row r="1574" spans="1:7" x14ac:dyDescent="0.2">
      <c r="A1574" s="2" t="s">
        <v>28</v>
      </c>
      <c r="B1574" s="14">
        <v>38777</v>
      </c>
      <c r="C1574" s="2">
        <v>0.12449799196</v>
      </c>
      <c r="D1574" s="2">
        <v>1.5824632000000001E-4</v>
      </c>
      <c r="E1574" s="2">
        <v>1</v>
      </c>
      <c r="F1574" s="2">
        <v>1.02537129302536E-2</v>
      </c>
      <c r="G1574" s="2">
        <v>1</v>
      </c>
    </row>
    <row r="1575" spans="1:7" x14ac:dyDescent="0.2">
      <c r="A1575" s="2" t="s">
        <v>28</v>
      </c>
      <c r="B1575" s="14">
        <v>38808</v>
      </c>
      <c r="C1575" s="2">
        <v>4.257142857E-2</v>
      </c>
      <c r="D1575" s="2">
        <v>2.9527934000000001E-3</v>
      </c>
      <c r="E1575" s="2">
        <v>1</v>
      </c>
      <c r="F1575" s="2">
        <v>1.3531057425223701E-2</v>
      </c>
      <c r="G1575" s="2">
        <v>1</v>
      </c>
    </row>
    <row r="1576" spans="1:7" x14ac:dyDescent="0.2">
      <c r="A1576" s="2" t="s">
        <v>28</v>
      </c>
      <c r="B1576" s="14">
        <v>38838</v>
      </c>
      <c r="C1576" s="2">
        <v>-1.7142750181000001E-2</v>
      </c>
      <c r="D1576" s="2">
        <v>3.7004250999999997E-4</v>
      </c>
      <c r="E1576" s="2">
        <v>1</v>
      </c>
      <c r="F1576" s="2">
        <v>1.6354950597193999E-2</v>
      </c>
      <c r="G1576" s="2">
        <v>1</v>
      </c>
    </row>
    <row r="1577" spans="1:7" x14ac:dyDescent="0.2">
      <c r="A1577" s="2" t="s">
        <v>28</v>
      </c>
      <c r="B1577" s="14">
        <v>38869</v>
      </c>
      <c r="C1577" s="2">
        <v>7.0921985807000003E-3</v>
      </c>
      <c r="D1577" s="2">
        <v>2.2936027999999999E-3</v>
      </c>
      <c r="E1577" s="2">
        <v>1</v>
      </c>
      <c r="F1577" s="2">
        <v>1.5051564724285401E-2</v>
      </c>
      <c r="G1577" s="2">
        <v>1</v>
      </c>
    </row>
    <row r="1578" spans="1:7" x14ac:dyDescent="0.2">
      <c r="A1578" s="2" t="s">
        <v>28</v>
      </c>
      <c r="B1578" s="14">
        <v>38899</v>
      </c>
      <c r="C1578" s="2">
        <v>1.0704225353E-2</v>
      </c>
      <c r="D1578" s="2">
        <v>2.9854098999999999E-3</v>
      </c>
      <c r="E1578" s="2">
        <v>1</v>
      </c>
      <c r="F1578" s="2">
        <v>1.7355181443734099E-2</v>
      </c>
      <c r="G1578" s="2">
        <v>1</v>
      </c>
    </row>
    <row r="1579" spans="1:7" x14ac:dyDescent="0.2">
      <c r="A1579" s="2" t="s">
        <v>28</v>
      </c>
      <c r="B1579" s="14">
        <v>38930</v>
      </c>
      <c r="C1579" s="2">
        <v>1.7279821628E-2</v>
      </c>
      <c r="D1579" s="2">
        <v>2.7977677999999999E-3</v>
      </c>
      <c r="E1579" s="2">
        <v>1</v>
      </c>
      <c r="F1579" s="2">
        <v>2.2495267142533699E-2</v>
      </c>
      <c r="G1579" s="2">
        <v>1</v>
      </c>
    </row>
    <row r="1580" spans="1:7" x14ac:dyDescent="0.2">
      <c r="A1580" s="2" t="s">
        <v>28</v>
      </c>
      <c r="B1580" s="14">
        <v>38961</v>
      </c>
      <c r="C1580" s="2">
        <v>2.4846983388E-2</v>
      </c>
      <c r="D1580" s="2">
        <v>2.6178084999999999E-3</v>
      </c>
      <c r="E1580" s="2">
        <v>1</v>
      </c>
      <c r="F1580" s="2">
        <v>2.2694836922151001E-2</v>
      </c>
      <c r="G1580" s="2">
        <v>1</v>
      </c>
    </row>
    <row r="1581" spans="1:7" x14ac:dyDescent="0.2">
      <c r="A1581" s="2" t="s">
        <v>28</v>
      </c>
      <c r="B1581" s="14">
        <v>38991</v>
      </c>
      <c r="C1581" s="2">
        <v>-2.0689655173000001E-2</v>
      </c>
      <c r="D1581" s="2">
        <v>5.7111284999999999E-4</v>
      </c>
      <c r="E1581" s="2">
        <v>1</v>
      </c>
      <c r="F1581" s="2">
        <v>1.9835303244191801E-2</v>
      </c>
      <c r="G1581" s="2">
        <v>1</v>
      </c>
    </row>
    <row r="1582" spans="1:7" x14ac:dyDescent="0.2">
      <c r="A1582" s="2" t="s">
        <v>28</v>
      </c>
      <c r="B1582" s="14">
        <v>39022</v>
      </c>
      <c r="C1582" s="2">
        <v>3.0531478391000001E-2</v>
      </c>
      <c r="D1582" s="2">
        <v>4.8428398E-4</v>
      </c>
      <c r="E1582" s="2">
        <v>1</v>
      </c>
      <c r="F1582" s="2">
        <v>1.7970040914404701E-2</v>
      </c>
      <c r="G1582" s="2">
        <v>1</v>
      </c>
    </row>
    <row r="1583" spans="1:7" x14ac:dyDescent="0.2">
      <c r="A1583" s="2" t="s">
        <v>28</v>
      </c>
      <c r="B1583" s="14">
        <v>39052</v>
      </c>
      <c r="C1583" s="2">
        <v>7.5747046558000001E-3</v>
      </c>
      <c r="D1583" s="2">
        <v>2.9694270000000002E-3</v>
      </c>
      <c r="E1583" s="2">
        <v>1</v>
      </c>
      <c r="F1583" s="2">
        <v>1.9316744215768199E-2</v>
      </c>
      <c r="G1583" s="2">
        <v>1</v>
      </c>
    </row>
    <row r="1584" spans="1:7" x14ac:dyDescent="0.2">
      <c r="A1584" s="2" t="s">
        <v>28</v>
      </c>
      <c r="B1584" s="14">
        <v>39083</v>
      </c>
      <c r="C1584" s="2">
        <v>6.9659976543000003E-3</v>
      </c>
      <c r="D1584" s="2">
        <v>0</v>
      </c>
      <c r="E1584" s="2">
        <v>1</v>
      </c>
      <c r="F1584" s="2">
        <v>1.9145519317814701E-2</v>
      </c>
      <c r="G1584" s="2">
        <v>1</v>
      </c>
    </row>
    <row r="1585" spans="1:7" x14ac:dyDescent="0.2">
      <c r="A1585" s="2" t="s">
        <v>28</v>
      </c>
      <c r="B1585" s="14">
        <v>39114</v>
      </c>
      <c r="C1585" s="2">
        <v>6.8493150683999998E-2</v>
      </c>
      <c r="D1585" s="2">
        <v>-4.3353481999999999E-4</v>
      </c>
      <c r="E1585" s="2">
        <v>1</v>
      </c>
      <c r="F1585" s="2">
        <v>1.9024931616671702E-2</v>
      </c>
      <c r="G1585" s="2">
        <v>1</v>
      </c>
    </row>
    <row r="1586" spans="1:7" x14ac:dyDescent="0.2">
      <c r="A1586" s="2" t="s">
        <v>28</v>
      </c>
      <c r="B1586" s="14">
        <v>39142</v>
      </c>
      <c r="C1586" s="2">
        <v>0</v>
      </c>
      <c r="D1586" s="2">
        <v>4.5416526999999998E-4</v>
      </c>
      <c r="E1586" s="2">
        <v>1</v>
      </c>
      <c r="F1586" s="2">
        <v>2.03955167503992E-2</v>
      </c>
      <c r="G1586" s="2">
        <v>1</v>
      </c>
    </row>
    <row r="1587" spans="1:7" x14ac:dyDescent="0.2">
      <c r="A1587" s="2" t="s">
        <v>28</v>
      </c>
      <c r="B1587" s="14">
        <v>39173</v>
      </c>
      <c r="C1587" s="2">
        <v>1.6025641024999999E-2</v>
      </c>
      <c r="D1587" s="2">
        <v>1.5487337999999999E-3</v>
      </c>
      <c r="E1587" s="2">
        <v>1</v>
      </c>
      <c r="F1587" s="2">
        <v>1.9398909978205099E-2</v>
      </c>
      <c r="G1587" s="2">
        <v>1</v>
      </c>
    </row>
    <row r="1588" spans="1:7" x14ac:dyDescent="0.2">
      <c r="A1588" s="2" t="s">
        <v>28</v>
      </c>
      <c r="B1588" s="14">
        <v>39203</v>
      </c>
      <c r="C1588" s="2">
        <v>-2.1097702892000001E-2</v>
      </c>
      <c r="D1588" s="2">
        <v>2.9509007999999997E-4</v>
      </c>
      <c r="E1588" s="2">
        <v>1</v>
      </c>
      <c r="F1588" s="2">
        <v>2.0394034043129498E-2</v>
      </c>
      <c r="G1588" s="2">
        <v>1</v>
      </c>
    </row>
    <row r="1589" spans="1:7" x14ac:dyDescent="0.2">
      <c r="A1589" s="2" t="s">
        <v>28</v>
      </c>
      <c r="B1589" s="14">
        <v>39234</v>
      </c>
      <c r="C1589" s="2">
        <v>8.4248366015000006E-2</v>
      </c>
      <c r="D1589" s="19">
        <v>1.9112786999999999E-5</v>
      </c>
      <c r="E1589" s="2">
        <v>1</v>
      </c>
      <c r="F1589" s="2">
        <v>1.8991891932302302E-2</v>
      </c>
      <c r="G1589" s="2">
        <v>1</v>
      </c>
    </row>
    <row r="1590" spans="1:7" x14ac:dyDescent="0.2">
      <c r="A1590" s="2" t="s">
        <v>28</v>
      </c>
      <c r="B1590" s="14">
        <v>39264</v>
      </c>
      <c r="C1590" s="2">
        <v>-4.7561637231000001E-2</v>
      </c>
      <c r="D1590" s="2">
        <v>0</v>
      </c>
      <c r="E1590" s="2">
        <v>1</v>
      </c>
      <c r="F1590" s="2">
        <v>2.1167406437071601E-2</v>
      </c>
      <c r="G1590" s="2">
        <v>1</v>
      </c>
    </row>
    <row r="1591" spans="1:7" x14ac:dyDescent="0.2">
      <c r="A1591" s="2" t="s">
        <v>28</v>
      </c>
      <c r="B1591" s="14">
        <v>39295</v>
      </c>
      <c r="C1591" s="2">
        <v>-5.0632911391999998E-2</v>
      </c>
      <c r="D1591" s="2">
        <v>-2.5166356999999999E-3</v>
      </c>
      <c r="E1591" s="2">
        <v>1</v>
      </c>
      <c r="F1591" s="2">
        <v>1.77355464226065E-2</v>
      </c>
      <c r="G1591" s="2">
        <v>1</v>
      </c>
    </row>
    <row r="1592" spans="1:7" x14ac:dyDescent="0.2">
      <c r="A1592" s="2" t="s">
        <v>28</v>
      </c>
      <c r="B1592" s="14">
        <v>39326</v>
      </c>
      <c r="C1592" s="2">
        <v>-1.0000000001000001E-2</v>
      </c>
      <c r="D1592" s="2">
        <v>-1.2987507000000001E-2</v>
      </c>
      <c r="E1592" s="2">
        <v>1</v>
      </c>
      <c r="F1592" s="2">
        <v>1.4494571262313001E-2</v>
      </c>
      <c r="G1592" s="2">
        <v>1</v>
      </c>
    </row>
    <row r="1593" spans="1:7" x14ac:dyDescent="0.2">
      <c r="A1593" s="2" t="s">
        <v>28</v>
      </c>
      <c r="B1593" s="14">
        <v>39356</v>
      </c>
      <c r="C1593" s="2">
        <v>-3.7037037036000003E-2</v>
      </c>
      <c r="D1593" s="2">
        <v>-1.5952574000000001E-2</v>
      </c>
      <c r="E1593" s="2">
        <v>1</v>
      </c>
      <c r="F1593" s="2">
        <v>1.42275893046847E-2</v>
      </c>
      <c r="G1593" s="2">
        <v>1</v>
      </c>
    </row>
    <row r="1594" spans="1:7" x14ac:dyDescent="0.2">
      <c r="A1594" s="2" t="s">
        <v>28</v>
      </c>
      <c r="B1594" s="14">
        <v>39387</v>
      </c>
      <c r="C1594" s="2">
        <v>-0.11140321447</v>
      </c>
      <c r="D1594" s="2">
        <v>-1.8151753E-2</v>
      </c>
      <c r="E1594" s="2">
        <v>1</v>
      </c>
      <c r="F1594" s="2">
        <v>1.28028268620771E-2</v>
      </c>
      <c r="G1594" s="2">
        <v>1</v>
      </c>
    </row>
    <row r="1595" spans="1:7" x14ac:dyDescent="0.2">
      <c r="A1595" s="2" t="s">
        <v>28</v>
      </c>
      <c r="B1595" s="14">
        <v>39417</v>
      </c>
      <c r="C1595" s="2">
        <v>-0.12070343724</v>
      </c>
      <c r="D1595" s="2">
        <v>0</v>
      </c>
      <c r="E1595" s="2">
        <v>1</v>
      </c>
      <c r="F1595" s="2">
        <v>1.0694029088859001E-2</v>
      </c>
      <c r="G1595" s="2">
        <v>1</v>
      </c>
    </row>
    <row r="1596" spans="1:7" x14ac:dyDescent="0.2">
      <c r="A1596" s="2" t="s">
        <v>28</v>
      </c>
      <c r="B1596" s="14">
        <v>39448</v>
      </c>
      <c r="C1596" s="2">
        <v>-0.12718181817999999</v>
      </c>
      <c r="D1596" s="2">
        <v>1.6545998E-4</v>
      </c>
      <c r="E1596" s="2">
        <v>1</v>
      </c>
      <c r="F1596" s="2">
        <v>5.23126286017389E-3</v>
      </c>
      <c r="G1596" s="2">
        <v>1</v>
      </c>
    </row>
    <row r="1597" spans="1:7" x14ac:dyDescent="0.2">
      <c r="A1597" s="2" t="s">
        <v>28</v>
      </c>
      <c r="B1597" s="14">
        <v>39479</v>
      </c>
      <c r="C1597" s="2">
        <v>0.12488282470000001</v>
      </c>
      <c r="D1597" s="19">
        <v>-1.288694E-5</v>
      </c>
      <c r="E1597" s="2">
        <v>1</v>
      </c>
      <c r="F1597" s="2">
        <v>3.36699544449535E-3</v>
      </c>
      <c r="G1597" s="2">
        <v>1</v>
      </c>
    </row>
    <row r="1598" spans="1:7" x14ac:dyDescent="0.2">
      <c r="A1598" s="2" t="s">
        <v>28</v>
      </c>
      <c r="B1598" s="14">
        <v>39508</v>
      </c>
      <c r="C1598" s="2">
        <v>-6.4814814816000002E-2</v>
      </c>
      <c r="D1598" s="19">
        <v>3.0883239000000003E-5</v>
      </c>
      <c r="E1598" s="2">
        <v>1</v>
      </c>
      <c r="F1598" s="2">
        <v>8.3340262033145193E-3</v>
      </c>
      <c r="G1598" s="2">
        <v>1</v>
      </c>
    </row>
    <row r="1599" spans="1:7" x14ac:dyDescent="0.2">
      <c r="A1599" s="2" t="s">
        <v>28</v>
      </c>
      <c r="B1599" s="14">
        <v>39539</v>
      </c>
      <c r="C1599" s="2">
        <v>0.30009900989999999</v>
      </c>
      <c r="D1599" s="2">
        <v>-5.0394643000000003E-2</v>
      </c>
      <c r="E1599" s="2">
        <v>1</v>
      </c>
      <c r="F1599" s="2">
        <v>6.9095102677641899E-3</v>
      </c>
      <c r="G1599" s="2">
        <v>1</v>
      </c>
    </row>
    <row r="1600" spans="1:7" x14ac:dyDescent="0.2">
      <c r="A1600" s="2" t="s">
        <v>28</v>
      </c>
      <c r="B1600" s="14">
        <v>39569</v>
      </c>
      <c r="C1600" s="2">
        <v>1.4734590673E-2</v>
      </c>
      <c r="D1600" s="2">
        <v>3.6611774999999999E-4</v>
      </c>
      <c r="E1600" s="2">
        <v>1</v>
      </c>
      <c r="F1600" s="2">
        <v>1.6905875878963299E-2</v>
      </c>
      <c r="G1600" s="2">
        <v>1</v>
      </c>
    </row>
    <row r="1601" spans="1:7" x14ac:dyDescent="0.2">
      <c r="A1601" s="2" t="s">
        <v>28</v>
      </c>
      <c r="B1601" s="14">
        <v>39600</v>
      </c>
      <c r="C1601" s="2">
        <v>-0.14448669201</v>
      </c>
      <c r="D1601" s="19">
        <v>1.8923552999999999E-6</v>
      </c>
      <c r="E1601" s="2">
        <v>1</v>
      </c>
      <c r="F1601" s="2">
        <v>2.0547843811385899E-2</v>
      </c>
      <c r="G1601" s="2">
        <v>1</v>
      </c>
    </row>
    <row r="1602" spans="1:7" x14ac:dyDescent="0.2">
      <c r="A1602" s="2" t="s">
        <v>28</v>
      </c>
      <c r="B1602" s="14">
        <v>39630</v>
      </c>
      <c r="C1602" s="2">
        <v>-4.4444444445000002E-2</v>
      </c>
      <c r="D1602" s="2">
        <v>0</v>
      </c>
      <c r="E1602" s="2">
        <v>1</v>
      </c>
      <c r="F1602" s="2">
        <v>2.0268396761284901E-2</v>
      </c>
      <c r="G1602" s="2">
        <v>1</v>
      </c>
    </row>
    <row r="1603" spans="1:7" x14ac:dyDescent="0.2">
      <c r="A1603" s="2" t="s">
        <v>28</v>
      </c>
      <c r="B1603" s="14">
        <v>39661</v>
      </c>
      <c r="C1603" s="2">
        <v>2.3255813954000001E-2</v>
      </c>
      <c r="D1603" s="2">
        <v>2.6848359E-4</v>
      </c>
      <c r="E1603" s="2">
        <v>1</v>
      </c>
      <c r="F1603" s="2">
        <v>3.0165202784024601E-2</v>
      </c>
      <c r="G1603" s="2">
        <v>1</v>
      </c>
    </row>
    <row r="1604" spans="1:7" x14ac:dyDescent="0.2">
      <c r="A1604" s="2" t="s">
        <v>28</v>
      </c>
      <c r="B1604" s="14">
        <v>39692</v>
      </c>
      <c r="C1604" s="2">
        <v>-9.0909090908999998E-2</v>
      </c>
      <c r="D1604" s="19">
        <v>7.8680349999999996E-5</v>
      </c>
      <c r="E1604" s="2">
        <v>1</v>
      </c>
      <c r="F1604" s="2">
        <v>2.7182629633282399E-2</v>
      </c>
      <c r="G1604" s="2">
        <v>1</v>
      </c>
    </row>
    <row r="1605" spans="1:7" x14ac:dyDescent="0.2">
      <c r="A1605" s="2" t="s">
        <v>28</v>
      </c>
      <c r="B1605" s="14">
        <v>39722</v>
      </c>
      <c r="C1605" s="2">
        <v>-9.9999999999E-2</v>
      </c>
      <c r="D1605" s="2">
        <v>3.8624862999999998E-4</v>
      </c>
      <c r="E1605" s="2">
        <v>1</v>
      </c>
      <c r="F1605" s="2">
        <v>2.6678863041143901E-2</v>
      </c>
      <c r="G1605" s="2">
        <v>1</v>
      </c>
    </row>
    <row r="1606" spans="1:7" x14ac:dyDescent="0.2">
      <c r="A1606" s="2" t="s">
        <v>28</v>
      </c>
      <c r="B1606" s="14">
        <v>39753</v>
      </c>
      <c r="C1606" s="2">
        <v>0.10396721311</v>
      </c>
      <c r="D1606" s="19">
        <v>8.7801497999999997E-5</v>
      </c>
      <c r="E1606" s="2">
        <v>1</v>
      </c>
      <c r="F1606" s="2">
        <v>1.53949736175983E-2</v>
      </c>
      <c r="G1606" s="2">
        <v>1</v>
      </c>
    </row>
    <row r="1607" spans="1:7" x14ac:dyDescent="0.2">
      <c r="A1607" s="2" t="s">
        <v>28</v>
      </c>
      <c r="B1607" s="14">
        <v>39783</v>
      </c>
      <c r="C1607" s="2">
        <v>-0.12201894805000001</v>
      </c>
      <c r="D1607" s="2">
        <v>2.6379924000000002E-3</v>
      </c>
      <c r="E1607" s="2">
        <v>1</v>
      </c>
      <c r="F1607" s="2">
        <v>1.78244052794936E-2</v>
      </c>
      <c r="G1607" s="2">
        <v>1</v>
      </c>
    </row>
    <row r="1608" spans="1:7" x14ac:dyDescent="0.2">
      <c r="A1608" s="2" t="s">
        <v>29</v>
      </c>
      <c r="B1608" s="14">
        <v>37591</v>
      </c>
      <c r="E1608" s="2">
        <v>1</v>
      </c>
      <c r="G1608" s="2">
        <v>1</v>
      </c>
    </row>
    <row r="1609" spans="1:7" x14ac:dyDescent="0.2">
      <c r="A1609" s="2" t="s">
        <v>29</v>
      </c>
      <c r="B1609" s="14">
        <v>37622</v>
      </c>
      <c r="E1609" s="2">
        <v>1</v>
      </c>
      <c r="G1609" s="2">
        <v>1</v>
      </c>
    </row>
    <row r="1610" spans="1:7" x14ac:dyDescent="0.2">
      <c r="A1610" s="2" t="s">
        <v>29</v>
      </c>
      <c r="B1610" s="14">
        <v>37653</v>
      </c>
      <c r="E1610" s="2">
        <v>1</v>
      </c>
      <c r="G1610" s="2">
        <v>1</v>
      </c>
    </row>
    <row r="1611" spans="1:7" x14ac:dyDescent="0.2">
      <c r="A1611" s="2" t="s">
        <v>29</v>
      </c>
      <c r="B1611" s="14">
        <v>37681</v>
      </c>
      <c r="E1611" s="2">
        <v>1</v>
      </c>
      <c r="G1611" s="2">
        <v>1</v>
      </c>
    </row>
    <row r="1612" spans="1:7" x14ac:dyDescent="0.2">
      <c r="A1612" s="2" t="s">
        <v>29</v>
      </c>
      <c r="B1612" s="14">
        <v>37712</v>
      </c>
      <c r="E1612" s="2">
        <v>1</v>
      </c>
      <c r="G1612" s="2">
        <v>1</v>
      </c>
    </row>
    <row r="1613" spans="1:7" x14ac:dyDescent="0.2">
      <c r="A1613" s="2" t="s">
        <v>29</v>
      </c>
      <c r="B1613" s="14">
        <v>37742</v>
      </c>
      <c r="E1613" s="2">
        <v>1</v>
      </c>
      <c r="G1613" s="2">
        <v>1</v>
      </c>
    </row>
    <row r="1614" spans="1:7" x14ac:dyDescent="0.2">
      <c r="A1614" s="2" t="s">
        <v>29</v>
      </c>
      <c r="B1614" s="14">
        <v>37773</v>
      </c>
      <c r="E1614" s="2">
        <v>1</v>
      </c>
      <c r="G1614" s="2">
        <v>1</v>
      </c>
    </row>
    <row r="1615" spans="1:7" x14ac:dyDescent="0.2">
      <c r="A1615" s="2" t="s">
        <v>29</v>
      </c>
      <c r="B1615" s="14">
        <v>37803</v>
      </c>
      <c r="E1615" s="2">
        <v>1</v>
      </c>
      <c r="G1615" s="2">
        <v>1</v>
      </c>
    </row>
    <row r="1616" spans="1:7" x14ac:dyDescent="0.2">
      <c r="A1616" s="2" t="s">
        <v>29</v>
      </c>
      <c r="B1616" s="14">
        <v>37834</v>
      </c>
      <c r="E1616" s="2">
        <v>1</v>
      </c>
      <c r="G1616" s="2">
        <v>1</v>
      </c>
    </row>
    <row r="1617" spans="1:7" x14ac:dyDescent="0.2">
      <c r="A1617" s="2" t="s">
        <v>29</v>
      </c>
      <c r="B1617" s="14">
        <v>37865</v>
      </c>
      <c r="E1617" s="2">
        <v>1</v>
      </c>
      <c r="G1617" s="2">
        <v>1</v>
      </c>
    </row>
    <row r="1618" spans="1:7" x14ac:dyDescent="0.2">
      <c r="A1618" s="2" t="s">
        <v>29</v>
      </c>
      <c r="B1618" s="14">
        <v>37895</v>
      </c>
      <c r="E1618" s="2">
        <v>1</v>
      </c>
      <c r="G1618" s="2">
        <v>1</v>
      </c>
    </row>
    <row r="1619" spans="1:7" x14ac:dyDescent="0.2">
      <c r="A1619" s="2" t="s">
        <v>29</v>
      </c>
      <c r="B1619" s="14">
        <v>37926</v>
      </c>
      <c r="E1619" s="2">
        <v>1</v>
      </c>
      <c r="G1619" s="2">
        <v>1</v>
      </c>
    </row>
    <row r="1620" spans="1:7" x14ac:dyDescent="0.2">
      <c r="A1620" s="2" t="s">
        <v>29</v>
      </c>
      <c r="B1620" s="14">
        <v>37956</v>
      </c>
      <c r="E1620" s="2">
        <v>1</v>
      </c>
      <c r="G1620" s="2">
        <v>1</v>
      </c>
    </row>
    <row r="1621" spans="1:7" x14ac:dyDescent="0.2">
      <c r="A1621" s="2" t="s">
        <v>29</v>
      </c>
      <c r="B1621" s="14">
        <v>37987</v>
      </c>
      <c r="E1621" s="2">
        <v>1</v>
      </c>
      <c r="G1621" s="2">
        <v>1</v>
      </c>
    </row>
    <row r="1622" spans="1:7" x14ac:dyDescent="0.2">
      <c r="A1622" s="2" t="s">
        <v>29</v>
      </c>
      <c r="B1622" s="14">
        <v>38018</v>
      </c>
      <c r="E1622" s="2">
        <v>1</v>
      </c>
      <c r="G1622" s="2">
        <v>1</v>
      </c>
    </row>
    <row r="1623" spans="1:7" x14ac:dyDescent="0.2">
      <c r="A1623" s="2" t="s">
        <v>29</v>
      </c>
      <c r="B1623" s="14">
        <v>38047</v>
      </c>
      <c r="E1623" s="2">
        <v>1</v>
      </c>
      <c r="G1623" s="2">
        <v>1</v>
      </c>
    </row>
    <row r="1624" spans="1:7" x14ac:dyDescent="0.2">
      <c r="A1624" s="2" t="s">
        <v>29</v>
      </c>
      <c r="B1624" s="14">
        <v>38078</v>
      </c>
      <c r="E1624" s="2">
        <v>1</v>
      </c>
      <c r="G1624" s="2">
        <v>1</v>
      </c>
    </row>
    <row r="1625" spans="1:7" x14ac:dyDescent="0.2">
      <c r="A1625" s="2" t="s">
        <v>29</v>
      </c>
      <c r="B1625" s="14">
        <v>38108</v>
      </c>
      <c r="E1625" s="2">
        <v>1</v>
      </c>
      <c r="G1625" s="2">
        <v>1</v>
      </c>
    </row>
    <row r="1626" spans="1:7" x14ac:dyDescent="0.2">
      <c r="A1626" s="2" t="s">
        <v>29</v>
      </c>
      <c r="B1626" s="14">
        <v>38139</v>
      </c>
      <c r="C1626" s="2">
        <v>2.2921254610999999E-2</v>
      </c>
      <c r="D1626" s="2">
        <v>5.9093349000000003E-3</v>
      </c>
      <c r="E1626" s="2">
        <v>1</v>
      </c>
      <c r="G1626" s="2">
        <v>1</v>
      </c>
    </row>
    <row r="1627" spans="1:7" x14ac:dyDescent="0.2">
      <c r="A1627" s="2" t="s">
        <v>29</v>
      </c>
      <c r="B1627" s="14">
        <v>38169</v>
      </c>
      <c r="C1627" s="2">
        <v>3.8216560508E-2</v>
      </c>
      <c r="D1627" s="2">
        <v>2.0646786000000001E-3</v>
      </c>
      <c r="E1627" s="2">
        <v>1</v>
      </c>
      <c r="G1627" s="2">
        <v>1</v>
      </c>
    </row>
    <row r="1628" spans="1:7" x14ac:dyDescent="0.2">
      <c r="A1628" s="2" t="s">
        <v>29</v>
      </c>
      <c r="B1628" s="14">
        <v>38200</v>
      </c>
      <c r="C1628" s="2">
        <v>0.10363190184</v>
      </c>
      <c r="D1628" s="2">
        <v>3.3218064000000002E-3</v>
      </c>
      <c r="E1628" s="2">
        <v>1</v>
      </c>
      <c r="G1628" s="2">
        <v>1</v>
      </c>
    </row>
    <row r="1629" spans="1:7" x14ac:dyDescent="0.2">
      <c r="A1629" s="2" t="s">
        <v>29</v>
      </c>
      <c r="B1629" s="14">
        <v>38231</v>
      </c>
      <c r="C1629" s="2">
        <v>-1.6120783582E-2</v>
      </c>
      <c r="D1629" s="2">
        <v>9.1686135000000005E-4</v>
      </c>
      <c r="E1629" s="2">
        <v>1</v>
      </c>
      <c r="G1629" s="2">
        <v>1</v>
      </c>
    </row>
    <row r="1630" spans="1:7" x14ac:dyDescent="0.2">
      <c r="A1630" s="2" t="s">
        <v>29</v>
      </c>
      <c r="B1630" s="14">
        <v>38261</v>
      </c>
      <c r="C1630" s="2">
        <v>3.1715114285999997E-2</v>
      </c>
      <c r="D1630" s="2">
        <v>1.7487312E-3</v>
      </c>
      <c r="E1630" s="2">
        <v>1</v>
      </c>
      <c r="G1630" s="2">
        <v>1</v>
      </c>
    </row>
    <row r="1631" spans="1:7" x14ac:dyDescent="0.2">
      <c r="A1631" s="2" t="s">
        <v>29</v>
      </c>
      <c r="B1631" s="14">
        <v>38292</v>
      </c>
      <c r="C1631" s="2">
        <v>4.3956043955000003E-2</v>
      </c>
      <c r="D1631" s="2">
        <v>2.0238538000000002E-3</v>
      </c>
      <c r="E1631" s="2">
        <v>1</v>
      </c>
      <c r="G1631" s="2">
        <v>1</v>
      </c>
    </row>
    <row r="1632" spans="1:7" x14ac:dyDescent="0.2">
      <c r="A1632" s="2" t="s">
        <v>29</v>
      </c>
      <c r="B1632" s="14">
        <v>38322</v>
      </c>
      <c r="C1632" s="2">
        <v>3.1600000000000003E-2</v>
      </c>
      <c r="D1632" s="2">
        <v>1.5586420000000001E-3</v>
      </c>
      <c r="E1632" s="2">
        <v>1</v>
      </c>
      <c r="G1632" s="2">
        <v>1</v>
      </c>
    </row>
    <row r="1633" spans="1:7" x14ac:dyDescent="0.2">
      <c r="A1633" s="2" t="s">
        <v>29</v>
      </c>
      <c r="B1633" s="14">
        <v>38353</v>
      </c>
      <c r="C1633" s="2">
        <v>-4.5937838002999998E-2</v>
      </c>
      <c r="D1633" s="2">
        <v>-9.5448607999999995E-4</v>
      </c>
      <c r="E1633" s="2">
        <v>1</v>
      </c>
      <c r="G1633" s="2">
        <v>1</v>
      </c>
    </row>
    <row r="1634" spans="1:7" x14ac:dyDescent="0.2">
      <c r="A1634" s="2" t="s">
        <v>29</v>
      </c>
      <c r="B1634" s="14">
        <v>38384</v>
      </c>
      <c r="C1634" s="2">
        <v>-1.8716577540000001E-2</v>
      </c>
      <c r="D1634" s="2">
        <v>-7.1769876999999997E-4</v>
      </c>
      <c r="E1634" s="2">
        <v>1</v>
      </c>
      <c r="G1634" s="2">
        <v>1</v>
      </c>
    </row>
    <row r="1635" spans="1:7" x14ac:dyDescent="0.2">
      <c r="A1635" s="2" t="s">
        <v>29</v>
      </c>
      <c r="B1635" s="14">
        <v>38412</v>
      </c>
      <c r="C1635" s="2">
        <v>-1.3365484678E-2</v>
      </c>
      <c r="D1635" s="2">
        <v>6.3364147999999995E-2</v>
      </c>
      <c r="E1635" s="2">
        <v>1</v>
      </c>
      <c r="G1635" s="2">
        <v>1</v>
      </c>
    </row>
    <row r="1636" spans="1:7" x14ac:dyDescent="0.2">
      <c r="A1636" s="2" t="s">
        <v>29</v>
      </c>
      <c r="B1636" s="14">
        <v>38443</v>
      </c>
      <c r="C1636" s="2">
        <v>1.2341312566E-2</v>
      </c>
      <c r="D1636" s="2">
        <v>1.6487175999999999E-2</v>
      </c>
      <c r="E1636" s="2">
        <v>1</v>
      </c>
      <c r="G1636" s="2">
        <v>1</v>
      </c>
    </row>
    <row r="1637" spans="1:7" x14ac:dyDescent="0.2">
      <c r="A1637" s="2" t="s">
        <v>29</v>
      </c>
      <c r="B1637" s="14">
        <v>38473</v>
      </c>
      <c r="C1637" s="2">
        <v>-1.4778325122999999E-2</v>
      </c>
      <c r="D1637" s="2">
        <v>9.7029511000000003E-4</v>
      </c>
      <c r="E1637" s="2">
        <v>1</v>
      </c>
      <c r="G1637" s="2">
        <v>1</v>
      </c>
    </row>
    <row r="1638" spans="1:7" x14ac:dyDescent="0.2">
      <c r="A1638" s="2" t="s">
        <v>29</v>
      </c>
      <c r="B1638" s="14">
        <v>38504</v>
      </c>
      <c r="C1638" s="2">
        <v>7.8888888889000003E-2</v>
      </c>
      <c r="D1638" s="2">
        <v>1.2844013E-3</v>
      </c>
      <c r="E1638" s="2">
        <v>1</v>
      </c>
      <c r="G1638" s="2">
        <v>1</v>
      </c>
    </row>
    <row r="1639" spans="1:7" x14ac:dyDescent="0.2">
      <c r="A1639" s="2" t="s">
        <v>29</v>
      </c>
      <c r="B1639" s="14">
        <v>38534</v>
      </c>
      <c r="C1639" s="2">
        <v>0.10710607621</v>
      </c>
      <c r="D1639" s="2">
        <v>2.9096920000000002E-3</v>
      </c>
      <c r="E1639" s="2">
        <v>1</v>
      </c>
      <c r="G1639" s="2">
        <v>1</v>
      </c>
    </row>
    <row r="1640" spans="1:7" x14ac:dyDescent="0.2">
      <c r="A1640" s="2" t="s">
        <v>29</v>
      </c>
      <c r="B1640" s="14">
        <v>38565</v>
      </c>
      <c r="C1640" s="2">
        <v>1.1813953488E-2</v>
      </c>
      <c r="D1640" s="2">
        <v>1.4478976000000001E-3</v>
      </c>
      <c r="E1640" s="2">
        <v>1</v>
      </c>
      <c r="F1640" s="2">
        <v>1.1122246828026301E-2</v>
      </c>
      <c r="G1640" s="2">
        <v>1</v>
      </c>
    </row>
    <row r="1641" spans="1:7" x14ac:dyDescent="0.2">
      <c r="A1641" s="2" t="s">
        <v>29</v>
      </c>
      <c r="B1641" s="14">
        <v>38596</v>
      </c>
      <c r="C1641" s="2">
        <v>5.6357451503999997E-2</v>
      </c>
      <c r="D1641" s="2">
        <v>1.8513243E-3</v>
      </c>
      <c r="E1641" s="2">
        <v>1</v>
      </c>
      <c r="F1641" s="2">
        <v>1.1856923542310299E-2</v>
      </c>
      <c r="G1641" s="2">
        <v>1</v>
      </c>
    </row>
    <row r="1642" spans="1:7" x14ac:dyDescent="0.2">
      <c r="A1642" s="2" t="s">
        <v>29</v>
      </c>
      <c r="B1642" s="14">
        <v>38626</v>
      </c>
      <c r="C1642" s="2">
        <v>-4.0034812873000003E-3</v>
      </c>
      <c r="D1642" s="2">
        <v>2.4394960999999998E-3</v>
      </c>
      <c r="E1642" s="2">
        <v>1</v>
      </c>
      <c r="F1642" s="2">
        <v>1.3745764563128701E-2</v>
      </c>
      <c r="G1642" s="2">
        <v>1</v>
      </c>
    </row>
    <row r="1643" spans="1:7" x14ac:dyDescent="0.2">
      <c r="A1643" s="2" t="s">
        <v>29</v>
      </c>
      <c r="B1643" s="14">
        <v>38657</v>
      </c>
      <c r="C1643" s="2">
        <v>-8.6953127472E-2</v>
      </c>
      <c r="D1643" s="2">
        <v>8.0059399E-4</v>
      </c>
      <c r="E1643" s="2">
        <v>1</v>
      </c>
      <c r="F1643" s="2">
        <v>1.32937427369601E-2</v>
      </c>
      <c r="G1643" s="2">
        <v>1</v>
      </c>
    </row>
    <row r="1644" spans="1:7" x14ac:dyDescent="0.2">
      <c r="A1644" s="2" t="s">
        <v>29</v>
      </c>
      <c r="B1644" s="14">
        <v>38687</v>
      </c>
      <c r="C1644" s="2">
        <v>-3.3873908454999997E-2</v>
      </c>
      <c r="D1644" s="2">
        <v>1.4782959E-3</v>
      </c>
      <c r="E1644" s="2">
        <v>1</v>
      </c>
      <c r="F1644" s="2">
        <v>1.15873058760869E-2</v>
      </c>
      <c r="G1644" s="2">
        <v>1</v>
      </c>
    </row>
    <row r="1645" spans="1:7" x14ac:dyDescent="0.2">
      <c r="A1645" s="2" t="s">
        <v>29</v>
      </c>
      <c r="B1645" s="14">
        <v>38718</v>
      </c>
      <c r="C1645" s="2">
        <v>0.16060786651</v>
      </c>
      <c r="D1645" s="2">
        <v>1.062483E-4</v>
      </c>
      <c r="E1645" s="2">
        <v>1</v>
      </c>
      <c r="F1645" s="2">
        <v>8.4243112360903299E-3</v>
      </c>
      <c r="G1645" s="2">
        <v>1</v>
      </c>
    </row>
    <row r="1646" spans="1:7" x14ac:dyDescent="0.2">
      <c r="A1646" s="2" t="s">
        <v>29</v>
      </c>
      <c r="B1646" s="14">
        <v>38749</v>
      </c>
      <c r="C1646" s="2">
        <v>5.3230637570000003E-2</v>
      </c>
      <c r="D1646" s="2">
        <v>2.6046594999999998E-4</v>
      </c>
      <c r="E1646" s="2">
        <v>1</v>
      </c>
      <c r="F1646" s="2">
        <v>9.8877276473102703E-3</v>
      </c>
      <c r="G1646" s="2">
        <v>1</v>
      </c>
    </row>
    <row r="1647" spans="1:7" x14ac:dyDescent="0.2">
      <c r="A1647" s="2" t="s">
        <v>29</v>
      </c>
      <c r="B1647" s="14">
        <v>38777</v>
      </c>
      <c r="C1647" s="2">
        <v>8.4911026244000001E-2</v>
      </c>
      <c r="D1647" s="2">
        <v>1.3314022E-3</v>
      </c>
      <c r="E1647" s="2">
        <v>1</v>
      </c>
      <c r="F1647" s="2">
        <v>1.09535870112232E-2</v>
      </c>
      <c r="G1647" s="2">
        <v>1</v>
      </c>
    </row>
    <row r="1648" spans="1:7" x14ac:dyDescent="0.2">
      <c r="A1648" s="2" t="s">
        <v>29</v>
      </c>
      <c r="B1648" s="14">
        <v>38808</v>
      </c>
      <c r="C1648" s="2">
        <v>-3.8945476334999998E-3</v>
      </c>
      <c r="D1648" s="2">
        <v>-1.2394182E-3</v>
      </c>
      <c r="E1648" s="2">
        <v>1</v>
      </c>
      <c r="F1648" s="2">
        <v>1.1428003149037899E-2</v>
      </c>
      <c r="G1648" s="2">
        <v>1</v>
      </c>
    </row>
    <row r="1649" spans="1:7" x14ac:dyDescent="0.2">
      <c r="A1649" s="2" t="s">
        <v>29</v>
      </c>
      <c r="B1649" s="14">
        <v>38838</v>
      </c>
      <c r="C1649" s="2">
        <v>-1.2030075188E-2</v>
      </c>
      <c r="D1649" s="2">
        <v>9.2060934000000002E-4</v>
      </c>
      <c r="E1649" s="2">
        <v>1</v>
      </c>
      <c r="F1649" s="2">
        <v>1.14524040960162E-2</v>
      </c>
      <c r="G1649" s="2">
        <v>1</v>
      </c>
    </row>
    <row r="1650" spans="1:7" x14ac:dyDescent="0.2">
      <c r="A1650" s="2" t="s">
        <v>29</v>
      </c>
      <c r="B1650" s="14">
        <v>38869</v>
      </c>
      <c r="C1650" s="2">
        <v>3.7290715371999998E-3</v>
      </c>
      <c r="D1650" s="2">
        <v>-7.4207316999999997E-4</v>
      </c>
      <c r="E1650" s="2">
        <v>1</v>
      </c>
      <c r="F1650" s="2">
        <v>1.36412715104238E-2</v>
      </c>
      <c r="G1650" s="2">
        <v>1</v>
      </c>
    </row>
    <row r="1651" spans="1:7" x14ac:dyDescent="0.2">
      <c r="A1651" s="2" t="s">
        <v>29</v>
      </c>
      <c r="B1651" s="14">
        <v>38899</v>
      </c>
      <c r="C1651" s="2">
        <v>5.8381984999999999E-3</v>
      </c>
      <c r="D1651" s="2">
        <v>8.7579100999999996E-4</v>
      </c>
      <c r="E1651" s="2">
        <v>1</v>
      </c>
      <c r="F1651" s="2">
        <v>1.4700168256818301E-2</v>
      </c>
      <c r="G1651" s="2">
        <v>1</v>
      </c>
    </row>
    <row r="1652" spans="1:7" x14ac:dyDescent="0.2">
      <c r="A1652" s="2" t="s">
        <v>29</v>
      </c>
      <c r="B1652" s="14">
        <v>38930</v>
      </c>
      <c r="C1652" s="2">
        <v>3.3016734509000001E-2</v>
      </c>
      <c r="D1652" s="2">
        <v>3.0000884999999999E-3</v>
      </c>
      <c r="E1652" s="2">
        <v>1</v>
      </c>
      <c r="F1652" s="2">
        <v>1.66511421671195E-2</v>
      </c>
      <c r="G1652" s="2">
        <v>1</v>
      </c>
    </row>
    <row r="1653" spans="1:7" x14ac:dyDescent="0.2">
      <c r="A1653" s="2" t="s">
        <v>29</v>
      </c>
      <c r="B1653" s="14">
        <v>38961</v>
      </c>
      <c r="C1653" s="2">
        <v>1.9264448335999999E-2</v>
      </c>
      <c r="D1653" s="2">
        <v>7.7366950999999996E-4</v>
      </c>
      <c r="E1653" s="2">
        <v>1</v>
      </c>
      <c r="F1653" s="2">
        <v>1.5994329323648099E-2</v>
      </c>
      <c r="G1653" s="2">
        <v>1</v>
      </c>
    </row>
    <row r="1654" spans="1:7" x14ac:dyDescent="0.2">
      <c r="A1654" s="2" t="s">
        <v>29</v>
      </c>
      <c r="B1654" s="14">
        <v>38991</v>
      </c>
      <c r="C1654" s="2">
        <v>7.2451317296999995E-2</v>
      </c>
      <c r="D1654" s="2">
        <v>7.9433369999999995E-4</v>
      </c>
      <c r="E1654" s="2">
        <v>1</v>
      </c>
      <c r="F1654" s="2">
        <v>1.40361737369215E-2</v>
      </c>
      <c r="G1654" s="2">
        <v>1</v>
      </c>
    </row>
    <row r="1655" spans="1:7" x14ac:dyDescent="0.2">
      <c r="A1655" s="2" t="s">
        <v>29</v>
      </c>
      <c r="B1655" s="14">
        <v>39022</v>
      </c>
      <c r="C1655" s="2">
        <v>6.3387177552000004E-2</v>
      </c>
      <c r="D1655" s="2">
        <v>2.0253913999999998E-3</v>
      </c>
      <c r="E1655" s="2">
        <v>1</v>
      </c>
      <c r="F1655" s="2">
        <v>1.6109171699901101E-2</v>
      </c>
      <c r="G1655" s="2">
        <v>1</v>
      </c>
    </row>
    <row r="1656" spans="1:7" x14ac:dyDescent="0.2">
      <c r="A1656" s="2" t="s">
        <v>29</v>
      </c>
      <c r="B1656" s="14">
        <v>39052</v>
      </c>
      <c r="C1656" s="2">
        <v>4.9086326402000002E-2</v>
      </c>
      <c r="D1656" s="2">
        <v>1.6000537E-3</v>
      </c>
      <c r="E1656" s="2">
        <v>1</v>
      </c>
      <c r="F1656" s="2">
        <v>1.7969136682732E-2</v>
      </c>
      <c r="G1656" s="2">
        <v>1</v>
      </c>
    </row>
    <row r="1657" spans="1:7" x14ac:dyDescent="0.2">
      <c r="A1657" s="2" t="s">
        <v>29</v>
      </c>
      <c r="B1657" s="14">
        <v>39083</v>
      </c>
      <c r="C1657" s="2">
        <v>0.14829719501999999</v>
      </c>
      <c r="D1657" s="2">
        <v>1.3983166999999999E-3</v>
      </c>
      <c r="E1657" s="2">
        <v>1</v>
      </c>
      <c r="F1657" s="2">
        <v>1.9078687807991698E-2</v>
      </c>
      <c r="G1657" s="2">
        <v>1</v>
      </c>
    </row>
    <row r="1658" spans="1:7" x14ac:dyDescent="0.2">
      <c r="A1658" s="2" t="s">
        <v>29</v>
      </c>
      <c r="B1658" s="14">
        <v>39114</v>
      </c>
      <c r="C1658" s="2">
        <v>-5.7485092582999997E-2</v>
      </c>
      <c r="D1658" s="2">
        <v>-8.3257565999999997E-4</v>
      </c>
      <c r="E1658" s="2">
        <v>1</v>
      </c>
      <c r="F1658" s="2">
        <v>2.2830520773095601E-2</v>
      </c>
      <c r="G1658" s="2">
        <v>1</v>
      </c>
    </row>
    <row r="1659" spans="1:7" x14ac:dyDescent="0.2">
      <c r="A1659" s="2" t="s">
        <v>29</v>
      </c>
      <c r="B1659" s="14">
        <v>39142</v>
      </c>
      <c r="C1659" s="2">
        <v>2.5917087517999999E-2</v>
      </c>
      <c r="D1659" s="2">
        <v>-1.3371392000000001E-3</v>
      </c>
      <c r="E1659" s="2">
        <v>1</v>
      </c>
      <c r="F1659" s="2">
        <v>2.05040638990059E-2</v>
      </c>
      <c r="G1659" s="2">
        <v>1</v>
      </c>
    </row>
    <row r="1660" spans="1:7" x14ac:dyDescent="0.2">
      <c r="A1660" s="2" t="s">
        <v>29</v>
      </c>
      <c r="B1660" s="14">
        <v>39173</v>
      </c>
      <c r="C1660" s="2">
        <v>9.7695553392000006E-2</v>
      </c>
      <c r="D1660" s="2">
        <v>2.3227012999999999E-4</v>
      </c>
      <c r="E1660" s="2">
        <v>1</v>
      </c>
      <c r="F1660" s="2">
        <v>2.05931915785342E-2</v>
      </c>
      <c r="G1660" s="2">
        <v>1</v>
      </c>
    </row>
    <row r="1661" spans="1:7" x14ac:dyDescent="0.2">
      <c r="A1661" s="2" t="s">
        <v>29</v>
      </c>
      <c r="B1661" s="14">
        <v>39203</v>
      </c>
      <c r="C1661" s="2">
        <v>5.1506774303999997E-2</v>
      </c>
      <c r="D1661" s="2">
        <v>-2.7929720999999999E-3</v>
      </c>
      <c r="E1661" s="2">
        <v>1</v>
      </c>
      <c r="F1661" s="2">
        <v>2.1155396154372799E-2</v>
      </c>
      <c r="G1661" s="2">
        <v>1</v>
      </c>
    </row>
    <row r="1662" spans="1:7" x14ac:dyDescent="0.2">
      <c r="A1662" s="2" t="s">
        <v>29</v>
      </c>
      <c r="B1662" s="14">
        <v>39234</v>
      </c>
      <c r="C1662" s="2">
        <v>2.9339622640999999E-2</v>
      </c>
      <c r="D1662" s="2">
        <v>-8.8512781E-4</v>
      </c>
      <c r="E1662" s="2">
        <v>1</v>
      </c>
      <c r="F1662" s="2">
        <v>2.0670918026222802E-2</v>
      </c>
      <c r="G1662" s="2">
        <v>1</v>
      </c>
    </row>
    <row r="1663" spans="1:7" x14ac:dyDescent="0.2">
      <c r="A1663" s="2" t="s">
        <v>29</v>
      </c>
      <c r="B1663" s="14">
        <v>39264</v>
      </c>
      <c r="C1663" s="2">
        <v>-2.3920813855999999E-2</v>
      </c>
      <c r="D1663" s="2">
        <v>-3.4785273999999997E-4</v>
      </c>
      <c r="E1663" s="2">
        <v>1</v>
      </c>
      <c r="F1663" s="2">
        <v>2.0011367684716501E-2</v>
      </c>
      <c r="G1663" s="2">
        <v>1</v>
      </c>
    </row>
    <row r="1664" spans="1:7" x14ac:dyDescent="0.2">
      <c r="A1664" s="2" t="s">
        <v>29</v>
      </c>
      <c r="B1664" s="14">
        <v>39295</v>
      </c>
      <c r="C1664" s="2">
        <v>2.7699530510000001E-3</v>
      </c>
      <c r="D1664" s="2">
        <v>-1.1178141E-3</v>
      </c>
      <c r="E1664" s="2">
        <v>1</v>
      </c>
      <c r="F1664" s="2">
        <v>5.4238115275579302E-3</v>
      </c>
      <c r="G1664" s="2">
        <v>1</v>
      </c>
    </row>
    <row r="1665" spans="1:7" x14ac:dyDescent="0.2">
      <c r="A1665" s="2" t="s">
        <v>29</v>
      </c>
      <c r="B1665" s="14">
        <v>39326</v>
      </c>
      <c r="C1665" s="2">
        <v>-5.8991525820000001E-2</v>
      </c>
      <c r="D1665" s="2">
        <v>-7.4264320000000004E-4</v>
      </c>
      <c r="E1665" s="2">
        <v>1</v>
      </c>
      <c r="F1665" s="2">
        <v>7.1805621120026803E-3</v>
      </c>
      <c r="G1665" s="2">
        <v>1</v>
      </c>
    </row>
    <row r="1666" spans="1:7" x14ac:dyDescent="0.2">
      <c r="A1666" s="2" t="s">
        <v>29</v>
      </c>
      <c r="B1666" s="14">
        <v>39356</v>
      </c>
      <c r="C1666" s="2">
        <v>5.6968008358999997E-2</v>
      </c>
      <c r="D1666" s="2">
        <v>-8.5757730999999995E-4</v>
      </c>
      <c r="E1666" s="2">
        <v>1</v>
      </c>
      <c r="F1666" s="2">
        <v>4.99581705730953E-3</v>
      </c>
      <c r="G1666" s="2">
        <v>1</v>
      </c>
    </row>
    <row r="1667" spans="1:7" x14ac:dyDescent="0.2">
      <c r="A1667" s="2" t="s">
        <v>29</v>
      </c>
      <c r="B1667" s="14">
        <v>39387</v>
      </c>
      <c r="C1667" s="2">
        <v>-0.10062320957</v>
      </c>
      <c r="D1667" s="2">
        <v>-4.6216314999999999E-3</v>
      </c>
      <c r="E1667" s="2">
        <v>1</v>
      </c>
      <c r="F1667" s="2">
        <v>3.67927413518726E-3</v>
      </c>
      <c r="G1667" s="2">
        <v>1</v>
      </c>
    </row>
    <row r="1668" spans="1:7" x14ac:dyDescent="0.2">
      <c r="A1668" s="2" t="s">
        <v>29</v>
      </c>
      <c r="B1668" s="14">
        <v>39417</v>
      </c>
      <c r="C1668" s="2">
        <v>5.0761954807999998E-2</v>
      </c>
      <c r="D1668" s="2">
        <v>-2.4297241000000001E-4</v>
      </c>
      <c r="E1668" s="2">
        <v>1</v>
      </c>
      <c r="F1668" s="2">
        <v>-2.7883839018853302E-4</v>
      </c>
      <c r="G1668" s="2">
        <v>1</v>
      </c>
    </row>
    <row r="1669" spans="1:7" x14ac:dyDescent="0.2">
      <c r="A1669" s="2" t="s">
        <v>29</v>
      </c>
      <c r="B1669" s="14">
        <v>39448</v>
      </c>
      <c r="C1669" s="2">
        <v>-2.2104420884000001E-2</v>
      </c>
      <c r="D1669" s="2">
        <v>1.9213603000000001E-3</v>
      </c>
      <c r="E1669" s="2">
        <v>1</v>
      </c>
      <c r="F1669" s="2">
        <v>1.4449419176657701E-4</v>
      </c>
      <c r="G1669" s="2">
        <v>1</v>
      </c>
    </row>
    <row r="1670" spans="1:7" x14ac:dyDescent="0.2">
      <c r="A1670" s="2" t="s">
        <v>29</v>
      </c>
      <c r="B1670" s="14">
        <v>39479</v>
      </c>
      <c r="C1670" s="2">
        <v>-4.1935153932999999E-2</v>
      </c>
      <c r="D1670" s="2">
        <v>9.7810884E-4</v>
      </c>
      <c r="E1670" s="2">
        <v>1</v>
      </c>
      <c r="F1670" s="19">
        <v>1.50652824532444E-5</v>
      </c>
      <c r="G1670" s="2">
        <v>1</v>
      </c>
    </row>
    <row r="1671" spans="1:7" x14ac:dyDescent="0.2">
      <c r="A1671" s="2" t="s">
        <v>29</v>
      </c>
      <c r="B1671" s="14">
        <v>39508</v>
      </c>
      <c r="C1671" s="2">
        <v>8.0602113794000004E-3</v>
      </c>
      <c r="D1671" s="2">
        <v>2.3300473000000001E-3</v>
      </c>
      <c r="E1671" s="2">
        <v>1</v>
      </c>
      <c r="F1671" s="2">
        <v>-1.25837647576806E-3</v>
      </c>
      <c r="G1671" s="2">
        <v>1</v>
      </c>
    </row>
    <row r="1672" spans="1:7" x14ac:dyDescent="0.2">
      <c r="A1672" s="2" t="s">
        <v>29</v>
      </c>
      <c r="B1672" s="14">
        <v>39539</v>
      </c>
      <c r="C1672" s="2">
        <v>3.2565528198000002E-2</v>
      </c>
      <c r="D1672" s="2">
        <v>2.2590143999999999E-3</v>
      </c>
      <c r="E1672" s="2">
        <v>1</v>
      </c>
      <c r="F1672" s="2">
        <v>6.5403771474647197E-4</v>
      </c>
      <c r="G1672" s="2">
        <v>1</v>
      </c>
    </row>
    <row r="1673" spans="1:7" x14ac:dyDescent="0.2">
      <c r="A1673" s="2" t="s">
        <v>29</v>
      </c>
      <c r="B1673" s="14">
        <v>39569</v>
      </c>
      <c r="C1673" s="2">
        <v>-4.7286750500000002E-2</v>
      </c>
      <c r="D1673" s="2">
        <v>-4.3482319E-3</v>
      </c>
      <c r="E1673" s="2">
        <v>1</v>
      </c>
      <c r="F1673" s="2">
        <v>-2.5729289338589201E-4</v>
      </c>
      <c r="G1673" s="2">
        <v>1</v>
      </c>
    </row>
    <row r="1674" spans="1:7" x14ac:dyDescent="0.2">
      <c r="A1674" s="2" t="s">
        <v>29</v>
      </c>
      <c r="B1674" s="14">
        <v>39600</v>
      </c>
      <c r="C1674" s="2">
        <v>-0.14242143673999999</v>
      </c>
      <c r="D1674" s="2">
        <v>-5.3353751999999999E-3</v>
      </c>
      <c r="E1674" s="2">
        <v>1</v>
      </c>
      <c r="F1674" s="2">
        <v>1.39457232020432E-3</v>
      </c>
      <c r="G1674" s="2">
        <v>1</v>
      </c>
    </row>
    <row r="1675" spans="1:7" x14ac:dyDescent="0.2">
      <c r="A1675" s="2" t="s">
        <v>29</v>
      </c>
      <c r="B1675" s="14">
        <v>39630</v>
      </c>
      <c r="C1675" s="2">
        <v>1.562301537E-2</v>
      </c>
      <c r="D1675" s="2">
        <v>-3.9481832999999997E-3</v>
      </c>
      <c r="E1675" s="2">
        <v>1</v>
      </c>
      <c r="F1675" s="2">
        <v>-3.6204508102835398E-3</v>
      </c>
      <c r="G1675" s="2">
        <v>1</v>
      </c>
    </row>
    <row r="1676" spans="1:7" x14ac:dyDescent="0.2">
      <c r="A1676" s="2" t="s">
        <v>29</v>
      </c>
      <c r="B1676" s="14">
        <v>39661</v>
      </c>
      <c r="C1676" s="2">
        <v>-6.8000740621000005E-2</v>
      </c>
      <c r="D1676" s="2">
        <v>-1.6272117E-3</v>
      </c>
      <c r="E1676" s="2">
        <v>1</v>
      </c>
      <c r="F1676" s="2">
        <v>-2.1900502267431501E-3</v>
      </c>
      <c r="G1676" s="2">
        <v>1</v>
      </c>
    </row>
    <row r="1677" spans="1:7" x14ac:dyDescent="0.2">
      <c r="A1677" s="2" t="s">
        <v>29</v>
      </c>
      <c r="B1677" s="14">
        <v>39692</v>
      </c>
      <c r="C1677" s="2">
        <v>-0.12709030099999999</v>
      </c>
      <c r="D1677" s="2">
        <v>4.6966396999999997E-3</v>
      </c>
      <c r="E1677" s="2">
        <v>1</v>
      </c>
      <c r="F1677" s="2">
        <v>-2.7719445360467302E-3</v>
      </c>
      <c r="G1677" s="2">
        <v>1</v>
      </c>
    </row>
    <row r="1678" spans="1:7" x14ac:dyDescent="0.2">
      <c r="A1678" s="2" t="s">
        <v>29</v>
      </c>
      <c r="B1678" s="14">
        <v>39722</v>
      </c>
      <c r="C1678" s="2">
        <v>-0.2464137931</v>
      </c>
      <c r="D1678" s="2">
        <v>5.6702935000000005E-4</v>
      </c>
      <c r="E1678" s="2">
        <v>1</v>
      </c>
      <c r="F1678" s="2">
        <v>-6.2529857384098003E-3</v>
      </c>
      <c r="G1678" s="2">
        <v>1</v>
      </c>
    </row>
    <row r="1679" spans="1:7" x14ac:dyDescent="0.2">
      <c r="A1679" s="2" t="s">
        <v>29</v>
      </c>
      <c r="B1679" s="14">
        <v>39753</v>
      </c>
      <c r="C1679" s="2">
        <v>9.1730221266000007E-3</v>
      </c>
      <c r="D1679" s="2">
        <v>2.3817461000000002E-2</v>
      </c>
      <c r="E1679" s="2">
        <v>1</v>
      </c>
      <c r="F1679" s="2">
        <v>-1.33327407719976E-2</v>
      </c>
      <c r="G1679" s="2">
        <v>1</v>
      </c>
    </row>
    <row r="1680" spans="1:7" x14ac:dyDescent="0.2">
      <c r="A1680" s="2" t="s">
        <v>29</v>
      </c>
      <c r="B1680" s="14">
        <v>39783</v>
      </c>
      <c r="C1680" s="2">
        <v>-8.9954728011999996E-2</v>
      </c>
      <c r="D1680" s="2">
        <v>-2.1745699999999998E-3</v>
      </c>
      <c r="E1680" s="2">
        <v>1</v>
      </c>
      <c r="F1680" s="2">
        <v>-1.1802588354982E-2</v>
      </c>
      <c r="G1680" s="2">
        <v>1</v>
      </c>
    </row>
    <row r="1681" spans="1:7" x14ac:dyDescent="0.2">
      <c r="A1681" s="2" t="s">
        <v>30</v>
      </c>
      <c r="B1681" s="14">
        <v>37591</v>
      </c>
      <c r="C1681" s="2">
        <v>5.2054836325999998E-2</v>
      </c>
      <c r="D1681" s="2">
        <v>1.3513556E-4</v>
      </c>
      <c r="E1681" s="2">
        <v>1</v>
      </c>
      <c r="G1681" s="2">
        <v>1</v>
      </c>
    </row>
    <row r="1682" spans="1:7" x14ac:dyDescent="0.2">
      <c r="A1682" s="2" t="s">
        <v>30</v>
      </c>
      <c r="B1682" s="14">
        <v>37622</v>
      </c>
      <c r="C1682" s="2">
        <v>0.12499997516</v>
      </c>
      <c r="D1682" s="2">
        <v>4.2651064E-4</v>
      </c>
      <c r="E1682" s="2">
        <v>1</v>
      </c>
      <c r="G1682" s="2">
        <v>1</v>
      </c>
    </row>
    <row r="1683" spans="1:7" x14ac:dyDescent="0.2">
      <c r="A1683" s="2" t="s">
        <v>30</v>
      </c>
      <c r="B1683" s="14">
        <v>37653</v>
      </c>
      <c r="C1683" s="2">
        <v>-1.8518500531000001E-2</v>
      </c>
      <c r="D1683" s="2">
        <v>2.3086337999999999E-4</v>
      </c>
      <c r="E1683" s="2">
        <v>1</v>
      </c>
      <c r="G1683" s="2">
        <v>1</v>
      </c>
    </row>
    <row r="1684" spans="1:7" x14ac:dyDescent="0.2">
      <c r="A1684" s="2" t="s">
        <v>30</v>
      </c>
      <c r="B1684" s="14">
        <v>37681</v>
      </c>
      <c r="C1684" s="2">
        <v>1.6865585265E-2</v>
      </c>
      <c r="D1684" s="2">
        <v>-6.5511371999999997E-4</v>
      </c>
      <c r="E1684" s="2">
        <v>1</v>
      </c>
      <c r="G1684" s="2">
        <v>1</v>
      </c>
    </row>
    <row r="1685" spans="1:7" x14ac:dyDescent="0.2">
      <c r="A1685" s="2" t="s">
        <v>30</v>
      </c>
      <c r="B1685" s="14">
        <v>37712</v>
      </c>
      <c r="C1685" s="2">
        <v>0.11875006304000001</v>
      </c>
      <c r="D1685" s="2">
        <v>-2.7041833000000001E-4</v>
      </c>
      <c r="E1685" s="2">
        <v>1</v>
      </c>
      <c r="G1685" s="2">
        <v>1</v>
      </c>
    </row>
    <row r="1686" spans="1:7" x14ac:dyDescent="0.2">
      <c r="A1686" s="2" t="s">
        <v>30</v>
      </c>
      <c r="B1686" s="14">
        <v>37742</v>
      </c>
      <c r="C1686" s="2">
        <v>1.8478740726999999E-2</v>
      </c>
      <c r="D1686" s="19">
        <v>-9.2217153E-5</v>
      </c>
      <c r="E1686" s="2">
        <v>1</v>
      </c>
      <c r="G1686" s="2">
        <v>1</v>
      </c>
    </row>
    <row r="1687" spans="1:7" x14ac:dyDescent="0.2">
      <c r="A1687" s="2" t="s">
        <v>30</v>
      </c>
      <c r="B1687" s="14">
        <v>37773</v>
      </c>
      <c r="C1687" s="2">
        <v>-2.9535896219000001E-2</v>
      </c>
      <c r="D1687" s="2">
        <v>-1.1608395000000001E-4</v>
      </c>
      <c r="E1687" s="2">
        <v>1</v>
      </c>
      <c r="G1687" s="2">
        <v>1</v>
      </c>
    </row>
    <row r="1688" spans="1:7" x14ac:dyDescent="0.2">
      <c r="A1688" s="2" t="s">
        <v>30</v>
      </c>
      <c r="B1688" s="14">
        <v>37803</v>
      </c>
      <c r="C1688" s="2">
        <v>4.347826087E-2</v>
      </c>
      <c r="D1688" s="2">
        <v>-5.1557155999999997E-4</v>
      </c>
      <c r="E1688" s="2">
        <v>1</v>
      </c>
      <c r="G1688" s="2">
        <v>1</v>
      </c>
    </row>
    <row r="1689" spans="1:7" x14ac:dyDescent="0.2">
      <c r="A1689" s="2" t="s">
        <v>30</v>
      </c>
      <c r="B1689" s="14">
        <v>37834</v>
      </c>
      <c r="C1689" s="2">
        <v>5.4166634876E-2</v>
      </c>
      <c r="D1689" s="19">
        <v>-8.3362997000000006E-5</v>
      </c>
      <c r="E1689" s="2">
        <v>1</v>
      </c>
      <c r="F1689" s="2">
        <v>1.1472694268581701E-2</v>
      </c>
      <c r="G1689" s="2">
        <v>1</v>
      </c>
    </row>
    <row r="1690" spans="1:7" x14ac:dyDescent="0.2">
      <c r="A1690" s="2" t="s">
        <v>30</v>
      </c>
      <c r="B1690" s="14">
        <v>37865</v>
      </c>
      <c r="C1690" s="2">
        <v>0</v>
      </c>
      <c r="D1690" s="2">
        <v>5.254522E-4</v>
      </c>
      <c r="E1690" s="2">
        <v>1</v>
      </c>
      <c r="F1690" s="2">
        <v>1.33717171506817E-2</v>
      </c>
      <c r="G1690" s="2">
        <v>1</v>
      </c>
    </row>
    <row r="1691" spans="1:7" x14ac:dyDescent="0.2">
      <c r="A1691" s="2" t="s">
        <v>30</v>
      </c>
      <c r="B1691" s="14">
        <v>37895</v>
      </c>
      <c r="C1691" s="2">
        <v>0.1264822474</v>
      </c>
      <c r="D1691" s="2">
        <v>9.931727500000001E-4</v>
      </c>
      <c r="E1691" s="2">
        <v>1</v>
      </c>
      <c r="F1691" s="2">
        <v>1.28475865666819E-2</v>
      </c>
      <c r="G1691" s="2">
        <v>1</v>
      </c>
    </row>
    <row r="1692" spans="1:7" x14ac:dyDescent="0.2">
      <c r="A1692" s="2" t="s">
        <v>30</v>
      </c>
      <c r="B1692" s="14">
        <v>37926</v>
      </c>
      <c r="C1692" s="2">
        <v>0</v>
      </c>
      <c r="D1692" s="2">
        <v>-3.0186448999999999E-4</v>
      </c>
      <c r="E1692" s="2">
        <v>1</v>
      </c>
      <c r="F1692" s="2">
        <v>1.28770050187149E-2</v>
      </c>
      <c r="G1692" s="2">
        <v>1</v>
      </c>
    </row>
    <row r="1693" spans="1:7" x14ac:dyDescent="0.2">
      <c r="A1693" s="2" t="s">
        <v>30</v>
      </c>
      <c r="B1693" s="14">
        <v>37956</v>
      </c>
      <c r="C1693" s="2">
        <v>-2.8070175437000001E-2</v>
      </c>
      <c r="D1693" s="2">
        <v>6.1010348E-4</v>
      </c>
      <c r="E1693" s="2">
        <v>1</v>
      </c>
      <c r="F1693" s="2">
        <v>1.23169985742165E-2</v>
      </c>
      <c r="G1693" s="2">
        <v>1</v>
      </c>
    </row>
    <row r="1694" spans="1:7" x14ac:dyDescent="0.2">
      <c r="A1694" s="2" t="s">
        <v>30</v>
      </c>
      <c r="B1694" s="14">
        <v>37987</v>
      </c>
      <c r="C1694" s="2">
        <v>2.8880866424999999E-2</v>
      </c>
      <c r="E1694" s="2">
        <v>1</v>
      </c>
      <c r="F1694" s="2">
        <v>1.2439676946485701E-2</v>
      </c>
      <c r="G1694" s="2">
        <v>1</v>
      </c>
    </row>
    <row r="1695" spans="1:7" x14ac:dyDescent="0.2">
      <c r="A1695" s="2" t="s">
        <v>30</v>
      </c>
      <c r="B1695" s="14">
        <v>38018</v>
      </c>
      <c r="C1695" s="2">
        <v>8.0701754385000005E-2</v>
      </c>
      <c r="E1695" s="2">
        <v>1</v>
      </c>
      <c r="F1695" s="2">
        <v>1.1818555934848001E-2</v>
      </c>
      <c r="G1695" s="2">
        <v>1</v>
      </c>
    </row>
    <row r="1696" spans="1:7" x14ac:dyDescent="0.2">
      <c r="A1696" s="2" t="s">
        <v>30</v>
      </c>
      <c r="B1696" s="14">
        <v>38047</v>
      </c>
      <c r="C1696" s="2">
        <v>-1.0127245332E-4</v>
      </c>
      <c r="D1696" s="2">
        <v>7.4387678999999996E-4</v>
      </c>
      <c r="E1696" s="2">
        <v>1</v>
      </c>
      <c r="F1696" s="2">
        <v>1.2406560045113001E-2</v>
      </c>
      <c r="G1696" s="2">
        <v>1</v>
      </c>
    </row>
    <row r="1697" spans="1:7" x14ac:dyDescent="0.2">
      <c r="A1697" s="2" t="s">
        <v>30</v>
      </c>
      <c r="B1697" s="14">
        <v>38078</v>
      </c>
      <c r="C1697" s="2">
        <v>1.9383869851000001E-2</v>
      </c>
      <c r="D1697" s="2">
        <v>-1.5422355E-2</v>
      </c>
      <c r="E1697" s="2">
        <v>1</v>
      </c>
      <c r="F1697" s="2">
        <v>1.2564195456340599E-2</v>
      </c>
      <c r="G1697" s="2">
        <v>1</v>
      </c>
    </row>
    <row r="1698" spans="1:7" x14ac:dyDescent="0.2">
      <c r="A1698" s="2" t="s">
        <v>30</v>
      </c>
      <c r="B1698" s="14">
        <v>38108</v>
      </c>
      <c r="C1698" s="2">
        <v>6.7911714772000004E-2</v>
      </c>
      <c r="D1698" s="2">
        <v>9.3126028999999998E-4</v>
      </c>
      <c r="E1698" s="2">
        <v>1</v>
      </c>
      <c r="F1698" s="2">
        <v>9.2914965187493904E-3</v>
      </c>
      <c r="G1698" s="2">
        <v>1</v>
      </c>
    </row>
    <row r="1699" spans="1:7" x14ac:dyDescent="0.2">
      <c r="A1699" s="2" t="s">
        <v>30</v>
      </c>
      <c r="B1699" s="14">
        <v>38139</v>
      </c>
      <c r="C1699" s="2">
        <v>1.1128775834E-2</v>
      </c>
      <c r="D1699" s="19">
        <v>8.3725295999999999E-5</v>
      </c>
      <c r="E1699" s="2">
        <v>1</v>
      </c>
      <c r="F1699" s="2">
        <v>1.1131579638773099E-2</v>
      </c>
      <c r="G1699" s="2">
        <v>1</v>
      </c>
    </row>
    <row r="1700" spans="1:7" x14ac:dyDescent="0.2">
      <c r="A1700" s="2" t="s">
        <v>30</v>
      </c>
      <c r="B1700" s="14">
        <v>38169</v>
      </c>
      <c r="C1700" s="2">
        <v>6.0062893082000003E-2</v>
      </c>
      <c r="D1700" s="19">
        <v>-5.1410267999999997E-5</v>
      </c>
      <c r="E1700" s="2">
        <v>1</v>
      </c>
      <c r="F1700" s="2">
        <v>1.21752758814693E-2</v>
      </c>
      <c r="G1700" s="2">
        <v>1</v>
      </c>
    </row>
    <row r="1701" spans="1:7" x14ac:dyDescent="0.2">
      <c r="A1701" s="2" t="s">
        <v>30</v>
      </c>
      <c r="B1701" s="14">
        <v>38200</v>
      </c>
      <c r="C1701" s="2">
        <v>5.3099970335000003E-2</v>
      </c>
      <c r="D1701" s="2">
        <v>-2.379561E-4</v>
      </c>
      <c r="E1701" s="2">
        <v>1</v>
      </c>
      <c r="F1701" s="2">
        <v>7.9700578137917397E-3</v>
      </c>
      <c r="G1701" s="2">
        <v>1</v>
      </c>
    </row>
    <row r="1702" spans="1:7" x14ac:dyDescent="0.2">
      <c r="A1702" s="2" t="s">
        <v>30</v>
      </c>
      <c r="B1702" s="14">
        <v>38231</v>
      </c>
      <c r="C1702" s="2">
        <v>8.4507042246999998E-3</v>
      </c>
      <c r="D1702" s="2">
        <v>-2.761466E-4</v>
      </c>
      <c r="E1702" s="2">
        <v>1</v>
      </c>
      <c r="F1702" s="2">
        <v>7.0541390999080298E-3</v>
      </c>
      <c r="G1702" s="2">
        <v>1</v>
      </c>
    </row>
    <row r="1703" spans="1:7" x14ac:dyDescent="0.2">
      <c r="A1703" s="2" t="s">
        <v>30</v>
      </c>
      <c r="B1703" s="14">
        <v>38261</v>
      </c>
      <c r="C1703" s="2">
        <v>-3.3798882680000003E-2</v>
      </c>
      <c r="D1703" s="19">
        <v>2.6439567999999999E-5</v>
      </c>
      <c r="E1703" s="2">
        <v>1</v>
      </c>
      <c r="F1703" s="2">
        <v>7.2717631393938902E-3</v>
      </c>
      <c r="G1703" s="2">
        <v>1</v>
      </c>
    </row>
    <row r="1704" spans="1:7" x14ac:dyDescent="0.2">
      <c r="A1704" s="2" t="s">
        <v>30</v>
      </c>
      <c r="B1704" s="14">
        <v>38292</v>
      </c>
      <c r="C1704" s="2">
        <v>3.5848511130000003E-2</v>
      </c>
      <c r="D1704" s="2">
        <v>-1.9242129999999999E-4</v>
      </c>
      <c r="E1704" s="2">
        <v>1</v>
      </c>
      <c r="F1704" s="2">
        <v>5.6949700253974599E-3</v>
      </c>
      <c r="G1704" s="2">
        <v>1</v>
      </c>
    </row>
    <row r="1705" spans="1:7" x14ac:dyDescent="0.2">
      <c r="A1705" s="2" t="s">
        <v>30</v>
      </c>
      <c r="B1705" s="14">
        <v>38322</v>
      </c>
      <c r="C1705" s="2">
        <v>-1.2001116383999999E-2</v>
      </c>
      <c r="D1705" s="2">
        <v>4.4653492000000001E-4</v>
      </c>
      <c r="E1705" s="2">
        <v>1</v>
      </c>
      <c r="F1705" s="2">
        <v>4.6786997099560104E-3</v>
      </c>
      <c r="G1705" s="2">
        <v>1</v>
      </c>
    </row>
    <row r="1706" spans="1:7" x14ac:dyDescent="0.2">
      <c r="A1706" s="2" t="s">
        <v>30</v>
      </c>
      <c r="B1706" s="14">
        <v>38353</v>
      </c>
      <c r="C1706" s="2">
        <v>-4.2372881355000003E-2</v>
      </c>
      <c r="D1706" s="19">
        <v>4.4065946E-5</v>
      </c>
      <c r="E1706" s="2">
        <v>1</v>
      </c>
      <c r="F1706" s="2">
        <v>4.0023117854770199E-3</v>
      </c>
      <c r="G1706" s="2">
        <v>1</v>
      </c>
    </row>
    <row r="1707" spans="1:7" x14ac:dyDescent="0.2">
      <c r="A1707" s="2" t="s">
        <v>30</v>
      </c>
      <c r="B1707" s="14">
        <v>38384</v>
      </c>
      <c r="C1707" s="2">
        <v>0.10324483775</v>
      </c>
      <c r="D1707" s="2">
        <v>-2.7467772999999998E-4</v>
      </c>
      <c r="E1707" s="2">
        <v>1</v>
      </c>
      <c r="F1707" s="2">
        <v>1.2409602397367701E-3</v>
      </c>
      <c r="G1707" s="2">
        <v>1</v>
      </c>
    </row>
    <row r="1708" spans="1:7" x14ac:dyDescent="0.2">
      <c r="A1708" s="2" t="s">
        <v>30</v>
      </c>
      <c r="B1708" s="14">
        <v>38412</v>
      </c>
      <c r="C1708" s="2">
        <v>-5.0458145812999997E-2</v>
      </c>
      <c r="D1708" s="2">
        <v>-3.1139934000000001E-4</v>
      </c>
      <c r="E1708" s="2">
        <v>1</v>
      </c>
      <c r="F1708" s="2">
        <v>2.5313068896473099E-3</v>
      </c>
      <c r="G1708" s="2">
        <v>1</v>
      </c>
    </row>
    <row r="1709" spans="1:7" x14ac:dyDescent="0.2">
      <c r="A1709" s="2" t="s">
        <v>30</v>
      </c>
      <c r="B1709" s="14">
        <v>38443</v>
      </c>
      <c r="C1709" s="2">
        <v>-2.4024024024000001E-2</v>
      </c>
      <c r="D1709" s="19">
        <v>-1.9095243000000001E-5</v>
      </c>
      <c r="E1709" s="2">
        <v>1</v>
      </c>
      <c r="F1709" s="2">
        <v>1.1798162961560799E-3</v>
      </c>
      <c r="G1709" s="2">
        <v>1</v>
      </c>
    </row>
    <row r="1710" spans="1:7" x14ac:dyDescent="0.2">
      <c r="A1710" s="2" t="s">
        <v>30</v>
      </c>
      <c r="B1710" s="14">
        <v>38473</v>
      </c>
      <c r="C1710" s="2">
        <v>3.0769230769000001E-2</v>
      </c>
      <c r="D1710" s="19">
        <v>-9.6945078000000001E-5</v>
      </c>
      <c r="E1710" s="2">
        <v>1</v>
      </c>
      <c r="F1710" s="2">
        <v>1.54629924313419E-3</v>
      </c>
      <c r="G1710" s="2">
        <v>1</v>
      </c>
    </row>
    <row r="1711" spans="1:7" x14ac:dyDescent="0.2">
      <c r="A1711" s="2" t="s">
        <v>30</v>
      </c>
      <c r="B1711" s="14">
        <v>38504</v>
      </c>
      <c r="C1711" s="2">
        <v>8.9552238804999993E-3</v>
      </c>
      <c r="D1711" s="2">
        <v>-2.9524183000000001E-4</v>
      </c>
      <c r="E1711" s="2">
        <v>1</v>
      </c>
      <c r="F1711" s="2">
        <v>1.2830453592526101E-3</v>
      </c>
      <c r="G1711" s="2">
        <v>1</v>
      </c>
    </row>
    <row r="1712" spans="1:7" x14ac:dyDescent="0.2">
      <c r="A1712" s="2" t="s">
        <v>30</v>
      </c>
      <c r="B1712" s="14">
        <v>38534</v>
      </c>
      <c r="C1712" s="2">
        <v>2.3668639052999998E-2</v>
      </c>
      <c r="D1712" s="2">
        <v>-2.7027112E-4</v>
      </c>
      <c r="E1712" s="2">
        <v>1</v>
      </c>
      <c r="F1712" s="2">
        <v>1.8683283445693299E-3</v>
      </c>
      <c r="G1712" s="2">
        <v>1</v>
      </c>
    </row>
    <row r="1713" spans="1:7" x14ac:dyDescent="0.2">
      <c r="A1713" s="2" t="s">
        <v>30</v>
      </c>
      <c r="B1713" s="14">
        <v>38565</v>
      </c>
      <c r="C1713" s="2">
        <v>2.3121387284999999E-2</v>
      </c>
      <c r="D1713" s="2">
        <v>6.9036648999999998E-4</v>
      </c>
      <c r="E1713" s="2">
        <v>1</v>
      </c>
      <c r="F1713" s="2">
        <v>-1.85949793691881E-3</v>
      </c>
      <c r="G1713" s="2">
        <v>1</v>
      </c>
    </row>
    <row r="1714" spans="1:7" x14ac:dyDescent="0.2">
      <c r="A1714" s="2" t="s">
        <v>30</v>
      </c>
      <c r="B1714" s="14">
        <v>38596</v>
      </c>
      <c r="C1714" s="2">
        <v>8.4745762706E-3</v>
      </c>
      <c r="D1714" s="19">
        <v>-3.8190486999999997E-5</v>
      </c>
      <c r="E1714" s="2">
        <v>1</v>
      </c>
      <c r="F1714" s="2">
        <v>-4.2626024739767596E-3</v>
      </c>
      <c r="G1714" s="2">
        <v>1</v>
      </c>
    </row>
    <row r="1715" spans="1:7" x14ac:dyDescent="0.2">
      <c r="A1715" s="2" t="s">
        <v>30</v>
      </c>
      <c r="B1715" s="14">
        <v>38626</v>
      </c>
      <c r="C1715" s="2">
        <v>8.1232492994000004E-3</v>
      </c>
      <c r="D1715" s="2">
        <v>2.1445427E-4</v>
      </c>
      <c r="E1715" s="2">
        <v>1</v>
      </c>
      <c r="F1715" s="2">
        <v>-2.5791869596119401E-3</v>
      </c>
      <c r="G1715" s="2">
        <v>1</v>
      </c>
    </row>
    <row r="1716" spans="1:7" x14ac:dyDescent="0.2">
      <c r="A1716" s="2" t="s">
        <v>30</v>
      </c>
      <c r="B1716" s="14">
        <v>38657</v>
      </c>
      <c r="C1716" s="2">
        <v>-2.5006946353E-3</v>
      </c>
      <c r="D1716" s="2">
        <v>0</v>
      </c>
      <c r="E1716" s="2">
        <v>1</v>
      </c>
      <c r="F1716" s="2">
        <v>-1.70407839602236E-3</v>
      </c>
      <c r="G1716" s="2">
        <v>1</v>
      </c>
    </row>
    <row r="1717" spans="1:7" x14ac:dyDescent="0.2">
      <c r="A1717" s="2" t="s">
        <v>30</v>
      </c>
      <c r="B1717" s="14">
        <v>38687</v>
      </c>
      <c r="C1717" s="2">
        <v>-3.8997214485999999E-2</v>
      </c>
      <c r="D1717" s="19">
        <v>-5.8754595000000001E-5</v>
      </c>
      <c r="E1717" s="2">
        <v>1</v>
      </c>
      <c r="F1717" s="2">
        <v>-2.6738867768044999E-3</v>
      </c>
      <c r="G1717" s="2">
        <v>1</v>
      </c>
    </row>
    <row r="1718" spans="1:7" x14ac:dyDescent="0.2">
      <c r="A1718" s="2" t="s">
        <v>30</v>
      </c>
      <c r="B1718" s="14">
        <v>38718</v>
      </c>
      <c r="C1718" s="2">
        <v>7.2463768115999999E-2</v>
      </c>
      <c r="D1718" s="2">
        <v>0</v>
      </c>
      <c r="E1718" s="2">
        <v>1</v>
      </c>
      <c r="F1718" s="2">
        <v>-3.9342785798011396E-3</v>
      </c>
      <c r="G1718" s="2">
        <v>1</v>
      </c>
    </row>
    <row r="1719" spans="1:7" x14ac:dyDescent="0.2">
      <c r="A1719" s="2" t="s">
        <v>30</v>
      </c>
      <c r="B1719" s="14">
        <v>38749</v>
      </c>
      <c r="C1719" s="2">
        <v>1.3243243244000001E-2</v>
      </c>
      <c r="D1719" s="19">
        <v>-2.9377297E-6</v>
      </c>
      <c r="E1719" s="2">
        <v>1</v>
      </c>
      <c r="F1719" s="2">
        <v>-2.6549060462833498E-3</v>
      </c>
      <c r="G1719" s="2">
        <v>1</v>
      </c>
    </row>
    <row r="1720" spans="1:7" x14ac:dyDescent="0.2">
      <c r="A1720" s="2" t="s">
        <v>30</v>
      </c>
      <c r="B1720" s="14">
        <v>38777</v>
      </c>
      <c r="C1720" s="2">
        <v>-1.1855894408000001E-2</v>
      </c>
      <c r="D1720" s="2">
        <v>1.1897805E-4</v>
      </c>
      <c r="E1720" s="2">
        <v>1</v>
      </c>
      <c r="F1720" s="2">
        <v>-3.1651661273481698E-3</v>
      </c>
      <c r="G1720" s="2">
        <v>1</v>
      </c>
    </row>
    <row r="1721" spans="1:7" x14ac:dyDescent="0.2">
      <c r="A1721" s="2" t="s">
        <v>30</v>
      </c>
      <c r="B1721" s="14">
        <v>38808</v>
      </c>
      <c r="C1721" s="2">
        <v>-1.2784090909E-2</v>
      </c>
      <c r="D1721" s="19">
        <v>1.4688649E-6</v>
      </c>
      <c r="E1721" s="2">
        <v>1</v>
      </c>
      <c r="F1721" s="2">
        <v>-3.6924286616520198E-3</v>
      </c>
      <c r="G1721" s="2">
        <v>1</v>
      </c>
    </row>
    <row r="1722" spans="1:7" x14ac:dyDescent="0.2">
      <c r="A1722" s="2" t="s">
        <v>30</v>
      </c>
      <c r="B1722" s="14">
        <v>38838</v>
      </c>
      <c r="C1722" s="2">
        <v>-2.6989064747999999E-2</v>
      </c>
      <c r="D1722" s="2">
        <v>6.5619311999999996E-4</v>
      </c>
      <c r="E1722" s="2">
        <v>1</v>
      </c>
      <c r="F1722" s="2">
        <v>-4.2864952830790701E-3</v>
      </c>
      <c r="G1722" s="2">
        <v>1</v>
      </c>
    </row>
    <row r="1723" spans="1:7" x14ac:dyDescent="0.2">
      <c r="A1723" s="2" t="s">
        <v>30</v>
      </c>
      <c r="B1723" s="14">
        <v>38869</v>
      </c>
      <c r="C1723" s="2">
        <v>3.6363636364000002E-2</v>
      </c>
      <c r="D1723" s="2">
        <v>-3.3678574000000001E-4</v>
      </c>
      <c r="E1723" s="2">
        <v>1</v>
      </c>
      <c r="F1723" s="2">
        <v>-4.8873565606572297E-3</v>
      </c>
      <c r="G1723" s="2">
        <v>1</v>
      </c>
    </row>
    <row r="1724" spans="1:7" x14ac:dyDescent="0.2">
      <c r="A1724" s="2" t="s">
        <v>30</v>
      </c>
      <c r="B1724" s="14">
        <v>38899</v>
      </c>
      <c r="C1724" s="2">
        <v>-2.9239766091E-3</v>
      </c>
      <c r="D1724" s="2">
        <v>0</v>
      </c>
      <c r="E1724" s="2">
        <v>1</v>
      </c>
      <c r="F1724" s="2">
        <v>-2.7656353509414402E-3</v>
      </c>
      <c r="G1724" s="2">
        <v>1</v>
      </c>
    </row>
    <row r="1725" spans="1:7" x14ac:dyDescent="0.2">
      <c r="A1725" s="2" t="s">
        <v>30</v>
      </c>
      <c r="B1725" s="14">
        <v>38930</v>
      </c>
      <c r="C1725" s="2">
        <v>4.8387096774999999E-2</v>
      </c>
      <c r="D1725" s="2">
        <v>3.6212169999999999E-4</v>
      </c>
      <c r="E1725" s="2">
        <v>1</v>
      </c>
      <c r="F1725" s="2">
        <v>-1.6383168616037099E-3</v>
      </c>
      <c r="G1725" s="2">
        <v>1</v>
      </c>
    </row>
    <row r="1726" spans="1:7" x14ac:dyDescent="0.2">
      <c r="A1726" s="2" t="s">
        <v>30</v>
      </c>
      <c r="B1726" s="14">
        <v>38961</v>
      </c>
      <c r="C1726" s="2">
        <v>3.9440559441999999E-2</v>
      </c>
      <c r="D1726" s="2">
        <v>1.2819108000000001E-3</v>
      </c>
      <c r="E1726" s="2">
        <v>1</v>
      </c>
      <c r="F1726" s="2">
        <v>-6.8949101084856096E-4</v>
      </c>
      <c r="G1726" s="2">
        <v>1</v>
      </c>
    </row>
    <row r="1727" spans="1:7" x14ac:dyDescent="0.2">
      <c r="A1727" s="2" t="s">
        <v>30</v>
      </c>
      <c r="B1727" s="14">
        <v>38991</v>
      </c>
      <c r="C1727" s="2">
        <v>1.4531754576E-2</v>
      </c>
      <c r="D1727" s="2">
        <v>3.6936412999999998E-4</v>
      </c>
      <c r="E1727" s="2">
        <v>1</v>
      </c>
      <c r="F1727" s="2">
        <v>7.2903359652054902E-4</v>
      </c>
      <c r="G1727" s="2">
        <v>1</v>
      </c>
    </row>
    <row r="1728" spans="1:7" x14ac:dyDescent="0.2">
      <c r="A1728" s="2" t="s">
        <v>30</v>
      </c>
      <c r="B1728" s="14">
        <v>39022</v>
      </c>
      <c r="C1728" s="2">
        <v>2.6525198938999999E-2</v>
      </c>
      <c r="D1728" s="19">
        <v>-3.9109142000000003E-5</v>
      </c>
      <c r="E1728" s="2">
        <v>1</v>
      </c>
      <c r="F1728" s="2">
        <v>1.4856825336775101E-3</v>
      </c>
      <c r="G1728" s="2">
        <v>1</v>
      </c>
    </row>
    <row r="1729" spans="1:7" x14ac:dyDescent="0.2">
      <c r="A1729" s="2" t="s">
        <v>30</v>
      </c>
      <c r="B1729" s="14">
        <v>39052</v>
      </c>
      <c r="C1729" s="2">
        <v>0.18604651162999999</v>
      </c>
      <c r="D1729" s="19">
        <v>-3.3315195000000002E-5</v>
      </c>
      <c r="E1729" s="2">
        <v>1</v>
      </c>
      <c r="F1729" s="2">
        <v>2.97234737882919E-3</v>
      </c>
      <c r="G1729" s="2">
        <v>1</v>
      </c>
    </row>
    <row r="1730" spans="1:7" x14ac:dyDescent="0.2">
      <c r="A1730" s="2" t="s">
        <v>30</v>
      </c>
      <c r="B1730" s="14">
        <v>39083</v>
      </c>
      <c r="C1730" s="2">
        <v>-6.9498910676000003E-2</v>
      </c>
      <c r="D1730" s="2">
        <v>-2.7955794999999999E-4</v>
      </c>
      <c r="E1730" s="2">
        <v>1</v>
      </c>
      <c r="F1730" s="2">
        <v>7.3456077827577402E-3</v>
      </c>
      <c r="G1730" s="2">
        <v>1</v>
      </c>
    </row>
    <row r="1731" spans="1:7" x14ac:dyDescent="0.2">
      <c r="A1731" s="2" t="s">
        <v>30</v>
      </c>
      <c r="B1731" s="14">
        <v>39114</v>
      </c>
      <c r="C1731" s="2">
        <v>-1.1940997424E-2</v>
      </c>
      <c r="D1731" s="19">
        <v>-7.9666774000000003E-5</v>
      </c>
      <c r="E1731" s="2">
        <v>1</v>
      </c>
      <c r="F1731" s="2">
        <v>5.6862250642486997E-3</v>
      </c>
      <c r="G1731" s="2">
        <v>1</v>
      </c>
    </row>
    <row r="1732" spans="1:7" x14ac:dyDescent="0.2">
      <c r="A1732" s="2" t="s">
        <v>30</v>
      </c>
      <c r="B1732" s="14">
        <v>39142</v>
      </c>
      <c r="C1732" s="2">
        <v>9.9809731035000002E-2</v>
      </c>
      <c r="D1732" s="19">
        <v>9.8497105000000003E-5</v>
      </c>
      <c r="E1732" s="2">
        <v>1</v>
      </c>
      <c r="F1732" s="2">
        <v>3.9832975044869602E-3</v>
      </c>
      <c r="G1732" s="2">
        <v>1</v>
      </c>
    </row>
    <row r="1733" spans="1:7" x14ac:dyDescent="0.2">
      <c r="A1733" s="2" t="s">
        <v>30</v>
      </c>
      <c r="B1733" s="14">
        <v>39173</v>
      </c>
      <c r="C1733" s="2">
        <v>-1.8280297902E-2</v>
      </c>
      <c r="D1733" s="2">
        <v>3.3170349000000003E-4</v>
      </c>
      <c r="E1733" s="2">
        <v>1</v>
      </c>
      <c r="F1733" s="2">
        <v>5.6798227283613298E-3</v>
      </c>
      <c r="G1733" s="2">
        <v>1</v>
      </c>
    </row>
    <row r="1734" spans="1:7" x14ac:dyDescent="0.2">
      <c r="A1734" s="2" t="s">
        <v>30</v>
      </c>
      <c r="B1734" s="14">
        <v>39203</v>
      </c>
      <c r="C1734" s="2">
        <v>6.1518758629999998E-3</v>
      </c>
      <c r="D1734" s="2">
        <v>8.7205938000000001E-4</v>
      </c>
      <c r="E1734" s="2">
        <v>1</v>
      </c>
      <c r="F1734" s="2">
        <v>4.7798674515807304E-3</v>
      </c>
      <c r="G1734" s="2">
        <v>1</v>
      </c>
    </row>
    <row r="1735" spans="1:7" x14ac:dyDescent="0.2">
      <c r="A1735" s="2" t="s">
        <v>30</v>
      </c>
      <c r="B1735" s="14">
        <v>39234</v>
      </c>
      <c r="C1735" s="2">
        <v>0.12429927757000001</v>
      </c>
      <c r="D1735" s="2">
        <v>-3.5144720000000003E-4</v>
      </c>
      <c r="E1735" s="2">
        <v>1</v>
      </c>
      <c r="F1735" s="2">
        <v>4.1439329935910804E-3</v>
      </c>
      <c r="G1735" s="2">
        <v>1</v>
      </c>
    </row>
    <row r="1736" spans="1:7" x14ac:dyDescent="0.2">
      <c r="A1736" s="2" t="s">
        <v>30</v>
      </c>
      <c r="B1736" s="14">
        <v>39264</v>
      </c>
      <c r="C1736" s="2">
        <v>-0.10769869267</v>
      </c>
      <c r="D1736" s="2">
        <v>1.3791662999999999E-3</v>
      </c>
      <c r="E1736" s="2">
        <v>1</v>
      </c>
      <c r="F1736" s="2">
        <v>2.1506246122021699E-3</v>
      </c>
      <c r="G1736" s="2">
        <v>1</v>
      </c>
    </row>
    <row r="1737" spans="1:7" x14ac:dyDescent="0.2">
      <c r="A1737" s="2" t="s">
        <v>30</v>
      </c>
      <c r="B1737" s="14">
        <v>39295</v>
      </c>
      <c r="C1737" s="2">
        <v>-5.8139534875999996E-3</v>
      </c>
      <c r="D1737" s="2">
        <v>-2.1806815E-4</v>
      </c>
      <c r="E1737" s="2">
        <v>1</v>
      </c>
      <c r="F1737" s="2">
        <v>-3.0093172631406998E-3</v>
      </c>
      <c r="G1737" s="2">
        <v>1</v>
      </c>
    </row>
    <row r="1738" spans="1:7" x14ac:dyDescent="0.2">
      <c r="A1738" s="2" t="s">
        <v>30</v>
      </c>
      <c r="B1738" s="14">
        <v>39326</v>
      </c>
      <c r="C1738" s="2">
        <v>-2.2222222223E-2</v>
      </c>
      <c r="D1738" s="2">
        <v>-2.5279238E-4</v>
      </c>
      <c r="E1738" s="2">
        <v>1</v>
      </c>
      <c r="F1738" s="2">
        <v>-2.8138025615657399E-3</v>
      </c>
      <c r="G1738" s="2">
        <v>1</v>
      </c>
    </row>
    <row r="1739" spans="1:7" x14ac:dyDescent="0.2">
      <c r="A1739" s="2" t="s">
        <v>30</v>
      </c>
      <c r="B1739" s="14">
        <v>39356</v>
      </c>
      <c r="C1739" s="2">
        <v>2.8708133972000002E-2</v>
      </c>
      <c r="D1739" s="2">
        <v>-4.3891423E-4</v>
      </c>
      <c r="E1739" s="2">
        <v>1</v>
      </c>
      <c r="F1739" s="2">
        <v>-6.2722753997766197E-3</v>
      </c>
      <c r="G1739" s="2">
        <v>1</v>
      </c>
    </row>
    <row r="1740" spans="1:7" x14ac:dyDescent="0.2">
      <c r="A1740" s="2" t="s">
        <v>30</v>
      </c>
      <c r="B1740" s="14">
        <v>39387</v>
      </c>
      <c r="C1740" s="2">
        <v>-3.4651162790000002E-2</v>
      </c>
      <c r="D1740" s="2">
        <v>-2.5188496999999999E-3</v>
      </c>
      <c r="E1740" s="2">
        <v>1</v>
      </c>
      <c r="F1740" s="2">
        <v>-4.9783907525871099E-3</v>
      </c>
      <c r="G1740" s="2">
        <v>1</v>
      </c>
    </row>
    <row r="1741" spans="1:7" x14ac:dyDescent="0.2">
      <c r="A1741" s="2" t="s">
        <v>30</v>
      </c>
      <c r="B1741" s="14">
        <v>39417</v>
      </c>
      <c r="C1741" s="2">
        <v>-2.9149602505999999E-2</v>
      </c>
      <c r="D1741" s="2">
        <v>-4.4863699999999999E-4</v>
      </c>
      <c r="E1741" s="2">
        <v>1</v>
      </c>
      <c r="F1741" s="2">
        <v>-6.0503684303317802E-3</v>
      </c>
      <c r="G1741" s="2">
        <v>1</v>
      </c>
    </row>
    <row r="1742" spans="1:7" x14ac:dyDescent="0.2">
      <c r="A1742" s="2" t="s">
        <v>30</v>
      </c>
      <c r="B1742" s="14">
        <v>39448</v>
      </c>
      <c r="C1742" s="2">
        <v>2.3573200993000001E-2</v>
      </c>
      <c r="D1742" s="2">
        <v>-4.1130060000000001E-4</v>
      </c>
      <c r="E1742" s="2">
        <v>1</v>
      </c>
      <c r="F1742" s="2">
        <v>-1.0777036882889999E-2</v>
      </c>
      <c r="G1742" s="2">
        <v>1</v>
      </c>
    </row>
    <row r="1743" spans="1:7" x14ac:dyDescent="0.2">
      <c r="A1743" s="2" t="s">
        <v>30</v>
      </c>
      <c r="B1743" s="14">
        <v>39479</v>
      </c>
      <c r="C1743" s="2">
        <v>4.1939393939000001E-2</v>
      </c>
      <c r="D1743" s="2">
        <v>-3.9724383000000002E-4</v>
      </c>
      <c r="E1743" s="2">
        <v>1</v>
      </c>
      <c r="F1743" s="2">
        <v>-7.0967671115445196E-3</v>
      </c>
      <c r="G1743" s="2">
        <v>1</v>
      </c>
    </row>
    <row r="1744" spans="1:7" x14ac:dyDescent="0.2">
      <c r="A1744" s="2" t="s">
        <v>30</v>
      </c>
      <c r="B1744" s="14">
        <v>39508</v>
      </c>
      <c r="C1744" s="2">
        <v>-2.9871010938999999E-2</v>
      </c>
      <c r="D1744" s="2">
        <v>4.5332182E-4</v>
      </c>
      <c r="E1744" s="2">
        <v>1</v>
      </c>
      <c r="F1744" s="2">
        <v>-6.0538419593107098E-3</v>
      </c>
      <c r="G1744" s="2">
        <v>1</v>
      </c>
    </row>
    <row r="1745" spans="1:7" x14ac:dyDescent="0.2">
      <c r="A1745" s="2" t="s">
        <v>30</v>
      </c>
      <c r="B1745" s="14">
        <v>39539</v>
      </c>
      <c r="C1745" s="2">
        <v>2.1614583332999999E-2</v>
      </c>
      <c r="D1745" s="2">
        <v>-1.7363426999999999E-4</v>
      </c>
      <c r="E1745" s="2">
        <v>1</v>
      </c>
      <c r="F1745" s="2">
        <v>-6.1368706423954502E-3</v>
      </c>
      <c r="G1745" s="2">
        <v>1</v>
      </c>
    </row>
    <row r="1746" spans="1:7" x14ac:dyDescent="0.2">
      <c r="A1746" s="2" t="s">
        <v>30</v>
      </c>
      <c r="B1746" s="14">
        <v>39569</v>
      </c>
      <c r="C1746" s="2">
        <v>1.3255161866000001E-2</v>
      </c>
      <c r="D1746" s="19">
        <v>6.2065582999999999E-6</v>
      </c>
      <c r="E1746" s="2">
        <v>1</v>
      </c>
      <c r="F1746" s="2">
        <v>-6.3881111497241898E-3</v>
      </c>
      <c r="G1746" s="2">
        <v>1</v>
      </c>
    </row>
    <row r="1747" spans="1:7" x14ac:dyDescent="0.2">
      <c r="A1747" s="2" t="s">
        <v>30</v>
      </c>
      <c r="B1747" s="14">
        <v>39600</v>
      </c>
      <c r="C1747" s="2">
        <v>0</v>
      </c>
      <c r="D1747" s="2">
        <v>-1.2686205E-3</v>
      </c>
      <c r="E1747" s="2">
        <v>1</v>
      </c>
      <c r="F1747" s="2">
        <v>-5.03228207430363E-3</v>
      </c>
      <c r="G1747" s="2">
        <v>1</v>
      </c>
    </row>
    <row r="1748" spans="1:7" x14ac:dyDescent="0.2">
      <c r="A1748" s="2" t="s">
        <v>30</v>
      </c>
      <c r="B1748" s="14">
        <v>39630</v>
      </c>
      <c r="C1748" s="2">
        <v>-5.6603773585000003E-2</v>
      </c>
      <c r="D1748" s="2">
        <v>-1.2427810999999999E-3</v>
      </c>
      <c r="E1748" s="2">
        <v>1</v>
      </c>
      <c r="F1748" s="2">
        <v>-4.4865326697382602E-3</v>
      </c>
      <c r="G1748" s="2">
        <v>1</v>
      </c>
    </row>
    <row r="1749" spans="1:7" x14ac:dyDescent="0.2">
      <c r="A1749" s="2" t="s">
        <v>30</v>
      </c>
      <c r="B1749" s="14">
        <v>39661</v>
      </c>
      <c r="C1749" s="2">
        <v>6.9333333340000003E-3</v>
      </c>
      <c r="D1749" s="2">
        <v>-3.9193919E-4</v>
      </c>
      <c r="E1749" s="2">
        <v>1</v>
      </c>
      <c r="F1749" s="2">
        <v>-4.56860078583561E-4</v>
      </c>
      <c r="G1749" s="2">
        <v>1</v>
      </c>
    </row>
    <row r="1750" spans="1:7" x14ac:dyDescent="0.2">
      <c r="A1750" s="2" t="s">
        <v>30</v>
      </c>
      <c r="B1750" s="14">
        <v>39692</v>
      </c>
      <c r="C1750" s="2">
        <v>-3.4163135594999998E-2</v>
      </c>
      <c r="D1750" s="2">
        <v>-1.5089201999999999E-4</v>
      </c>
      <c r="E1750" s="2">
        <v>1</v>
      </c>
      <c r="F1750" s="2">
        <v>-1.4810015541583399E-3</v>
      </c>
      <c r="G1750" s="2">
        <v>1</v>
      </c>
    </row>
    <row r="1751" spans="1:7" x14ac:dyDescent="0.2">
      <c r="A1751" s="2" t="s">
        <v>30</v>
      </c>
      <c r="B1751" s="14">
        <v>39722</v>
      </c>
      <c r="C1751" s="2">
        <v>-0.10172744721</v>
      </c>
      <c r="D1751" s="2">
        <v>0</v>
      </c>
      <c r="E1751" s="2">
        <v>1</v>
      </c>
      <c r="F1751" s="2">
        <v>-1.5098056754412001E-3</v>
      </c>
      <c r="G1751" s="2">
        <v>1</v>
      </c>
    </row>
    <row r="1752" spans="1:7" x14ac:dyDescent="0.2">
      <c r="A1752" s="2" t="s">
        <v>30</v>
      </c>
      <c r="B1752" s="14">
        <v>39753</v>
      </c>
      <c r="C1752" s="2">
        <v>-7.9365079373000004E-3</v>
      </c>
      <c r="D1752" s="2">
        <v>-2.7448107999999998E-4</v>
      </c>
      <c r="E1752" s="2">
        <v>1</v>
      </c>
      <c r="F1752" s="2">
        <v>-4.66229094895861E-3</v>
      </c>
      <c r="G1752" s="2">
        <v>1</v>
      </c>
    </row>
    <row r="1753" spans="1:7" x14ac:dyDescent="0.2">
      <c r="A1753" s="2" t="s">
        <v>30</v>
      </c>
      <c r="B1753" s="14">
        <v>39783</v>
      </c>
      <c r="C1753" s="2">
        <v>2.8923076922999998E-2</v>
      </c>
      <c r="D1753" s="19">
        <v>-4.8590566000000002E-5</v>
      </c>
      <c r="E1753" s="2">
        <v>1</v>
      </c>
      <c r="F1753" s="2">
        <v>-5.2648941868965E-3</v>
      </c>
      <c r="G1753" s="2">
        <v>1</v>
      </c>
    </row>
    <row r="1754" spans="1:7" x14ac:dyDescent="0.2">
      <c r="A1754" s="2" t="s">
        <v>31</v>
      </c>
      <c r="B1754" s="14">
        <v>37591</v>
      </c>
      <c r="C1754" s="2">
        <v>8.6730736951999995E-2</v>
      </c>
      <c r="D1754" s="19">
        <v>-4.8056368999999998E-5</v>
      </c>
      <c r="E1754" s="2">
        <v>1</v>
      </c>
      <c r="G1754" s="2">
        <v>1</v>
      </c>
    </row>
    <row r="1755" spans="1:7" x14ac:dyDescent="0.2">
      <c r="A1755" s="2" t="s">
        <v>31</v>
      </c>
      <c r="B1755" s="14">
        <v>37622</v>
      </c>
      <c r="C1755" s="2">
        <v>2.1943049289E-2</v>
      </c>
      <c r="D1755" s="2">
        <v>0</v>
      </c>
      <c r="E1755" s="2">
        <v>1</v>
      </c>
      <c r="G1755" s="2">
        <v>1</v>
      </c>
    </row>
    <row r="1756" spans="1:7" x14ac:dyDescent="0.2">
      <c r="A1756" s="2" t="s">
        <v>31</v>
      </c>
      <c r="B1756" s="14">
        <v>37653</v>
      </c>
      <c r="C1756" s="2">
        <v>-1.2987012988E-2</v>
      </c>
      <c r="D1756" s="19">
        <v>7.3029484999999995E-5</v>
      </c>
      <c r="E1756" s="2">
        <v>1</v>
      </c>
      <c r="G1756" s="2">
        <v>1</v>
      </c>
    </row>
    <row r="1757" spans="1:7" x14ac:dyDescent="0.2">
      <c r="A1757" s="2" t="s">
        <v>31</v>
      </c>
      <c r="B1757" s="14">
        <v>37681</v>
      </c>
      <c r="C1757" s="2">
        <v>5.2631578946999998E-2</v>
      </c>
      <c r="D1757" s="2">
        <v>0</v>
      </c>
      <c r="E1757" s="2">
        <v>1</v>
      </c>
      <c r="G1757" s="2">
        <v>1</v>
      </c>
    </row>
    <row r="1758" spans="1:7" x14ac:dyDescent="0.2">
      <c r="A1758" s="2" t="s">
        <v>31</v>
      </c>
      <c r="B1758" s="14">
        <v>37712</v>
      </c>
      <c r="C1758" s="2">
        <v>0.80833333333000001</v>
      </c>
      <c r="D1758" s="2">
        <v>-1.1401949000000001E-3</v>
      </c>
      <c r="E1758" s="2">
        <v>1</v>
      </c>
      <c r="G1758" s="2">
        <v>1</v>
      </c>
    </row>
    <row r="1759" spans="1:7" x14ac:dyDescent="0.2">
      <c r="A1759" s="2" t="s">
        <v>31</v>
      </c>
      <c r="B1759" s="14">
        <v>37742</v>
      </c>
      <c r="C1759" s="2">
        <v>0.15567960064</v>
      </c>
      <c r="D1759" s="2">
        <v>0</v>
      </c>
      <c r="E1759" s="2">
        <v>1</v>
      </c>
      <c r="G1759" s="2">
        <v>1</v>
      </c>
    </row>
    <row r="1760" spans="1:7" x14ac:dyDescent="0.2">
      <c r="A1760" s="2" t="s">
        <v>31</v>
      </c>
      <c r="B1760" s="14">
        <v>37773</v>
      </c>
      <c r="C1760" s="2">
        <v>-7.2580645161000004E-2</v>
      </c>
      <c r="D1760" s="2">
        <v>1.3719966E-4</v>
      </c>
      <c r="E1760" s="2">
        <v>1</v>
      </c>
      <c r="G1760" s="2">
        <v>1</v>
      </c>
    </row>
    <row r="1761" spans="1:7" x14ac:dyDescent="0.2">
      <c r="A1761" s="2" t="s">
        <v>31</v>
      </c>
      <c r="B1761" s="14">
        <v>37803</v>
      </c>
      <c r="C1761" s="2">
        <v>2.6086956521000002E-2</v>
      </c>
      <c r="D1761" s="2">
        <v>0</v>
      </c>
      <c r="E1761" s="2">
        <v>1</v>
      </c>
      <c r="G1761" s="2">
        <v>1</v>
      </c>
    </row>
    <row r="1762" spans="1:7" x14ac:dyDescent="0.2">
      <c r="A1762" s="2" t="s">
        <v>31</v>
      </c>
      <c r="B1762" s="14">
        <v>37834</v>
      </c>
      <c r="C1762" s="2">
        <v>2.5423728813999999E-2</v>
      </c>
      <c r="D1762" s="2">
        <v>6.6087698000000001E-4</v>
      </c>
      <c r="E1762" s="2">
        <v>1</v>
      </c>
      <c r="F1762" s="2">
        <v>6.4530556081679E-2</v>
      </c>
      <c r="G1762" s="2">
        <v>1</v>
      </c>
    </row>
    <row r="1763" spans="1:7" x14ac:dyDescent="0.2">
      <c r="A1763" s="2" t="s">
        <v>31</v>
      </c>
      <c r="B1763" s="14">
        <v>37865</v>
      </c>
      <c r="C1763" s="2">
        <v>-9.3570696571999997E-4</v>
      </c>
      <c r="D1763" s="2">
        <v>6.3324148999999998E-4</v>
      </c>
      <c r="E1763" s="2">
        <v>1</v>
      </c>
      <c r="F1763" s="2">
        <v>6.5216727386972706E-2</v>
      </c>
      <c r="G1763" s="2">
        <v>1</v>
      </c>
    </row>
    <row r="1764" spans="1:7" x14ac:dyDescent="0.2">
      <c r="A1764" s="2" t="s">
        <v>31</v>
      </c>
      <c r="B1764" s="14">
        <v>37895</v>
      </c>
      <c r="C1764" s="2">
        <v>8.3333333332000006E-2</v>
      </c>
      <c r="D1764" s="2">
        <v>6.7824783000000003E-4</v>
      </c>
      <c r="E1764" s="2">
        <v>1</v>
      </c>
      <c r="F1764" s="2">
        <v>6.34077255342856E-2</v>
      </c>
      <c r="G1764" s="2">
        <v>1</v>
      </c>
    </row>
    <row r="1765" spans="1:7" x14ac:dyDescent="0.2">
      <c r="A1765" s="2" t="s">
        <v>31</v>
      </c>
      <c r="B1765" s="14">
        <v>37926</v>
      </c>
      <c r="C1765" s="2">
        <v>-7.6923076921999997E-2</v>
      </c>
      <c r="D1765" s="2">
        <v>1.1666846000000001E-3</v>
      </c>
      <c r="E1765" s="2">
        <v>1</v>
      </c>
      <c r="F1765" s="2">
        <v>4.1995257002811898E-2</v>
      </c>
      <c r="G1765" s="2">
        <v>1</v>
      </c>
    </row>
    <row r="1766" spans="1:7" x14ac:dyDescent="0.2">
      <c r="A1766" s="2" t="s">
        <v>31</v>
      </c>
      <c r="B1766" s="14">
        <v>37956</v>
      </c>
      <c r="C1766" s="2">
        <v>-2.5000000001E-2</v>
      </c>
      <c r="D1766" s="2">
        <v>-1.4582381E-3</v>
      </c>
      <c r="E1766" s="2">
        <v>1</v>
      </c>
      <c r="F1766" s="2">
        <v>3.53345319296757E-2</v>
      </c>
      <c r="G1766" s="2">
        <v>1</v>
      </c>
    </row>
    <row r="1767" spans="1:7" x14ac:dyDescent="0.2">
      <c r="A1767" s="2" t="s">
        <v>31</v>
      </c>
      <c r="B1767" s="14">
        <v>37987</v>
      </c>
      <c r="C1767" s="2">
        <v>1.7094017095999999E-2</v>
      </c>
      <c r="E1767" s="2">
        <v>1</v>
      </c>
      <c r="F1767" s="2">
        <v>3.6596885805743697E-2</v>
      </c>
      <c r="G1767" s="2">
        <v>1</v>
      </c>
    </row>
    <row r="1768" spans="1:7" x14ac:dyDescent="0.2">
      <c r="A1768" s="2" t="s">
        <v>31</v>
      </c>
      <c r="B1768" s="14">
        <v>38018</v>
      </c>
      <c r="C1768" s="2">
        <v>-5.4621848740999998E-2</v>
      </c>
      <c r="E1768" s="2">
        <v>1</v>
      </c>
      <c r="F1768" s="2">
        <v>3.63006803397177E-2</v>
      </c>
      <c r="G1768" s="2">
        <v>1</v>
      </c>
    </row>
    <row r="1769" spans="1:7" x14ac:dyDescent="0.2">
      <c r="A1769" s="2" t="s">
        <v>31</v>
      </c>
      <c r="B1769" s="14">
        <v>38047</v>
      </c>
      <c r="C1769" s="2">
        <v>0.2</v>
      </c>
      <c r="D1769" s="2">
        <v>0</v>
      </c>
      <c r="E1769" s="2">
        <v>1</v>
      </c>
      <c r="F1769" s="2">
        <v>3.41497210476489E-2</v>
      </c>
      <c r="G1769" s="2">
        <v>1</v>
      </c>
    </row>
    <row r="1770" spans="1:7" x14ac:dyDescent="0.2">
      <c r="A1770" s="2" t="s">
        <v>31</v>
      </c>
      <c r="B1770" s="14">
        <v>38078</v>
      </c>
      <c r="C1770" s="2">
        <v>9.0192380454000007E-2</v>
      </c>
      <c r="D1770" s="19">
        <v>1.6755164E-5</v>
      </c>
      <c r="E1770" s="2">
        <v>1</v>
      </c>
      <c r="F1770" s="2">
        <v>3.9583911590007299E-2</v>
      </c>
      <c r="G1770" s="2">
        <v>1</v>
      </c>
    </row>
    <row r="1771" spans="1:7" x14ac:dyDescent="0.2">
      <c r="A1771" s="2" t="s">
        <v>31</v>
      </c>
      <c r="B1771" s="14">
        <v>38108</v>
      </c>
      <c r="C1771" s="2">
        <v>4.8275862069000003E-2</v>
      </c>
      <c r="D1771" s="2">
        <v>0</v>
      </c>
      <c r="E1771" s="2">
        <v>1</v>
      </c>
      <c r="F1771" s="2">
        <v>3.6731931250674699E-2</v>
      </c>
      <c r="G1771" s="2">
        <v>1</v>
      </c>
    </row>
    <row r="1772" spans="1:7" x14ac:dyDescent="0.2">
      <c r="A1772" s="2" t="s">
        <v>31</v>
      </c>
      <c r="B1772" s="14">
        <v>38139</v>
      </c>
      <c r="C1772" s="2">
        <v>-1.3157894737000001E-2</v>
      </c>
      <c r="D1772" s="2">
        <v>0</v>
      </c>
      <c r="E1772" s="2">
        <v>1</v>
      </c>
      <c r="F1772" s="2">
        <v>4.0075010109975398E-2</v>
      </c>
      <c r="G1772" s="2">
        <v>1</v>
      </c>
    </row>
    <row r="1773" spans="1:7" x14ac:dyDescent="0.2">
      <c r="A1773" s="2" t="s">
        <v>31</v>
      </c>
      <c r="B1773" s="14">
        <v>38169</v>
      </c>
      <c r="C1773" s="2">
        <v>1.3333333332E-2</v>
      </c>
      <c r="D1773" s="19">
        <v>7.0355731000000006E-5</v>
      </c>
      <c r="E1773" s="2">
        <v>1</v>
      </c>
      <c r="F1773" s="2">
        <v>4.0358392522419302E-2</v>
      </c>
      <c r="G1773" s="2">
        <v>1</v>
      </c>
    </row>
    <row r="1774" spans="1:7" x14ac:dyDescent="0.2">
      <c r="A1774" s="2" t="s">
        <v>31</v>
      </c>
      <c r="B1774" s="14">
        <v>38200</v>
      </c>
      <c r="C1774" s="2">
        <v>0.44736842105000002</v>
      </c>
      <c r="D1774" s="2">
        <v>5.8840159000000001E-3</v>
      </c>
      <c r="E1774" s="2">
        <v>1</v>
      </c>
      <c r="F1774" s="2">
        <v>2.6694101730739501E-2</v>
      </c>
      <c r="G1774" s="2">
        <v>1</v>
      </c>
    </row>
    <row r="1775" spans="1:7" x14ac:dyDescent="0.2">
      <c r="A1775" s="2" t="s">
        <v>31</v>
      </c>
      <c r="B1775" s="14">
        <v>38231</v>
      </c>
      <c r="C1775" s="2">
        <v>0.44086363635999998</v>
      </c>
      <c r="D1775" s="2">
        <v>7.5828837999999997E-3</v>
      </c>
      <c r="E1775" s="2">
        <v>1</v>
      </c>
      <c r="F1775" s="2">
        <v>4.1638224625368397E-2</v>
      </c>
      <c r="G1775" s="2">
        <v>1</v>
      </c>
    </row>
    <row r="1776" spans="1:7" x14ac:dyDescent="0.2">
      <c r="A1776" s="2" t="s">
        <v>31</v>
      </c>
      <c r="B1776" s="14">
        <v>38261</v>
      </c>
      <c r="C1776" s="2">
        <v>-7.2525947192000007E-2</v>
      </c>
      <c r="D1776" s="2">
        <v>5.0223819000000001E-3</v>
      </c>
      <c r="E1776" s="2">
        <v>1</v>
      </c>
      <c r="F1776" s="2">
        <v>4.8427620165118999E-2</v>
      </c>
      <c r="G1776" s="2">
        <v>1</v>
      </c>
    </row>
    <row r="1777" spans="1:7" x14ac:dyDescent="0.2">
      <c r="A1777" s="2" t="s">
        <v>31</v>
      </c>
      <c r="B1777" s="14">
        <v>38292</v>
      </c>
      <c r="C1777" s="2">
        <v>7.1995464851999993E-2</v>
      </c>
      <c r="D1777" s="2">
        <v>-4.4936482000000003E-3</v>
      </c>
      <c r="E1777" s="2">
        <v>1</v>
      </c>
      <c r="F1777" s="2">
        <v>4.4023388432465803E-2</v>
      </c>
      <c r="G1777" s="2">
        <v>1</v>
      </c>
    </row>
    <row r="1778" spans="1:7" x14ac:dyDescent="0.2">
      <c r="A1778" s="2" t="s">
        <v>31</v>
      </c>
      <c r="B1778" s="14">
        <v>38322</v>
      </c>
      <c r="C1778" s="2">
        <v>2.4193548387999999E-2</v>
      </c>
      <c r="D1778" s="2">
        <v>-3.0515607999999999E-3</v>
      </c>
      <c r="E1778" s="2">
        <v>1</v>
      </c>
      <c r="F1778" s="2">
        <v>4.4457449310055998E-2</v>
      </c>
      <c r="G1778" s="2">
        <v>1</v>
      </c>
    </row>
    <row r="1779" spans="1:7" x14ac:dyDescent="0.2">
      <c r="A1779" s="2" t="s">
        <v>31</v>
      </c>
      <c r="B1779" s="14">
        <v>38353</v>
      </c>
      <c r="C1779" s="2">
        <v>-8.0314960630000001E-2</v>
      </c>
      <c r="D1779" s="2">
        <v>-1.4252437000000001E-4</v>
      </c>
      <c r="E1779" s="2">
        <v>1</v>
      </c>
      <c r="F1779" s="2">
        <v>4.54349077350997E-2</v>
      </c>
      <c r="G1779" s="2">
        <v>1</v>
      </c>
    </row>
    <row r="1780" spans="1:7" x14ac:dyDescent="0.2">
      <c r="A1780" s="2" t="s">
        <v>31</v>
      </c>
      <c r="B1780" s="14">
        <v>38384</v>
      </c>
      <c r="C1780" s="2">
        <v>3.4246575342E-3</v>
      </c>
      <c r="D1780" s="2">
        <v>-4.0588944000000002E-4</v>
      </c>
      <c r="E1780" s="2">
        <v>1</v>
      </c>
      <c r="F1780" s="2">
        <v>4.3039576138404999E-2</v>
      </c>
      <c r="G1780" s="2">
        <v>1</v>
      </c>
    </row>
    <row r="1781" spans="1:7" x14ac:dyDescent="0.2">
      <c r="A1781" s="2" t="s">
        <v>31</v>
      </c>
      <c r="B1781" s="14">
        <v>38412</v>
      </c>
      <c r="C1781" s="2">
        <v>-0.14163822525</v>
      </c>
      <c r="D1781" s="2">
        <v>-6.3376594000000004E-4</v>
      </c>
      <c r="E1781" s="2">
        <v>1</v>
      </c>
      <c r="F1781" s="2">
        <v>3.01393265138553E-2</v>
      </c>
      <c r="G1781" s="2">
        <v>1</v>
      </c>
    </row>
    <row r="1782" spans="1:7" x14ac:dyDescent="0.2">
      <c r="A1782" s="2" t="s">
        <v>31</v>
      </c>
      <c r="B1782" s="14">
        <v>38443</v>
      </c>
      <c r="C1782" s="2">
        <v>-8.7721121838000002E-2</v>
      </c>
      <c r="D1782" s="2">
        <v>0</v>
      </c>
      <c r="E1782" s="2">
        <v>1</v>
      </c>
      <c r="F1782" s="2">
        <v>1.3831305741179E-2</v>
      </c>
      <c r="G1782" s="2">
        <v>1</v>
      </c>
    </row>
    <row r="1783" spans="1:7" x14ac:dyDescent="0.2">
      <c r="A1783" s="2" t="s">
        <v>31</v>
      </c>
      <c r="B1783" s="14">
        <v>38473</v>
      </c>
      <c r="C1783" s="2">
        <v>-0.11555555554999999</v>
      </c>
      <c r="D1783" s="2">
        <v>-1.5320058E-3</v>
      </c>
      <c r="E1783" s="2">
        <v>1</v>
      </c>
      <c r="F1783" s="2">
        <v>1.37425635722969E-2</v>
      </c>
      <c r="G1783" s="2">
        <v>1</v>
      </c>
    </row>
    <row r="1784" spans="1:7" x14ac:dyDescent="0.2">
      <c r="A1784" s="2" t="s">
        <v>31</v>
      </c>
      <c r="B1784" s="14">
        <v>38504</v>
      </c>
      <c r="C1784" s="2">
        <v>5.0251256270999996E-3</v>
      </c>
      <c r="D1784" s="2">
        <v>-3.2585547000000001E-3</v>
      </c>
      <c r="E1784" s="2">
        <v>1</v>
      </c>
      <c r="F1784" s="2">
        <v>8.7195863585065696E-3</v>
      </c>
      <c r="G1784" s="2">
        <v>1</v>
      </c>
    </row>
    <row r="1785" spans="1:7" x14ac:dyDescent="0.2">
      <c r="A1785" s="2" t="s">
        <v>31</v>
      </c>
      <c r="B1785" s="14">
        <v>38534</v>
      </c>
      <c r="C1785" s="2">
        <v>0.09</v>
      </c>
      <c r="D1785" s="2">
        <v>-7.6618763000000003E-3</v>
      </c>
      <c r="E1785" s="2">
        <v>1</v>
      </c>
      <c r="F1785" s="2">
        <v>8.1472570705131801E-3</v>
      </c>
      <c r="G1785" s="2">
        <v>1</v>
      </c>
    </row>
    <row r="1786" spans="1:7" x14ac:dyDescent="0.2">
      <c r="A1786" s="2" t="s">
        <v>31</v>
      </c>
      <c r="B1786" s="14">
        <v>38565</v>
      </c>
      <c r="C1786" s="2">
        <v>-6.6088829826000006E-2</v>
      </c>
      <c r="D1786" s="2">
        <v>0</v>
      </c>
      <c r="E1786" s="2">
        <v>1</v>
      </c>
      <c r="F1786" s="2">
        <v>-7.1821230355136598E-4</v>
      </c>
      <c r="G1786" s="2">
        <v>1</v>
      </c>
    </row>
    <row r="1787" spans="1:7" x14ac:dyDescent="0.2">
      <c r="A1787" s="2" t="s">
        <v>31</v>
      </c>
      <c r="B1787" s="14">
        <v>38596</v>
      </c>
      <c r="C1787" s="2">
        <v>1.9950000002E-2</v>
      </c>
      <c r="D1787" s="2">
        <v>0</v>
      </c>
      <c r="E1787" s="2">
        <v>1</v>
      </c>
      <c r="F1787" s="2">
        <v>-3.3383140316258502E-3</v>
      </c>
      <c r="G1787" s="2">
        <v>1</v>
      </c>
    </row>
    <row r="1788" spans="1:7" x14ac:dyDescent="0.2">
      <c r="A1788" s="2" t="s">
        <v>31</v>
      </c>
      <c r="B1788" s="14">
        <v>38626</v>
      </c>
      <c r="C1788" s="2">
        <v>-6.8581793225000007E-2</v>
      </c>
      <c r="D1788" s="19">
        <v>-4.5006344999999999E-5</v>
      </c>
      <c r="E1788" s="2">
        <v>1</v>
      </c>
      <c r="F1788" s="2">
        <v>-2.24287130977098E-4</v>
      </c>
      <c r="G1788" s="2">
        <v>1</v>
      </c>
    </row>
    <row r="1789" spans="1:7" x14ac:dyDescent="0.2">
      <c r="A1789" s="2" t="s">
        <v>31</v>
      </c>
      <c r="B1789" s="14">
        <v>38657</v>
      </c>
      <c r="C1789" s="2">
        <v>-9.4736842106000002E-2</v>
      </c>
      <c r="D1789" s="2">
        <v>0</v>
      </c>
      <c r="E1789" s="2">
        <v>1</v>
      </c>
      <c r="F1789" s="2">
        <v>4.8654927605020501E-4</v>
      </c>
      <c r="G1789" s="2">
        <v>1</v>
      </c>
    </row>
    <row r="1790" spans="1:7" x14ac:dyDescent="0.2">
      <c r="A1790" s="2" t="s">
        <v>31</v>
      </c>
      <c r="B1790" s="14">
        <v>38687</v>
      </c>
      <c r="C1790" s="2">
        <v>-0.12790697674000001</v>
      </c>
      <c r="D1790" s="2">
        <v>0</v>
      </c>
      <c r="E1790" s="2">
        <v>1</v>
      </c>
      <c r="F1790" s="2">
        <v>1.218253794813E-3</v>
      </c>
      <c r="G1790" s="2">
        <v>1</v>
      </c>
    </row>
    <row r="1791" spans="1:7" x14ac:dyDescent="0.2">
      <c r="A1791" s="2" t="s">
        <v>31</v>
      </c>
      <c r="B1791" s="14">
        <v>38718</v>
      </c>
      <c r="C1791" s="2">
        <v>3.0333333333999998E-2</v>
      </c>
      <c r="D1791" s="2">
        <v>0</v>
      </c>
      <c r="E1791" s="2">
        <v>1</v>
      </c>
      <c r="F1791" s="2">
        <v>-2.3002917792284698E-3</v>
      </c>
      <c r="G1791" s="2">
        <v>1</v>
      </c>
    </row>
    <row r="1792" spans="1:7" x14ac:dyDescent="0.2">
      <c r="A1792" s="2" t="s">
        <v>31</v>
      </c>
      <c r="B1792" s="14">
        <v>38749</v>
      </c>
      <c r="C1792" s="2">
        <v>3.5263668715000002E-2</v>
      </c>
      <c r="D1792" s="2">
        <v>0</v>
      </c>
      <c r="E1792" s="2">
        <v>1</v>
      </c>
      <c r="F1792" s="2">
        <v>-4.0244187736712296E-3</v>
      </c>
      <c r="G1792" s="2">
        <v>1</v>
      </c>
    </row>
    <row r="1793" spans="1:7" x14ac:dyDescent="0.2">
      <c r="A1793" s="2" t="s">
        <v>31</v>
      </c>
      <c r="B1793" s="14">
        <v>38777</v>
      </c>
      <c r="C1793" s="2">
        <v>0.3125</v>
      </c>
      <c r="D1793" s="19">
        <v>-5.5972169999999997E-5</v>
      </c>
      <c r="E1793" s="2">
        <v>1</v>
      </c>
      <c r="F1793" s="2">
        <v>-1.1285718912795999E-3</v>
      </c>
      <c r="G1793" s="2">
        <v>1</v>
      </c>
    </row>
    <row r="1794" spans="1:7" x14ac:dyDescent="0.2">
      <c r="A1794" s="2" t="s">
        <v>31</v>
      </c>
      <c r="B1794" s="14">
        <v>38808</v>
      </c>
      <c r="C1794" s="2">
        <v>6.3605023933999999E-2</v>
      </c>
      <c r="D1794" s="2">
        <v>0</v>
      </c>
      <c r="E1794" s="2">
        <v>1</v>
      </c>
      <c r="F1794" s="2">
        <v>7.5647029817576799E-3</v>
      </c>
      <c r="G1794" s="2">
        <v>1</v>
      </c>
    </row>
    <row r="1795" spans="1:7" x14ac:dyDescent="0.2">
      <c r="A1795" s="2" t="s">
        <v>31</v>
      </c>
      <c r="B1795" s="14">
        <v>38838</v>
      </c>
      <c r="C1795" s="2">
        <v>9.1324200911999994E-3</v>
      </c>
      <c r="D1795" s="2">
        <v>2.8943278999999999E-4</v>
      </c>
      <c r="E1795" s="2">
        <v>1</v>
      </c>
      <c r="F1795" s="2">
        <v>1.12611132641262E-2</v>
      </c>
      <c r="G1795" s="2">
        <v>1</v>
      </c>
    </row>
    <row r="1796" spans="1:7" x14ac:dyDescent="0.2">
      <c r="A1796" s="2" t="s">
        <v>31</v>
      </c>
      <c r="B1796" s="14">
        <v>38869</v>
      </c>
      <c r="C1796" s="2">
        <v>-6.7873303159999999E-3</v>
      </c>
      <c r="D1796" s="2">
        <v>-1.4193032000000001E-3</v>
      </c>
      <c r="E1796" s="2">
        <v>1</v>
      </c>
      <c r="F1796" s="2">
        <v>1.41228651292371E-2</v>
      </c>
      <c r="G1796" s="2">
        <v>1</v>
      </c>
    </row>
    <row r="1797" spans="1:7" x14ac:dyDescent="0.2">
      <c r="A1797" s="2" t="s">
        <v>31</v>
      </c>
      <c r="B1797" s="14">
        <v>38899</v>
      </c>
      <c r="C1797" s="2">
        <v>2.2779043284000002E-3</v>
      </c>
      <c r="D1797" s="2">
        <v>0</v>
      </c>
      <c r="E1797" s="2">
        <v>1</v>
      </c>
      <c r="F1797" s="2">
        <v>1.76407297750719E-2</v>
      </c>
      <c r="G1797" s="2">
        <v>1</v>
      </c>
    </row>
    <row r="1798" spans="1:7" x14ac:dyDescent="0.2">
      <c r="A1798" s="2" t="s">
        <v>31</v>
      </c>
      <c r="B1798" s="14">
        <v>38930</v>
      </c>
      <c r="C1798" s="2">
        <v>9.0909090908000006E-2</v>
      </c>
      <c r="D1798" s="2">
        <v>0</v>
      </c>
      <c r="E1798" s="2">
        <v>1</v>
      </c>
      <c r="F1798" s="2">
        <v>3.3797336580680203E-2</v>
      </c>
      <c r="G1798" s="2">
        <v>1</v>
      </c>
    </row>
    <row r="1799" spans="1:7" x14ac:dyDescent="0.2">
      <c r="A1799" s="2" t="s">
        <v>31</v>
      </c>
      <c r="B1799" s="14">
        <v>38961</v>
      </c>
      <c r="C1799" s="2">
        <v>4.1666666666000003E-2</v>
      </c>
      <c r="D1799" s="19">
        <v>1.3055233000000001E-6</v>
      </c>
      <c r="E1799" s="2">
        <v>1</v>
      </c>
      <c r="F1799" s="2">
        <v>3.5199332384491001E-2</v>
      </c>
      <c r="G1799" s="2">
        <v>1</v>
      </c>
    </row>
    <row r="1800" spans="1:7" x14ac:dyDescent="0.2">
      <c r="A1800" s="2" t="s">
        <v>31</v>
      </c>
      <c r="B1800" s="14">
        <v>38991</v>
      </c>
      <c r="C1800" s="2">
        <v>9.2605532426999995E-2</v>
      </c>
      <c r="D1800" s="2">
        <v>0</v>
      </c>
      <c r="E1800" s="2">
        <v>1</v>
      </c>
      <c r="F1800" s="2">
        <v>2.7284440913283602E-2</v>
      </c>
      <c r="G1800" s="2">
        <v>1</v>
      </c>
    </row>
    <row r="1801" spans="1:7" x14ac:dyDescent="0.2">
      <c r="A1801" s="2" t="s">
        <v>31</v>
      </c>
      <c r="B1801" s="14">
        <v>39022</v>
      </c>
      <c r="C1801" s="2">
        <v>-5.5772219885E-3</v>
      </c>
      <c r="D1801" s="2">
        <v>0</v>
      </c>
      <c r="E1801" s="2">
        <v>1</v>
      </c>
      <c r="F1801" s="2">
        <v>2.7900752091159001E-2</v>
      </c>
      <c r="G1801" s="2">
        <v>1</v>
      </c>
    </row>
    <row r="1802" spans="1:7" x14ac:dyDescent="0.2">
      <c r="A1802" s="2" t="s">
        <v>31</v>
      </c>
      <c r="B1802" s="14">
        <v>39052</v>
      </c>
      <c r="C1802" s="2">
        <v>6.8060836511000004E-3</v>
      </c>
      <c r="D1802" s="2">
        <v>5.4304030000000003E-2</v>
      </c>
      <c r="E1802" s="2">
        <v>1</v>
      </c>
      <c r="F1802" s="2">
        <v>2.74043561302705E-2</v>
      </c>
      <c r="G1802" s="2">
        <v>1</v>
      </c>
    </row>
    <row r="1803" spans="1:7" x14ac:dyDescent="0.2">
      <c r="A1803" s="2" t="s">
        <v>31</v>
      </c>
      <c r="B1803" s="14">
        <v>39083</v>
      </c>
      <c r="C1803" s="2">
        <v>0.13387967822999999</v>
      </c>
      <c r="D1803" s="2">
        <v>2.2803899000000002E-3</v>
      </c>
      <c r="E1803" s="2">
        <v>1</v>
      </c>
      <c r="F1803" s="2">
        <v>2.75135935361496E-2</v>
      </c>
      <c r="G1803" s="2">
        <v>1</v>
      </c>
    </row>
    <row r="1804" spans="1:7" x14ac:dyDescent="0.2">
      <c r="A1804" s="2" t="s">
        <v>31</v>
      </c>
      <c r="B1804" s="14">
        <v>39114</v>
      </c>
      <c r="C1804" s="2">
        <v>0.17508417507999999</v>
      </c>
      <c r="D1804" s="19">
        <v>8.0403697000000002E-5</v>
      </c>
      <c r="E1804" s="2">
        <v>1</v>
      </c>
      <c r="F1804" s="2">
        <v>3.1097562847895801E-2</v>
      </c>
      <c r="G1804" s="2">
        <v>1</v>
      </c>
    </row>
    <row r="1805" spans="1:7" x14ac:dyDescent="0.2">
      <c r="A1805" s="2" t="s">
        <v>31</v>
      </c>
      <c r="B1805" s="14">
        <v>39142</v>
      </c>
      <c r="C1805" s="2">
        <v>2.8653295129E-2</v>
      </c>
      <c r="D1805" s="2">
        <v>2.2170436999999999E-3</v>
      </c>
      <c r="E1805" s="2">
        <v>1</v>
      </c>
      <c r="F1805" s="2">
        <v>3.3251581591300997E-2</v>
      </c>
      <c r="G1805" s="2">
        <v>1</v>
      </c>
    </row>
    <row r="1806" spans="1:7" x14ac:dyDescent="0.2">
      <c r="A1806" s="2" t="s">
        <v>31</v>
      </c>
      <c r="B1806" s="14">
        <v>39173</v>
      </c>
      <c r="C1806" s="2">
        <v>0.16244581357000001</v>
      </c>
      <c r="D1806" s="2">
        <v>0</v>
      </c>
      <c r="E1806" s="2">
        <v>1</v>
      </c>
      <c r="F1806" s="2">
        <v>3.1632728597666297E-2</v>
      </c>
      <c r="G1806" s="2">
        <v>1</v>
      </c>
    </row>
    <row r="1807" spans="1:7" x14ac:dyDescent="0.2">
      <c r="A1807" s="2" t="s">
        <v>31</v>
      </c>
      <c r="B1807" s="14">
        <v>39203</v>
      </c>
      <c r="C1807" s="2">
        <v>-1.7114914424E-2</v>
      </c>
      <c r="D1807" s="2">
        <v>0</v>
      </c>
      <c r="E1807" s="2">
        <v>1</v>
      </c>
      <c r="F1807" s="2">
        <v>3.3502971899200401E-2</v>
      </c>
      <c r="G1807" s="2">
        <v>1</v>
      </c>
    </row>
    <row r="1808" spans="1:7" x14ac:dyDescent="0.2">
      <c r="A1808" s="2" t="s">
        <v>31</v>
      </c>
      <c r="B1808" s="14">
        <v>39234</v>
      </c>
      <c r="C1808" s="2">
        <v>6.9651741293000002E-2</v>
      </c>
      <c r="D1808" s="2">
        <v>0</v>
      </c>
      <c r="E1808" s="2">
        <v>1</v>
      </c>
      <c r="F1808" s="2">
        <v>3.3250539537801098E-2</v>
      </c>
      <c r="G1808" s="2">
        <v>1</v>
      </c>
    </row>
    <row r="1809" spans="1:7" x14ac:dyDescent="0.2">
      <c r="A1809" s="2" t="s">
        <v>31</v>
      </c>
      <c r="B1809" s="14">
        <v>39264</v>
      </c>
      <c r="C1809" s="2">
        <v>-3.6046511626999997E-2</v>
      </c>
      <c r="D1809" s="2">
        <v>0</v>
      </c>
      <c r="E1809" s="2">
        <v>1</v>
      </c>
      <c r="F1809" s="2">
        <v>3.48547204934994E-2</v>
      </c>
      <c r="G1809" s="2">
        <v>1</v>
      </c>
    </row>
    <row r="1810" spans="1:7" x14ac:dyDescent="0.2">
      <c r="A1810" s="2" t="s">
        <v>31</v>
      </c>
      <c r="B1810" s="14">
        <v>39295</v>
      </c>
      <c r="C1810" s="2">
        <v>-0.16235169516</v>
      </c>
      <c r="D1810" s="2">
        <v>0</v>
      </c>
      <c r="E1810" s="2">
        <v>1</v>
      </c>
      <c r="F1810" s="2">
        <v>3.1465049846809902E-2</v>
      </c>
      <c r="G1810" s="2">
        <v>1</v>
      </c>
    </row>
    <row r="1811" spans="1:7" x14ac:dyDescent="0.2">
      <c r="A1811" s="2" t="s">
        <v>31</v>
      </c>
      <c r="B1811" s="14">
        <v>39326</v>
      </c>
      <c r="C1811" s="2">
        <v>-0.10144927535999999</v>
      </c>
      <c r="D1811" s="2">
        <v>0</v>
      </c>
      <c r="E1811" s="2">
        <v>1</v>
      </c>
      <c r="F1811" s="2">
        <v>2.2587810891765599E-2</v>
      </c>
      <c r="G1811" s="2">
        <v>1</v>
      </c>
    </row>
    <row r="1812" spans="1:7" x14ac:dyDescent="0.2">
      <c r="A1812" s="2" t="s">
        <v>31</v>
      </c>
      <c r="B1812" s="14">
        <v>39356</v>
      </c>
      <c r="C1812" s="2">
        <v>-4.8387096774E-2</v>
      </c>
      <c r="D1812" s="2">
        <v>-4.6198512E-4</v>
      </c>
      <c r="E1812" s="2">
        <v>1</v>
      </c>
      <c r="F1812" s="2">
        <v>1.9231650255905099E-2</v>
      </c>
      <c r="G1812" s="2">
        <v>1</v>
      </c>
    </row>
    <row r="1813" spans="1:7" x14ac:dyDescent="0.2">
      <c r="A1813" s="2" t="s">
        <v>31</v>
      </c>
      <c r="B1813" s="14">
        <v>39387</v>
      </c>
      <c r="C1813" s="2">
        <v>-0.13559322033999999</v>
      </c>
      <c r="D1813" s="2">
        <v>-1.0754736000000001E-2</v>
      </c>
      <c r="E1813" s="2">
        <v>1</v>
      </c>
      <c r="F1813" s="2">
        <v>1.3255446208857199E-2</v>
      </c>
      <c r="G1813" s="2">
        <v>1</v>
      </c>
    </row>
    <row r="1814" spans="1:7" x14ac:dyDescent="0.2">
      <c r="A1814" s="2" t="s">
        <v>31</v>
      </c>
      <c r="B1814" s="14">
        <v>39417</v>
      </c>
      <c r="C1814" s="2">
        <v>-7.8431372548999997E-2</v>
      </c>
      <c r="D1814" s="2">
        <v>-4.1717263000000003E-3</v>
      </c>
      <c r="E1814" s="2">
        <v>1</v>
      </c>
      <c r="F1814" s="2">
        <v>1.03328296331001E-2</v>
      </c>
      <c r="G1814" s="2">
        <v>1</v>
      </c>
    </row>
    <row r="1815" spans="1:7" x14ac:dyDescent="0.2">
      <c r="A1815" s="2" t="s">
        <v>31</v>
      </c>
      <c r="B1815" s="14">
        <v>39448</v>
      </c>
      <c r="C1815" s="2">
        <v>-0.11751095038999999</v>
      </c>
      <c r="D1815" s="2">
        <v>7.7192140999999999E-3</v>
      </c>
      <c r="E1815" s="2">
        <v>1</v>
      </c>
      <c r="F1815" s="2">
        <v>6.28961654678008E-3</v>
      </c>
      <c r="G1815" s="2">
        <v>1</v>
      </c>
    </row>
    <row r="1816" spans="1:7" x14ac:dyDescent="0.2">
      <c r="A1816" s="2" t="s">
        <v>31</v>
      </c>
      <c r="B1816" s="14">
        <v>39479</v>
      </c>
      <c r="C1816" s="2">
        <v>0.26829268293000003</v>
      </c>
      <c r="D1816" s="2">
        <v>-7.7187204999999998E-3</v>
      </c>
      <c r="E1816" s="2">
        <v>1</v>
      </c>
      <c r="F1816" s="2">
        <v>4.1730935454618399E-3</v>
      </c>
      <c r="G1816" s="2">
        <v>1</v>
      </c>
    </row>
    <row r="1817" spans="1:7" x14ac:dyDescent="0.2">
      <c r="A1817" s="2" t="s">
        <v>31</v>
      </c>
      <c r="B1817" s="14">
        <v>39508</v>
      </c>
      <c r="C1817" s="2">
        <v>0</v>
      </c>
      <c r="D1817" s="2">
        <v>-2.6729514E-4</v>
      </c>
      <c r="E1817" s="2">
        <v>1</v>
      </c>
      <c r="F1817" s="2">
        <v>1.6391903302795101E-2</v>
      </c>
      <c r="G1817" s="2">
        <v>1</v>
      </c>
    </row>
    <row r="1818" spans="1:7" x14ac:dyDescent="0.2">
      <c r="A1818" s="2" t="s">
        <v>31</v>
      </c>
      <c r="B1818" s="14">
        <v>39539</v>
      </c>
      <c r="C1818" s="2">
        <v>0.24199270483999999</v>
      </c>
      <c r="D1818" s="2">
        <v>-7.2536047000000005E-4</v>
      </c>
      <c r="E1818" s="2">
        <v>1</v>
      </c>
      <c r="F1818" s="2">
        <v>1.93115854556613E-2</v>
      </c>
      <c r="G1818" s="2">
        <v>1</v>
      </c>
    </row>
    <row r="1819" spans="1:7" x14ac:dyDescent="0.2">
      <c r="A1819" s="2" t="s">
        <v>31</v>
      </c>
      <c r="B1819" s="14">
        <v>39569</v>
      </c>
      <c r="C1819" s="2">
        <v>-5.6250000000000001E-2</v>
      </c>
      <c r="D1819" s="2">
        <v>-1.4599361E-3</v>
      </c>
      <c r="E1819" s="2">
        <v>1</v>
      </c>
      <c r="F1819" s="2">
        <v>2.7447209550851601E-2</v>
      </c>
      <c r="G1819" s="2">
        <v>1</v>
      </c>
    </row>
    <row r="1820" spans="1:7" x14ac:dyDescent="0.2">
      <c r="A1820" s="2" t="s">
        <v>31</v>
      </c>
      <c r="B1820" s="14">
        <v>39600</v>
      </c>
      <c r="C1820" s="2">
        <v>-4.3046357617E-2</v>
      </c>
      <c r="D1820" s="2">
        <v>-4.7271457E-4</v>
      </c>
      <c r="E1820" s="2">
        <v>1</v>
      </c>
      <c r="F1820" s="2">
        <v>2.9883299585042499E-2</v>
      </c>
      <c r="G1820" s="2">
        <v>1</v>
      </c>
    </row>
    <row r="1821" spans="1:7" x14ac:dyDescent="0.2">
      <c r="A1821" s="2" t="s">
        <v>31</v>
      </c>
      <c r="B1821" s="14">
        <v>39630</v>
      </c>
      <c r="C1821" s="2">
        <v>-0.15440285032000001</v>
      </c>
      <c r="D1821" s="2">
        <v>-1.8949692E-4</v>
      </c>
      <c r="E1821" s="2">
        <v>1</v>
      </c>
      <c r="F1821" s="2">
        <v>3.0962791774464201E-2</v>
      </c>
      <c r="G1821" s="2">
        <v>1</v>
      </c>
    </row>
    <row r="1822" spans="1:7" x14ac:dyDescent="0.2">
      <c r="A1822" s="2" t="s">
        <v>31</v>
      </c>
      <c r="B1822" s="14">
        <v>39661</v>
      </c>
      <c r="C1822" s="2">
        <v>5.8091286307999999E-2</v>
      </c>
      <c r="D1822" s="19">
        <v>1.8946508000000001E-5</v>
      </c>
      <c r="E1822" s="2">
        <v>1</v>
      </c>
      <c r="F1822" s="2">
        <v>3.0165942858923399E-2</v>
      </c>
      <c r="G1822" s="2">
        <v>1</v>
      </c>
    </row>
    <row r="1823" spans="1:7" x14ac:dyDescent="0.2">
      <c r="A1823" s="2" t="s">
        <v>31</v>
      </c>
      <c r="B1823" s="14">
        <v>39692</v>
      </c>
      <c r="C1823" s="2">
        <v>-0.19568627451000001</v>
      </c>
      <c r="D1823" s="19">
        <v>-5.0987092000000003E-5</v>
      </c>
      <c r="E1823" s="2">
        <v>1</v>
      </c>
      <c r="F1823" s="2">
        <v>2.3887058820023E-2</v>
      </c>
      <c r="G1823" s="2">
        <v>1</v>
      </c>
    </row>
    <row r="1824" spans="1:7" x14ac:dyDescent="0.2">
      <c r="A1824" s="2" t="s">
        <v>31</v>
      </c>
      <c r="B1824" s="14">
        <v>39722</v>
      </c>
      <c r="C1824" s="2">
        <v>-0.17113603121000001</v>
      </c>
      <c r="D1824" s="2">
        <v>2.2736718999999999E-4</v>
      </c>
      <c r="E1824" s="2">
        <v>1</v>
      </c>
      <c r="F1824" s="2">
        <v>1.8876183671590399E-2</v>
      </c>
      <c r="G1824" s="2">
        <v>1</v>
      </c>
    </row>
    <row r="1825" spans="1:7" x14ac:dyDescent="0.2">
      <c r="A1825" s="2" t="s">
        <v>31</v>
      </c>
      <c r="B1825" s="14">
        <v>39753</v>
      </c>
      <c r="C1825" s="2">
        <v>-0.10588235293999999</v>
      </c>
      <c r="D1825" s="2">
        <v>0</v>
      </c>
      <c r="E1825" s="2">
        <v>1</v>
      </c>
      <c r="F1825" s="2">
        <v>7.4834847223829402E-3</v>
      </c>
      <c r="G1825" s="2">
        <v>1</v>
      </c>
    </row>
    <row r="1826" spans="1:7" x14ac:dyDescent="0.2">
      <c r="A1826" s="2" t="s">
        <v>31</v>
      </c>
      <c r="B1826" s="14">
        <v>39783</v>
      </c>
      <c r="C1826" s="2">
        <v>-0.17763157895000001</v>
      </c>
      <c r="D1826" s="2">
        <v>0</v>
      </c>
      <c r="E1826" s="2">
        <v>1</v>
      </c>
      <c r="F1826" s="2">
        <v>6.2741957744102796E-3</v>
      </c>
      <c r="G1826" s="2">
        <v>1</v>
      </c>
    </row>
    <row r="1827" spans="1:7" x14ac:dyDescent="0.2">
      <c r="A1827" s="2" t="s">
        <v>32</v>
      </c>
      <c r="B1827" s="14">
        <v>37591</v>
      </c>
      <c r="C1827" s="2">
        <v>2.4193548386000002E-2</v>
      </c>
      <c r="D1827" s="2">
        <v>4.7358501000000001E-4</v>
      </c>
      <c r="E1827" s="2">
        <v>1</v>
      </c>
      <c r="G1827" s="2">
        <v>1</v>
      </c>
    </row>
    <row r="1828" spans="1:7" x14ac:dyDescent="0.2">
      <c r="A1828" s="2" t="s">
        <v>32</v>
      </c>
      <c r="B1828" s="14">
        <v>37622</v>
      </c>
      <c r="C1828" s="2">
        <v>-2.4583663759999999E-2</v>
      </c>
      <c r="D1828" s="2">
        <v>1.36465E-3</v>
      </c>
      <c r="E1828" s="2">
        <v>1</v>
      </c>
      <c r="G1828" s="2">
        <v>1</v>
      </c>
    </row>
    <row r="1829" spans="1:7" x14ac:dyDescent="0.2">
      <c r="A1829" s="2" t="s">
        <v>32</v>
      </c>
      <c r="B1829" s="14">
        <v>37653</v>
      </c>
      <c r="C1829" s="2">
        <v>3.2536601246000003E-2</v>
      </c>
      <c r="D1829" s="2">
        <v>1.7463349999999999E-3</v>
      </c>
      <c r="E1829" s="2">
        <v>1</v>
      </c>
      <c r="G1829" s="2">
        <v>1</v>
      </c>
    </row>
    <row r="1830" spans="1:7" x14ac:dyDescent="0.2">
      <c r="A1830" s="2" t="s">
        <v>32</v>
      </c>
      <c r="B1830" s="14">
        <v>37681</v>
      </c>
      <c r="C1830" s="2">
        <v>5.8266798053000002E-2</v>
      </c>
      <c r="D1830" s="2">
        <v>1.54272E-3</v>
      </c>
      <c r="E1830" s="2">
        <v>1</v>
      </c>
      <c r="G1830" s="2">
        <v>1</v>
      </c>
    </row>
    <row r="1831" spans="1:7" x14ac:dyDescent="0.2">
      <c r="A1831" s="2" t="s">
        <v>32</v>
      </c>
      <c r="B1831" s="14">
        <v>37712</v>
      </c>
      <c r="C1831" s="2">
        <v>0.11903095053</v>
      </c>
      <c r="D1831" s="2">
        <v>-1.7299998999999999E-4</v>
      </c>
      <c r="E1831" s="2">
        <v>1</v>
      </c>
      <c r="G1831" s="2">
        <v>1</v>
      </c>
    </row>
    <row r="1832" spans="1:7" x14ac:dyDescent="0.2">
      <c r="A1832" s="2" t="s">
        <v>32</v>
      </c>
      <c r="B1832" s="14">
        <v>37742</v>
      </c>
      <c r="C1832" s="2">
        <v>-1.5273311897E-2</v>
      </c>
      <c r="D1832" s="19">
        <v>2.3374999999999999E-5</v>
      </c>
      <c r="E1832" s="2">
        <v>1</v>
      </c>
      <c r="G1832" s="2">
        <v>1</v>
      </c>
    </row>
    <row r="1833" spans="1:7" x14ac:dyDescent="0.2">
      <c r="A1833" s="2" t="s">
        <v>32</v>
      </c>
      <c r="B1833" s="14">
        <v>37773</v>
      </c>
      <c r="C1833" s="2">
        <v>4.7619047618000003E-2</v>
      </c>
      <c r="D1833" s="2">
        <v>1.74092E-3</v>
      </c>
      <c r="E1833" s="2">
        <v>1</v>
      </c>
      <c r="G1833" s="2">
        <v>1</v>
      </c>
    </row>
    <row r="1834" spans="1:7" x14ac:dyDescent="0.2">
      <c r="A1834" s="2" t="s">
        <v>32</v>
      </c>
      <c r="B1834" s="14">
        <v>37803</v>
      </c>
      <c r="C1834" s="2">
        <v>0.15584415584</v>
      </c>
      <c r="D1834" s="2">
        <v>2.0956198999999998E-3</v>
      </c>
      <c r="E1834" s="2">
        <v>1</v>
      </c>
      <c r="G1834" s="2">
        <v>1</v>
      </c>
    </row>
    <row r="1835" spans="1:7" x14ac:dyDescent="0.2">
      <c r="A1835" s="2" t="s">
        <v>32</v>
      </c>
      <c r="B1835" s="14">
        <v>37834</v>
      </c>
      <c r="C1835" s="2">
        <v>7.8651685393000006E-2</v>
      </c>
      <c r="D1835" s="2">
        <v>4.2247001E-4</v>
      </c>
      <c r="E1835" s="2">
        <v>1</v>
      </c>
      <c r="F1835" s="2">
        <v>4.1559796491939097E-2</v>
      </c>
      <c r="G1835" s="2">
        <v>1</v>
      </c>
    </row>
    <row r="1836" spans="1:7" x14ac:dyDescent="0.2">
      <c r="A1836" s="2" t="s">
        <v>32</v>
      </c>
      <c r="B1836" s="14">
        <v>37865</v>
      </c>
      <c r="C1836" s="2">
        <v>0.13445378151000001</v>
      </c>
      <c r="D1836" s="2">
        <v>4.5847902000000001E-3</v>
      </c>
      <c r="E1836" s="2">
        <v>1</v>
      </c>
      <c r="F1836" s="2">
        <v>4.2659438961790197E-2</v>
      </c>
      <c r="G1836" s="2">
        <v>1</v>
      </c>
    </row>
    <row r="1837" spans="1:7" x14ac:dyDescent="0.2">
      <c r="A1837" s="2" t="s">
        <v>32</v>
      </c>
      <c r="B1837" s="14">
        <v>37895</v>
      </c>
      <c r="C1837" s="2">
        <v>-2.9629629628999999E-2</v>
      </c>
      <c r="D1837" s="2">
        <v>6.1266348E-3</v>
      </c>
      <c r="E1837" s="2">
        <v>1</v>
      </c>
      <c r="F1837" s="2">
        <v>4.4603379222244298E-2</v>
      </c>
      <c r="G1837" s="2">
        <v>1</v>
      </c>
    </row>
    <row r="1838" spans="1:7" x14ac:dyDescent="0.2">
      <c r="A1838" s="2" t="s">
        <v>32</v>
      </c>
      <c r="B1838" s="14">
        <v>37926</v>
      </c>
      <c r="C1838" s="2">
        <v>2.0992366413000001E-2</v>
      </c>
      <c r="D1838" s="2">
        <v>8.3287002000000001E-4</v>
      </c>
      <c r="E1838" s="2">
        <v>1</v>
      </c>
      <c r="F1838" s="2">
        <v>4.0442223890972302E-2</v>
      </c>
      <c r="G1838" s="2">
        <v>1</v>
      </c>
    </row>
    <row r="1839" spans="1:7" x14ac:dyDescent="0.2">
      <c r="A1839" s="2" t="s">
        <v>32</v>
      </c>
      <c r="B1839" s="14">
        <v>37956</v>
      </c>
      <c r="C1839" s="2">
        <v>0.10747663551</v>
      </c>
      <c r="D1839" s="2">
        <v>2.3429149000000001E-3</v>
      </c>
      <c r="E1839" s="2">
        <v>1</v>
      </c>
      <c r="F1839" s="2">
        <v>4.1394561771039402E-2</v>
      </c>
      <c r="G1839" s="2">
        <v>1</v>
      </c>
    </row>
    <row r="1840" spans="1:7" x14ac:dyDescent="0.2">
      <c r="A1840" s="2" t="s">
        <v>32</v>
      </c>
      <c r="B1840" s="14">
        <v>37987</v>
      </c>
      <c r="C1840" s="2">
        <v>-7.3916737467999996E-2</v>
      </c>
      <c r="E1840" s="2">
        <v>1</v>
      </c>
      <c r="F1840" s="2">
        <v>4.2873514168880897E-2</v>
      </c>
      <c r="G1840" s="2">
        <v>1</v>
      </c>
    </row>
    <row r="1841" spans="1:7" x14ac:dyDescent="0.2">
      <c r="A1841" s="2" t="s">
        <v>32</v>
      </c>
      <c r="B1841" s="14">
        <v>38018</v>
      </c>
      <c r="C1841" s="2">
        <v>7.3394495414000005E-2</v>
      </c>
      <c r="E1841" s="2">
        <v>1</v>
      </c>
      <c r="F1841" s="2">
        <v>3.6556983493535401E-2</v>
      </c>
      <c r="G1841" s="2">
        <v>1</v>
      </c>
    </row>
    <row r="1842" spans="1:7" x14ac:dyDescent="0.2">
      <c r="A1842" s="2" t="s">
        <v>32</v>
      </c>
      <c r="B1842" s="14">
        <v>38047</v>
      </c>
      <c r="C1842" s="2">
        <v>8.1196581197000003E-2</v>
      </c>
      <c r="D1842" s="2">
        <v>9.9339499000000004E-4</v>
      </c>
      <c r="E1842" s="2">
        <v>1</v>
      </c>
      <c r="F1842" s="2">
        <v>3.6242239553629797E-2</v>
      </c>
      <c r="G1842" s="2">
        <v>1</v>
      </c>
    </row>
    <row r="1843" spans="1:7" x14ac:dyDescent="0.2">
      <c r="A1843" s="2" t="s">
        <v>32</v>
      </c>
      <c r="B1843" s="14">
        <v>38078</v>
      </c>
      <c r="C1843" s="2">
        <v>-6.7984189723999999E-2</v>
      </c>
      <c r="D1843" s="2">
        <v>1.169745E-3</v>
      </c>
      <c r="E1843" s="2">
        <v>1</v>
      </c>
      <c r="F1843" s="2">
        <v>3.4532854477299299E-2</v>
      </c>
      <c r="G1843" s="2">
        <v>1</v>
      </c>
    </row>
    <row r="1844" spans="1:7" x14ac:dyDescent="0.2">
      <c r="A1844" s="2" t="s">
        <v>32</v>
      </c>
      <c r="B1844" s="14">
        <v>38108</v>
      </c>
      <c r="C1844" s="2">
        <v>-8.5197287644000003E-2</v>
      </c>
      <c r="D1844" s="2">
        <v>2.4796501000000002E-4</v>
      </c>
      <c r="E1844" s="2">
        <v>1</v>
      </c>
      <c r="F1844" s="2">
        <v>3.3693428246024303E-2</v>
      </c>
      <c r="G1844" s="2">
        <v>1</v>
      </c>
    </row>
    <row r="1845" spans="1:7" x14ac:dyDescent="0.2">
      <c r="A1845" s="2" t="s">
        <v>32</v>
      </c>
      <c r="B1845" s="14">
        <v>38139</v>
      </c>
      <c r="C1845" s="2">
        <v>8.4579439253999994E-2</v>
      </c>
      <c r="D1845" s="2">
        <v>3.4627999000000001E-4</v>
      </c>
      <c r="E1845" s="2">
        <v>1</v>
      </c>
      <c r="F1845" s="2">
        <v>3.0980479867526799E-2</v>
      </c>
      <c r="G1845" s="2">
        <v>1</v>
      </c>
    </row>
    <row r="1846" spans="1:7" x14ac:dyDescent="0.2">
      <c r="A1846" s="2" t="s">
        <v>32</v>
      </c>
      <c r="B1846" s="14">
        <v>38169</v>
      </c>
      <c r="C1846" s="2">
        <v>9.0047393365000006E-2</v>
      </c>
      <c r="D1846" s="2">
        <v>5.5772503000000001E-4</v>
      </c>
      <c r="E1846" s="2">
        <v>1</v>
      </c>
      <c r="F1846" s="2">
        <v>3.01549611707876E-2</v>
      </c>
      <c r="G1846" s="2">
        <v>1</v>
      </c>
    </row>
    <row r="1847" spans="1:7" x14ac:dyDescent="0.2">
      <c r="A1847" s="2" t="s">
        <v>32</v>
      </c>
      <c r="B1847" s="14">
        <v>38200</v>
      </c>
      <c r="C1847" s="2">
        <v>5.0752702657E-2</v>
      </c>
      <c r="D1847" s="2">
        <v>7.0948997999999998E-4</v>
      </c>
      <c r="E1847" s="2">
        <v>1</v>
      </c>
      <c r="F1847" s="2">
        <v>2.3262194448340798E-2</v>
      </c>
      <c r="G1847" s="2">
        <v>1</v>
      </c>
    </row>
    <row r="1848" spans="1:7" x14ac:dyDescent="0.2">
      <c r="A1848" s="2" t="s">
        <v>32</v>
      </c>
      <c r="B1848" s="14">
        <v>38231</v>
      </c>
      <c r="C1848" s="2">
        <v>-3.7803030303000001E-2</v>
      </c>
      <c r="D1848" s="2">
        <v>1.1325650000000001E-3</v>
      </c>
      <c r="E1848" s="2">
        <v>1</v>
      </c>
      <c r="F1848" s="2">
        <v>2.2492069540424299E-2</v>
      </c>
      <c r="G1848" s="2">
        <v>1</v>
      </c>
    </row>
    <row r="1849" spans="1:7" x14ac:dyDescent="0.2">
      <c r="A1849" s="2" t="s">
        <v>32</v>
      </c>
      <c r="B1849" s="14">
        <v>38261</v>
      </c>
      <c r="C1849" s="2">
        <v>7.7946618384999999E-3</v>
      </c>
      <c r="D1849" s="2">
        <v>7.4983498999999995E-4</v>
      </c>
      <c r="E1849" s="2">
        <v>1</v>
      </c>
      <c r="F1849" s="2">
        <v>1.90502980310806E-2</v>
      </c>
      <c r="G1849" s="2">
        <v>1</v>
      </c>
    </row>
    <row r="1850" spans="1:7" x14ac:dyDescent="0.2">
      <c r="A1850" s="2" t="s">
        <v>32</v>
      </c>
      <c r="B1850" s="14">
        <v>38292</v>
      </c>
      <c r="C1850" s="2">
        <v>5.4609375000000002E-2</v>
      </c>
      <c r="D1850" s="19">
        <v>-7.1014998000000005E-5</v>
      </c>
      <c r="E1850" s="2">
        <v>1</v>
      </c>
      <c r="F1850" s="2">
        <v>2.1194989785611299E-2</v>
      </c>
      <c r="G1850" s="2">
        <v>1</v>
      </c>
    </row>
    <row r="1851" spans="1:7" x14ac:dyDescent="0.2">
      <c r="A1851" s="2" t="s">
        <v>32</v>
      </c>
      <c r="B1851" s="14">
        <v>38322</v>
      </c>
      <c r="C1851" s="2">
        <v>-2.2149788874000001E-2</v>
      </c>
      <c r="D1851" s="2">
        <v>2.00225E-4</v>
      </c>
      <c r="E1851" s="2">
        <v>1</v>
      </c>
      <c r="F1851" s="2">
        <v>2.5125562936051001E-2</v>
      </c>
      <c r="G1851" s="2">
        <v>1</v>
      </c>
    </row>
    <row r="1852" spans="1:7" x14ac:dyDescent="0.2">
      <c r="A1852" s="2" t="s">
        <v>32</v>
      </c>
      <c r="B1852" s="14">
        <v>38353</v>
      </c>
      <c r="C1852" s="2">
        <v>-3.2874617736999998E-2</v>
      </c>
      <c r="D1852" s="2">
        <v>3.1514500999999998E-4</v>
      </c>
      <c r="E1852" s="2">
        <v>1</v>
      </c>
      <c r="F1852" s="2">
        <v>2.2036605301130999E-2</v>
      </c>
      <c r="G1852" s="2">
        <v>1</v>
      </c>
    </row>
    <row r="1853" spans="1:7" x14ac:dyDescent="0.2">
      <c r="A1853" s="2" t="s">
        <v>32</v>
      </c>
      <c r="B1853" s="14">
        <v>38384</v>
      </c>
      <c r="C1853" s="2">
        <v>4.7430830039999997E-2</v>
      </c>
      <c r="D1853" s="2">
        <v>-2.2345500000000001E-4</v>
      </c>
      <c r="E1853" s="2">
        <v>1</v>
      </c>
      <c r="F1853" s="2">
        <v>1.84887725826882E-2</v>
      </c>
      <c r="G1853" s="2">
        <v>1</v>
      </c>
    </row>
    <row r="1854" spans="1:7" x14ac:dyDescent="0.2">
      <c r="A1854" s="2" t="s">
        <v>32</v>
      </c>
      <c r="B1854" s="14">
        <v>38412</v>
      </c>
      <c r="C1854" s="2">
        <v>5.2830188679000002E-2</v>
      </c>
      <c r="D1854" s="2">
        <v>-8.9894002000000001E-4</v>
      </c>
      <c r="E1854" s="2">
        <v>1</v>
      </c>
      <c r="F1854" s="2">
        <v>1.8255577007130701E-2</v>
      </c>
      <c r="G1854" s="2">
        <v>1</v>
      </c>
    </row>
    <row r="1855" spans="1:7" x14ac:dyDescent="0.2">
      <c r="A1855" s="2" t="s">
        <v>32</v>
      </c>
      <c r="B1855" s="14">
        <v>38443</v>
      </c>
      <c r="C1855" s="2">
        <v>-5.3763440859999997E-2</v>
      </c>
      <c r="D1855" s="2">
        <v>-3.1804499999999998E-4</v>
      </c>
      <c r="E1855" s="2">
        <v>1</v>
      </c>
      <c r="F1855" s="2">
        <v>2.0713989935384401E-2</v>
      </c>
      <c r="G1855" s="2">
        <v>1</v>
      </c>
    </row>
    <row r="1856" spans="1:7" x14ac:dyDescent="0.2">
      <c r="A1856" s="2" t="s">
        <v>32</v>
      </c>
      <c r="B1856" s="14">
        <v>38473</v>
      </c>
      <c r="C1856" s="2">
        <v>-2.8460041718000002E-2</v>
      </c>
      <c r="D1856" s="2">
        <v>-2.7179999999999999E-4</v>
      </c>
      <c r="E1856" s="2">
        <v>1</v>
      </c>
      <c r="F1856" s="2">
        <v>1.90310705205116E-2</v>
      </c>
      <c r="G1856" s="2">
        <v>1</v>
      </c>
    </row>
    <row r="1857" spans="1:7" x14ac:dyDescent="0.2">
      <c r="A1857" s="2" t="s">
        <v>32</v>
      </c>
      <c r="B1857" s="14">
        <v>38504</v>
      </c>
      <c r="C1857" s="2">
        <v>5.9055118109E-2</v>
      </c>
      <c r="D1857" s="2">
        <v>4.6547499000000001E-4</v>
      </c>
      <c r="E1857" s="2">
        <v>1</v>
      </c>
      <c r="F1857" s="2">
        <v>1.6591186659447501E-2</v>
      </c>
      <c r="G1857" s="2">
        <v>1</v>
      </c>
    </row>
    <row r="1858" spans="1:7" x14ac:dyDescent="0.2">
      <c r="A1858" s="2" t="s">
        <v>32</v>
      </c>
      <c r="B1858" s="14">
        <v>38534</v>
      </c>
      <c r="C1858" s="2">
        <v>1.8587360595000001E-2</v>
      </c>
      <c r="D1858" s="19">
        <v>-5.8875000999999997E-5</v>
      </c>
      <c r="E1858" s="2">
        <v>1</v>
      </c>
      <c r="F1858" s="2">
        <v>1.8758707677176901E-2</v>
      </c>
      <c r="G1858" s="2">
        <v>1</v>
      </c>
    </row>
    <row r="1859" spans="1:7" x14ac:dyDescent="0.2">
      <c r="A1859" s="2" t="s">
        <v>32</v>
      </c>
      <c r="B1859" s="14">
        <v>38565</v>
      </c>
      <c r="C1859" s="2">
        <v>-1.5401459854E-2</v>
      </c>
      <c r="D1859" s="2">
        <v>6.9932499999999999E-4</v>
      </c>
      <c r="E1859" s="2">
        <v>1</v>
      </c>
      <c r="F1859" s="2">
        <v>1.9922650621331601E-2</v>
      </c>
      <c r="G1859" s="2">
        <v>1</v>
      </c>
    </row>
    <row r="1860" spans="1:7" x14ac:dyDescent="0.2">
      <c r="A1860" s="2" t="s">
        <v>32</v>
      </c>
      <c r="B1860" s="14">
        <v>38596</v>
      </c>
      <c r="C1860" s="2">
        <v>0.12700005051999999</v>
      </c>
      <c r="D1860" s="2">
        <v>1.3284500000000001E-4</v>
      </c>
      <c r="E1860" s="2">
        <v>1</v>
      </c>
      <c r="F1860" s="2">
        <v>1.8113767798711301E-2</v>
      </c>
      <c r="G1860" s="2">
        <v>1</v>
      </c>
    </row>
    <row r="1861" spans="1:7" x14ac:dyDescent="0.2">
      <c r="A1861" s="2" t="s">
        <v>32</v>
      </c>
      <c r="B1861" s="14">
        <v>38626</v>
      </c>
      <c r="C1861" s="2">
        <v>-5.2980132451E-2</v>
      </c>
      <c r="D1861" s="2">
        <v>-1.0655549999999999E-3</v>
      </c>
      <c r="E1861" s="2">
        <v>1</v>
      </c>
      <c r="F1861" s="2">
        <v>2.0202317848889199E-2</v>
      </c>
      <c r="G1861" s="2">
        <v>1</v>
      </c>
    </row>
    <row r="1862" spans="1:7" x14ac:dyDescent="0.2">
      <c r="A1862" s="2" t="s">
        <v>32</v>
      </c>
      <c r="B1862" s="14">
        <v>38657</v>
      </c>
      <c r="C1862" s="2">
        <v>-8.0349650349999996E-2</v>
      </c>
      <c r="D1862" s="2">
        <v>-7.0740498000000001E-4</v>
      </c>
      <c r="E1862" s="2">
        <v>1</v>
      </c>
      <c r="F1862" s="2">
        <v>2.0421656674925098E-2</v>
      </c>
      <c r="G1862" s="2">
        <v>1</v>
      </c>
    </row>
    <row r="1863" spans="1:7" x14ac:dyDescent="0.2">
      <c r="A1863" s="2" t="s">
        <v>32</v>
      </c>
      <c r="B1863" s="14">
        <v>38687</v>
      </c>
      <c r="C1863" s="2">
        <v>-2.7561704921000001E-2</v>
      </c>
      <c r="D1863" s="2">
        <v>1.1776E-3</v>
      </c>
      <c r="E1863" s="2">
        <v>1</v>
      </c>
      <c r="F1863" s="2">
        <v>1.91926630151299E-2</v>
      </c>
      <c r="G1863" s="2">
        <v>1</v>
      </c>
    </row>
    <row r="1864" spans="1:7" x14ac:dyDescent="0.2">
      <c r="A1864" s="2" t="s">
        <v>32</v>
      </c>
      <c r="B1864" s="14">
        <v>38718</v>
      </c>
      <c r="C1864" s="2">
        <v>4.7244094489000001E-2</v>
      </c>
      <c r="D1864" s="2">
        <v>3.1013001E-4</v>
      </c>
      <c r="E1864" s="2">
        <v>1</v>
      </c>
      <c r="F1864" s="2">
        <v>1.6773638197026701E-2</v>
      </c>
      <c r="G1864" s="2">
        <v>1</v>
      </c>
    </row>
    <row r="1865" spans="1:7" x14ac:dyDescent="0.2">
      <c r="A1865" s="2" t="s">
        <v>32</v>
      </c>
      <c r="B1865" s="14">
        <v>38749</v>
      </c>
      <c r="C1865" s="2">
        <v>5.8421052632000002E-2</v>
      </c>
      <c r="D1865" s="2">
        <v>-1.3785499E-4</v>
      </c>
      <c r="E1865" s="2">
        <v>1</v>
      </c>
      <c r="F1865" s="2">
        <v>1.75026702892144E-2</v>
      </c>
      <c r="G1865" s="2">
        <v>1</v>
      </c>
    </row>
    <row r="1866" spans="1:7" x14ac:dyDescent="0.2">
      <c r="A1866" s="2" t="s">
        <v>32</v>
      </c>
      <c r="B1866" s="14">
        <v>38777</v>
      </c>
      <c r="C1866" s="2">
        <v>7.9775520350999996E-2</v>
      </c>
      <c r="D1866" s="2">
        <v>2.8281999000000002E-4</v>
      </c>
      <c r="E1866" s="2">
        <v>1</v>
      </c>
      <c r="F1866" s="2">
        <v>1.9519990679971198E-2</v>
      </c>
      <c r="G1866" s="2">
        <v>1</v>
      </c>
    </row>
    <row r="1867" spans="1:7" x14ac:dyDescent="0.2">
      <c r="A1867" s="2" t="s">
        <v>32</v>
      </c>
      <c r="B1867" s="14">
        <v>38808</v>
      </c>
      <c r="C1867" s="2">
        <v>-3.2828947368000003E-2</v>
      </c>
      <c r="D1867" s="19">
        <v>5.3060001E-5</v>
      </c>
      <c r="E1867" s="2">
        <v>1</v>
      </c>
      <c r="F1867" s="2">
        <v>1.80224928761125E-2</v>
      </c>
      <c r="G1867" s="2">
        <v>1</v>
      </c>
    </row>
    <row r="1868" spans="1:7" x14ac:dyDescent="0.2">
      <c r="A1868" s="2" t="s">
        <v>32</v>
      </c>
      <c r="B1868" s="14">
        <v>38838</v>
      </c>
      <c r="C1868" s="2">
        <v>-4.0810614822999997E-2</v>
      </c>
      <c r="D1868" s="2">
        <v>2.8611001000000002E-4</v>
      </c>
      <c r="E1868" s="2">
        <v>1</v>
      </c>
      <c r="F1868" s="2">
        <v>1.8649290054676901E-2</v>
      </c>
      <c r="G1868" s="2">
        <v>1</v>
      </c>
    </row>
    <row r="1869" spans="1:7" x14ac:dyDescent="0.2">
      <c r="A1869" s="2" t="s">
        <v>32</v>
      </c>
      <c r="B1869" s="14">
        <v>38869</v>
      </c>
      <c r="C1869" s="2">
        <v>5.0494978990000002E-2</v>
      </c>
      <c r="D1869" s="2">
        <v>-5.3176999999999999E-4</v>
      </c>
      <c r="E1869" s="2">
        <v>1</v>
      </c>
      <c r="F1869" s="2">
        <v>1.9911908685389099E-2</v>
      </c>
      <c r="G1869" s="2">
        <v>1</v>
      </c>
    </row>
    <row r="1870" spans="1:7" x14ac:dyDescent="0.2">
      <c r="A1870" s="2" t="s">
        <v>32</v>
      </c>
      <c r="B1870" s="14">
        <v>38899</v>
      </c>
      <c r="C1870" s="2">
        <v>1.254237288E-2</v>
      </c>
      <c r="D1870" s="2">
        <v>7.2662002999999997E-4</v>
      </c>
      <c r="E1870" s="2">
        <v>1</v>
      </c>
      <c r="F1870" s="2">
        <v>2.2044815484833301E-2</v>
      </c>
      <c r="G1870" s="2">
        <v>1</v>
      </c>
    </row>
    <row r="1871" spans="1:7" x14ac:dyDescent="0.2">
      <c r="A1871" s="2" t="s">
        <v>32</v>
      </c>
      <c r="B1871" s="14">
        <v>38930</v>
      </c>
      <c r="C1871" s="2">
        <v>5.4580590313000003E-3</v>
      </c>
      <c r="D1871" s="2">
        <v>1.083355E-3</v>
      </c>
      <c r="E1871" s="2">
        <v>1</v>
      </c>
      <c r="F1871" s="2">
        <v>2.2720423183168401E-2</v>
      </c>
      <c r="G1871" s="2">
        <v>1</v>
      </c>
    </row>
    <row r="1872" spans="1:7" x14ac:dyDescent="0.2">
      <c r="A1872" s="2" t="s">
        <v>32</v>
      </c>
      <c r="B1872" s="14">
        <v>38961</v>
      </c>
      <c r="C1872" s="2">
        <v>3.1906354515999998E-2</v>
      </c>
      <c r="D1872" s="2">
        <v>5.8573502000000002E-4</v>
      </c>
      <c r="E1872" s="2">
        <v>1</v>
      </c>
      <c r="F1872" s="2">
        <v>2.1178643742764101E-2</v>
      </c>
      <c r="G1872" s="2">
        <v>1</v>
      </c>
    </row>
    <row r="1873" spans="1:7" x14ac:dyDescent="0.2">
      <c r="A1873" s="2" t="s">
        <v>32</v>
      </c>
      <c r="B1873" s="14">
        <v>38991</v>
      </c>
      <c r="C1873" s="2">
        <v>6.3136060152999995E-2</v>
      </c>
      <c r="D1873" s="2">
        <v>6.4590998000000005E-4</v>
      </c>
      <c r="E1873" s="2">
        <v>1</v>
      </c>
      <c r="F1873" s="2">
        <v>1.9518969820523702E-2</v>
      </c>
      <c r="G1873" s="2">
        <v>1</v>
      </c>
    </row>
    <row r="1874" spans="1:7" x14ac:dyDescent="0.2">
      <c r="A1874" s="2" t="s">
        <v>32</v>
      </c>
      <c r="B1874" s="14">
        <v>39022</v>
      </c>
      <c r="C1874" s="2">
        <v>0.10054264983</v>
      </c>
      <c r="D1874" s="2">
        <v>2.1564599999999998E-3</v>
      </c>
      <c r="E1874" s="2">
        <v>1</v>
      </c>
      <c r="F1874" s="2">
        <v>2.2136317595599499E-2</v>
      </c>
      <c r="G1874" s="2">
        <v>1</v>
      </c>
    </row>
    <row r="1875" spans="1:7" x14ac:dyDescent="0.2">
      <c r="A1875" s="2" t="s">
        <v>32</v>
      </c>
      <c r="B1875" s="14">
        <v>39052</v>
      </c>
      <c r="C1875" s="2">
        <v>-8.3656509695999998E-3</v>
      </c>
      <c r="D1875" s="2">
        <v>1.5812650000000001E-3</v>
      </c>
      <c r="E1875" s="2">
        <v>1</v>
      </c>
      <c r="F1875" s="2">
        <v>2.5928917751671901E-2</v>
      </c>
      <c r="G1875" s="2">
        <v>1</v>
      </c>
    </row>
    <row r="1876" spans="1:7" x14ac:dyDescent="0.2">
      <c r="A1876" s="2" t="s">
        <v>32</v>
      </c>
      <c r="B1876" s="14">
        <v>39083</v>
      </c>
      <c r="C1876" s="2">
        <v>2.0558630242000001E-2</v>
      </c>
      <c r="D1876" s="2">
        <v>5.4642999999999998E-4</v>
      </c>
      <c r="E1876" s="2">
        <v>1</v>
      </c>
      <c r="F1876" s="2">
        <v>2.4212811605929599E-2</v>
      </c>
      <c r="G1876" s="2">
        <v>1</v>
      </c>
    </row>
    <row r="1877" spans="1:7" x14ac:dyDescent="0.2">
      <c r="A1877" s="2" t="s">
        <v>32</v>
      </c>
      <c r="B1877" s="14">
        <v>39114</v>
      </c>
      <c r="C1877" s="2">
        <v>-4.6648351647999999E-2</v>
      </c>
      <c r="D1877" s="2">
        <v>-1.2487399999999999E-3</v>
      </c>
      <c r="E1877" s="2">
        <v>1</v>
      </c>
      <c r="F1877" s="2">
        <v>2.4401934911199699E-2</v>
      </c>
      <c r="G1877" s="2">
        <v>1</v>
      </c>
    </row>
    <row r="1878" spans="1:7" x14ac:dyDescent="0.2">
      <c r="A1878" s="2" t="s">
        <v>32</v>
      </c>
      <c r="B1878" s="14">
        <v>39142</v>
      </c>
      <c r="C1878" s="2">
        <v>8.5874013020999992E-3</v>
      </c>
      <c r="D1878" s="2">
        <v>-8.4097998000000004E-4</v>
      </c>
      <c r="E1878" s="2">
        <v>1</v>
      </c>
      <c r="F1878" s="2">
        <v>2.3076145812775499E-2</v>
      </c>
      <c r="G1878" s="2">
        <v>1</v>
      </c>
    </row>
    <row r="1879" spans="1:7" x14ac:dyDescent="0.2">
      <c r="A1879" s="2" t="s">
        <v>32</v>
      </c>
      <c r="B1879" s="14">
        <v>39173</v>
      </c>
      <c r="C1879" s="2">
        <v>7.5657142856999995E-2</v>
      </c>
      <c r="D1879" s="2">
        <v>-3.6507499000000001E-4</v>
      </c>
      <c r="E1879" s="2">
        <v>1</v>
      </c>
      <c r="F1879" s="2">
        <v>2.2310047754078001E-2</v>
      </c>
      <c r="G1879" s="2">
        <v>1</v>
      </c>
    </row>
    <row r="1880" spans="1:7" x14ac:dyDescent="0.2">
      <c r="A1880" s="2" t="s">
        <v>32</v>
      </c>
      <c r="B1880" s="14">
        <v>39203</v>
      </c>
      <c r="C1880" s="2">
        <v>-5.5430704673999999E-2</v>
      </c>
      <c r="D1880" s="2">
        <v>-2.9401001E-4</v>
      </c>
      <c r="E1880" s="2">
        <v>1</v>
      </c>
      <c r="F1880" s="2">
        <v>2.25191820395369E-2</v>
      </c>
      <c r="G1880" s="2">
        <v>1</v>
      </c>
    </row>
    <row r="1881" spans="1:7" x14ac:dyDescent="0.2">
      <c r="A1881" s="2" t="s">
        <v>32</v>
      </c>
      <c r="B1881" s="14">
        <v>39234</v>
      </c>
      <c r="C1881" s="2">
        <v>0.10163841807</v>
      </c>
      <c r="D1881" s="2">
        <v>-5.4744997999999997E-4</v>
      </c>
      <c r="E1881" s="2">
        <v>1</v>
      </c>
      <c r="F1881" s="2">
        <v>1.8191513708684E-2</v>
      </c>
      <c r="G1881" s="2">
        <v>1</v>
      </c>
    </row>
    <row r="1882" spans="1:7" x14ac:dyDescent="0.2">
      <c r="A1882" s="2" t="s">
        <v>32</v>
      </c>
      <c r="B1882" s="14">
        <v>39264</v>
      </c>
      <c r="C1882" s="2">
        <v>1.0205651572000001E-2</v>
      </c>
      <c r="D1882" s="2">
        <v>-9.2180999000000005E-4</v>
      </c>
      <c r="E1882" s="2">
        <v>1</v>
      </c>
      <c r="F1882" s="2">
        <v>2.1242518035984401E-2</v>
      </c>
      <c r="G1882" s="2">
        <v>1</v>
      </c>
    </row>
    <row r="1883" spans="1:7" x14ac:dyDescent="0.2">
      <c r="A1883" s="2" t="s">
        <v>32</v>
      </c>
      <c r="B1883" s="14">
        <v>39295</v>
      </c>
      <c r="C1883" s="2">
        <v>-2.5714016138999998E-2</v>
      </c>
      <c r="D1883" s="2">
        <v>-3.1132999E-4</v>
      </c>
      <c r="E1883" s="2">
        <v>1</v>
      </c>
      <c r="F1883" s="2">
        <v>1.4625644922998299E-2</v>
      </c>
      <c r="G1883" s="2">
        <v>1</v>
      </c>
    </row>
    <row r="1884" spans="1:7" x14ac:dyDescent="0.2">
      <c r="A1884" s="2" t="s">
        <v>32</v>
      </c>
      <c r="B1884" s="14">
        <v>39326</v>
      </c>
      <c r="C1884" s="2">
        <v>-4.4841873392999998E-2</v>
      </c>
      <c r="D1884" s="2">
        <v>1.7259999999999999E-4</v>
      </c>
      <c r="E1884" s="2">
        <v>1</v>
      </c>
      <c r="F1884" s="2">
        <v>1.5339355905585999E-2</v>
      </c>
      <c r="G1884" s="2">
        <v>1</v>
      </c>
    </row>
    <row r="1885" spans="1:7" x14ac:dyDescent="0.2">
      <c r="A1885" s="2" t="s">
        <v>32</v>
      </c>
      <c r="B1885" s="14">
        <v>39356</v>
      </c>
      <c r="C1885" s="2">
        <v>8.7195255875999994E-2</v>
      </c>
      <c r="D1885" s="2">
        <v>-6.4118998E-4</v>
      </c>
      <c r="E1885" s="2">
        <v>1</v>
      </c>
      <c r="F1885" s="2">
        <v>1.39624785978112E-2</v>
      </c>
      <c r="G1885" s="2">
        <v>1</v>
      </c>
    </row>
    <row r="1886" spans="1:7" x14ac:dyDescent="0.2">
      <c r="A1886" s="2" t="s">
        <v>32</v>
      </c>
      <c r="B1886" s="14">
        <v>39387</v>
      </c>
      <c r="C1886" s="2">
        <v>-6.0656565656E-2</v>
      </c>
      <c r="D1886" s="2">
        <v>-5.9522302000000003E-3</v>
      </c>
      <c r="E1886" s="2">
        <v>1</v>
      </c>
      <c r="F1886" s="2">
        <v>1.4146406290206101E-2</v>
      </c>
      <c r="G1886" s="2">
        <v>1</v>
      </c>
    </row>
    <row r="1887" spans="1:7" x14ac:dyDescent="0.2">
      <c r="A1887" s="2" t="s">
        <v>32</v>
      </c>
      <c r="B1887" s="14">
        <v>39417</v>
      </c>
      <c r="C1887" s="2">
        <v>1.0807032635E-2</v>
      </c>
      <c r="D1887" s="2">
        <v>-1.4624950000000001E-3</v>
      </c>
      <c r="E1887" s="2">
        <v>1</v>
      </c>
      <c r="F1887" s="2">
        <v>1.4099642841169199E-2</v>
      </c>
      <c r="G1887" s="2">
        <v>1</v>
      </c>
    </row>
    <row r="1888" spans="1:7" x14ac:dyDescent="0.2">
      <c r="A1888" s="2" t="s">
        <v>32</v>
      </c>
      <c r="B1888" s="14">
        <v>39448</v>
      </c>
      <c r="C1888" s="2">
        <v>1.9161676988E-2</v>
      </c>
      <c r="D1888" s="2">
        <v>-3.5104001000000001E-4</v>
      </c>
      <c r="E1888" s="2">
        <v>1</v>
      </c>
      <c r="F1888" s="2">
        <v>1.14482627133981E-2</v>
      </c>
      <c r="G1888" s="2">
        <v>1</v>
      </c>
    </row>
    <row r="1889" spans="1:7" x14ac:dyDescent="0.2">
      <c r="A1889" s="2" t="s">
        <v>32</v>
      </c>
      <c r="B1889" s="14">
        <v>39479</v>
      </c>
      <c r="C1889" s="2">
        <v>-9.0961730798999996E-2</v>
      </c>
      <c r="D1889" s="2">
        <v>2.7009649E-3</v>
      </c>
      <c r="E1889" s="2">
        <v>1</v>
      </c>
      <c r="F1889" s="2">
        <v>1.1682742444660299E-2</v>
      </c>
      <c r="G1889" s="2">
        <v>1</v>
      </c>
    </row>
    <row r="1890" spans="1:7" x14ac:dyDescent="0.2">
      <c r="A1890" s="2" t="s">
        <v>32</v>
      </c>
      <c r="B1890" s="14">
        <v>39508</v>
      </c>
      <c r="C1890" s="2">
        <v>5.3216746772000001E-2</v>
      </c>
      <c r="D1890" s="2">
        <v>1.7087E-4</v>
      </c>
      <c r="E1890" s="2">
        <v>1</v>
      </c>
      <c r="F1890" s="2">
        <v>1.0108495937024E-2</v>
      </c>
      <c r="G1890" s="2">
        <v>1</v>
      </c>
    </row>
    <row r="1891" spans="1:7" x14ac:dyDescent="0.2">
      <c r="A1891" s="2" t="s">
        <v>32</v>
      </c>
      <c r="B1891" s="14">
        <v>39539</v>
      </c>
      <c r="C1891" s="2">
        <v>-3.0954475477999999E-2</v>
      </c>
      <c r="D1891" s="2">
        <v>-8.8180503000000003E-4</v>
      </c>
      <c r="E1891" s="2">
        <v>1</v>
      </c>
      <c r="F1891" s="2">
        <v>1.28552038058991E-2</v>
      </c>
      <c r="G1891" s="2">
        <v>1</v>
      </c>
    </row>
    <row r="1892" spans="1:7" x14ac:dyDescent="0.2">
      <c r="A1892" s="2" t="s">
        <v>32</v>
      </c>
      <c r="B1892" s="14">
        <v>39569</v>
      </c>
      <c r="C1892" s="2">
        <v>-3.1426096633999999E-2</v>
      </c>
      <c r="D1892" s="2">
        <v>-5.6688347999999996E-3</v>
      </c>
      <c r="E1892" s="2">
        <v>1</v>
      </c>
      <c r="F1892" s="2">
        <v>9.4542631629368906E-3</v>
      </c>
      <c r="G1892" s="2">
        <v>1</v>
      </c>
    </row>
    <row r="1893" spans="1:7" x14ac:dyDescent="0.2">
      <c r="A1893" s="2" t="s">
        <v>32</v>
      </c>
      <c r="B1893" s="14">
        <v>39600</v>
      </c>
      <c r="C1893" s="2">
        <v>-4.9006229605E-2</v>
      </c>
      <c r="D1893" s="2">
        <v>-7.0265299E-3</v>
      </c>
      <c r="E1893" s="2">
        <v>1</v>
      </c>
      <c r="F1893" s="2">
        <v>1.03713534808723E-2</v>
      </c>
      <c r="G1893" s="2">
        <v>1</v>
      </c>
    </row>
    <row r="1894" spans="1:7" x14ac:dyDescent="0.2">
      <c r="A1894" s="2" t="s">
        <v>32</v>
      </c>
      <c r="B1894" s="14">
        <v>39630</v>
      </c>
      <c r="C1894" s="2">
        <v>4.3670846590999998E-2</v>
      </c>
      <c r="D1894" s="2">
        <v>-2.2838150999999998E-3</v>
      </c>
      <c r="E1894" s="2">
        <v>1</v>
      </c>
      <c r="F1894" s="2">
        <v>8.6035325975445092E-3</v>
      </c>
      <c r="G1894" s="2">
        <v>1</v>
      </c>
    </row>
    <row r="1895" spans="1:7" x14ac:dyDescent="0.2">
      <c r="A1895" s="2" t="s">
        <v>32</v>
      </c>
      <c r="B1895" s="14">
        <v>39661</v>
      </c>
      <c r="C1895" s="2">
        <v>-5.4755215493999997E-2</v>
      </c>
      <c r="D1895" s="2">
        <v>-1.578645E-3</v>
      </c>
      <c r="E1895" s="2">
        <v>1</v>
      </c>
      <c r="F1895" s="2">
        <v>1.08353982892322E-2</v>
      </c>
      <c r="G1895" s="2">
        <v>1</v>
      </c>
    </row>
    <row r="1896" spans="1:7" x14ac:dyDescent="0.2">
      <c r="A1896" s="2" t="s">
        <v>32</v>
      </c>
      <c r="B1896" s="14">
        <v>39692</v>
      </c>
      <c r="C1896" s="2">
        <v>4.6261357638000003E-2</v>
      </c>
      <c r="D1896" s="2">
        <v>-8.4828498000000003E-4</v>
      </c>
      <c r="E1896" s="2">
        <v>1</v>
      </c>
      <c r="F1896" s="2">
        <v>1.20364372245886E-2</v>
      </c>
      <c r="G1896" s="2">
        <v>1</v>
      </c>
    </row>
    <row r="1897" spans="1:7" x14ac:dyDescent="0.2">
      <c r="A1897" s="2" t="s">
        <v>32</v>
      </c>
      <c r="B1897" s="14">
        <v>39722</v>
      </c>
      <c r="C1897" s="2">
        <v>-0.24333719582999999</v>
      </c>
      <c r="D1897" s="2">
        <v>-4.2247001E-4</v>
      </c>
      <c r="E1897" s="2">
        <v>1</v>
      </c>
      <c r="F1897" s="2">
        <v>1.1779259512781901E-2</v>
      </c>
      <c r="G1897" s="2">
        <v>1</v>
      </c>
    </row>
    <row r="1898" spans="1:7" x14ac:dyDescent="0.2">
      <c r="A1898" s="2" t="s">
        <v>32</v>
      </c>
      <c r="B1898" s="14">
        <v>39753</v>
      </c>
      <c r="C1898" s="2">
        <v>-0.13758362214</v>
      </c>
      <c r="D1898" s="2">
        <v>-2.0039349000000001E-3</v>
      </c>
      <c r="E1898" s="2">
        <v>1</v>
      </c>
      <c r="F1898" s="2">
        <v>6.7660636067749897E-3</v>
      </c>
      <c r="G1898" s="2">
        <v>1</v>
      </c>
    </row>
    <row r="1899" spans="1:7" x14ac:dyDescent="0.2">
      <c r="A1899" s="2" t="s">
        <v>32</v>
      </c>
      <c r="B1899" s="14">
        <v>39783</v>
      </c>
      <c r="C1899" s="2">
        <v>-6.0747663551000003E-2</v>
      </c>
      <c r="D1899" s="2">
        <v>-4.1235252000000003E-3</v>
      </c>
      <c r="E1899" s="2">
        <v>1</v>
      </c>
      <c r="F1899" s="2">
        <v>4.1346945062259097E-3</v>
      </c>
      <c r="G1899" s="2">
        <v>1</v>
      </c>
    </row>
    <row r="1900" spans="1:7" x14ac:dyDescent="0.2">
      <c r="A1900" s="2" t="s">
        <v>33</v>
      </c>
      <c r="B1900" s="14">
        <v>37591</v>
      </c>
      <c r="C1900" s="2">
        <v>3.3707865167999999E-2</v>
      </c>
      <c r="D1900" s="2">
        <v>2.5924428000000002E-3</v>
      </c>
      <c r="E1900" s="2">
        <v>1</v>
      </c>
      <c r="G1900" s="2">
        <v>1</v>
      </c>
    </row>
    <row r="1901" spans="1:7" x14ac:dyDescent="0.2">
      <c r="A1901" s="2" t="s">
        <v>33</v>
      </c>
      <c r="B1901" s="14">
        <v>37622</v>
      </c>
      <c r="C1901" s="2">
        <v>-2.6733897821999999E-2</v>
      </c>
      <c r="D1901" s="2">
        <v>1.8444344E-3</v>
      </c>
      <c r="E1901" s="2">
        <v>1</v>
      </c>
      <c r="G1901" s="2">
        <v>1</v>
      </c>
    </row>
    <row r="1902" spans="1:7" x14ac:dyDescent="0.2">
      <c r="A1902" s="2" t="s">
        <v>33</v>
      </c>
      <c r="B1902" s="14">
        <v>37653</v>
      </c>
      <c r="C1902" s="2">
        <v>-6.8181644783000001E-3</v>
      </c>
      <c r="D1902" s="2">
        <v>7.5525657000000005E-4</v>
      </c>
      <c r="E1902" s="2">
        <v>1</v>
      </c>
      <c r="G1902" s="2">
        <v>1</v>
      </c>
    </row>
    <row r="1903" spans="1:7" x14ac:dyDescent="0.2">
      <c r="A1903" s="2" t="s">
        <v>33</v>
      </c>
      <c r="B1903" s="14">
        <v>37681</v>
      </c>
      <c r="C1903" s="2">
        <v>6.3844413426999994E-2</v>
      </c>
      <c r="D1903" s="2">
        <v>-2.6477926000000003E-4</v>
      </c>
      <c r="E1903" s="2">
        <v>1</v>
      </c>
      <c r="G1903" s="2">
        <v>1</v>
      </c>
    </row>
    <row r="1904" spans="1:7" x14ac:dyDescent="0.2">
      <c r="A1904" s="2" t="s">
        <v>33</v>
      </c>
      <c r="B1904" s="14">
        <v>37712</v>
      </c>
      <c r="C1904" s="2">
        <v>0.15078507353000001</v>
      </c>
      <c r="D1904" s="2">
        <v>-3.0556888999999999E-3</v>
      </c>
      <c r="E1904" s="2">
        <v>1</v>
      </c>
      <c r="G1904" s="2">
        <v>1</v>
      </c>
    </row>
    <row r="1905" spans="1:7" x14ac:dyDescent="0.2">
      <c r="A1905" s="2" t="s">
        <v>33</v>
      </c>
      <c r="B1905" s="14">
        <v>37742</v>
      </c>
      <c r="C1905" s="2">
        <v>5.4793444956999997E-2</v>
      </c>
      <c r="D1905" s="2">
        <v>-2.4386307E-3</v>
      </c>
      <c r="E1905" s="2">
        <v>1</v>
      </c>
      <c r="G1905" s="2">
        <v>1</v>
      </c>
    </row>
    <row r="1906" spans="1:7" x14ac:dyDescent="0.2">
      <c r="A1906" s="2" t="s">
        <v>33</v>
      </c>
      <c r="B1906" s="14">
        <v>37773</v>
      </c>
      <c r="C1906" s="2">
        <v>1.3273572706999999E-2</v>
      </c>
      <c r="D1906" s="2">
        <v>3.5199067E-3</v>
      </c>
      <c r="E1906" s="2">
        <v>1</v>
      </c>
      <c r="G1906" s="2">
        <v>1</v>
      </c>
    </row>
    <row r="1907" spans="1:7" x14ac:dyDescent="0.2">
      <c r="A1907" s="2" t="s">
        <v>33</v>
      </c>
      <c r="B1907" s="14">
        <v>37803</v>
      </c>
      <c r="C1907" s="2">
        <v>0.11524160255</v>
      </c>
      <c r="D1907" s="2">
        <v>5.6539848000000002E-3</v>
      </c>
      <c r="E1907" s="2">
        <v>1</v>
      </c>
      <c r="G1907" s="2">
        <v>1</v>
      </c>
    </row>
    <row r="1908" spans="1:7" x14ac:dyDescent="0.2">
      <c r="A1908" s="2" t="s">
        <v>33</v>
      </c>
      <c r="B1908" s="14">
        <v>37834</v>
      </c>
      <c r="C1908" s="2">
        <v>6.2698364258000003E-2</v>
      </c>
      <c r="D1908" s="2">
        <v>5.2005489999999996E-3</v>
      </c>
      <c r="E1908" s="2">
        <v>1</v>
      </c>
      <c r="F1908" s="2">
        <v>3.9804917911606598E-2</v>
      </c>
      <c r="G1908" s="2">
        <v>1</v>
      </c>
    </row>
    <row r="1909" spans="1:7" x14ac:dyDescent="0.2">
      <c r="A1909" s="2" t="s">
        <v>33</v>
      </c>
      <c r="B1909" s="14">
        <v>37865</v>
      </c>
      <c r="C1909" s="2">
        <v>0.12023903537</v>
      </c>
      <c r="D1909" s="2">
        <v>1.0770897999999999E-2</v>
      </c>
      <c r="E1909" s="2">
        <v>1</v>
      </c>
      <c r="F1909" s="2">
        <v>4.1587329422970699E-2</v>
      </c>
      <c r="G1909" s="2">
        <v>1</v>
      </c>
    </row>
    <row r="1910" spans="1:7" x14ac:dyDescent="0.2">
      <c r="A1910" s="2" t="s">
        <v>33</v>
      </c>
      <c r="B1910" s="14">
        <v>37895</v>
      </c>
      <c r="C1910" s="2">
        <v>9.9866638184000003E-2</v>
      </c>
      <c r="D1910" s="2">
        <v>2.4972416000000001E-2</v>
      </c>
      <c r="E1910" s="2">
        <v>1</v>
      </c>
      <c r="F1910" s="2">
        <v>4.2965658255796298E-2</v>
      </c>
      <c r="G1910" s="2">
        <v>1</v>
      </c>
    </row>
    <row r="1911" spans="1:7" x14ac:dyDescent="0.2">
      <c r="A1911" s="2" t="s">
        <v>33</v>
      </c>
      <c r="B1911" s="14">
        <v>37926</v>
      </c>
      <c r="C1911" s="2">
        <v>-3.0185451911E-2</v>
      </c>
      <c r="D1911" s="2">
        <v>2.4045316999999999E-3</v>
      </c>
      <c r="E1911" s="2">
        <v>1</v>
      </c>
      <c r="F1911" s="2">
        <v>4.12381751305715E-2</v>
      </c>
      <c r="G1911" s="2">
        <v>1</v>
      </c>
    </row>
    <row r="1912" spans="1:7" x14ac:dyDescent="0.2">
      <c r="A1912" s="2" t="s">
        <v>33</v>
      </c>
      <c r="B1912" s="14">
        <v>37956</v>
      </c>
      <c r="C1912" s="2">
        <v>1.2499999999E-2</v>
      </c>
      <c r="D1912" s="2">
        <v>3.5455745999999999E-3</v>
      </c>
      <c r="E1912" s="2">
        <v>1</v>
      </c>
      <c r="F1912" s="2">
        <v>3.8927458208936602E-2</v>
      </c>
      <c r="G1912" s="2">
        <v>1</v>
      </c>
    </row>
    <row r="1913" spans="1:7" x14ac:dyDescent="0.2">
      <c r="A1913" s="2" t="s">
        <v>33</v>
      </c>
      <c r="B1913" s="14">
        <v>37987</v>
      </c>
      <c r="C1913" s="2">
        <v>-4.9650861051E-2</v>
      </c>
      <c r="E1913" s="2">
        <v>1</v>
      </c>
      <c r="F1913" s="2">
        <v>3.8847338875762298E-2</v>
      </c>
      <c r="G1913" s="2">
        <v>1</v>
      </c>
    </row>
    <row r="1914" spans="1:7" x14ac:dyDescent="0.2">
      <c r="A1914" s="2" t="s">
        <v>33</v>
      </c>
      <c r="B1914" s="14">
        <v>38018</v>
      </c>
      <c r="C1914" s="2">
        <v>7.2227338507E-2</v>
      </c>
      <c r="E1914" s="2">
        <v>1</v>
      </c>
      <c r="F1914" s="2">
        <v>3.4284480207728098E-2</v>
      </c>
      <c r="G1914" s="2">
        <v>1</v>
      </c>
    </row>
    <row r="1915" spans="1:7" x14ac:dyDescent="0.2">
      <c r="A1915" s="2" t="s">
        <v>33</v>
      </c>
      <c r="B1915" s="14">
        <v>38047</v>
      </c>
      <c r="C1915" s="2">
        <v>-0.19018404908</v>
      </c>
      <c r="D1915" s="2">
        <v>2.9767314E-3</v>
      </c>
      <c r="E1915" s="2">
        <v>1</v>
      </c>
      <c r="F1915" s="2">
        <v>3.4355524332836097E-2</v>
      </c>
      <c r="G1915" s="2">
        <v>1</v>
      </c>
    </row>
    <row r="1916" spans="1:7" x14ac:dyDescent="0.2">
      <c r="A1916" s="2" t="s">
        <v>33</v>
      </c>
      <c r="B1916" s="14">
        <v>38078</v>
      </c>
      <c r="C1916" s="2">
        <v>-0.14054767403000001</v>
      </c>
      <c r="D1916" s="2">
        <v>-1.3816796E-3</v>
      </c>
      <c r="E1916" s="2">
        <v>1</v>
      </c>
      <c r="F1916" s="2">
        <v>2.6479379753849699E-2</v>
      </c>
      <c r="G1916" s="2">
        <v>1</v>
      </c>
    </row>
    <row r="1917" spans="1:7" x14ac:dyDescent="0.2">
      <c r="A1917" s="2" t="s">
        <v>33</v>
      </c>
      <c r="B1917" s="14">
        <v>38108</v>
      </c>
      <c r="C1917" s="2">
        <v>9.0909090903999994E-3</v>
      </c>
      <c r="D1917" s="2">
        <v>-4.7262227000000002E-3</v>
      </c>
      <c r="E1917" s="2">
        <v>1</v>
      </c>
      <c r="F1917" s="2">
        <v>2.0044684702086601E-2</v>
      </c>
      <c r="G1917" s="2">
        <v>1</v>
      </c>
    </row>
    <row r="1918" spans="1:7" x14ac:dyDescent="0.2">
      <c r="A1918" s="2" t="s">
        <v>33</v>
      </c>
      <c r="B1918" s="14">
        <v>38139</v>
      </c>
      <c r="C1918" s="2">
        <v>0.13819819819000001</v>
      </c>
      <c r="D1918" s="2">
        <v>-6.6220643999999997E-3</v>
      </c>
      <c r="E1918" s="2">
        <v>1</v>
      </c>
      <c r="F1918" s="2">
        <v>2.11413168363698E-2</v>
      </c>
      <c r="G1918" s="2">
        <v>1</v>
      </c>
    </row>
    <row r="1919" spans="1:7" x14ac:dyDescent="0.2">
      <c r="A1919" s="2" t="s">
        <v>33</v>
      </c>
      <c r="B1919" s="14">
        <v>38169</v>
      </c>
      <c r="C1919" s="2">
        <v>-2.7544720594999999E-2</v>
      </c>
      <c r="D1919" s="2">
        <v>-8.9878256999999999E-4</v>
      </c>
      <c r="E1919" s="2">
        <v>1</v>
      </c>
      <c r="F1919" s="2">
        <v>2.4609577089088602E-2</v>
      </c>
      <c r="G1919" s="2">
        <v>1</v>
      </c>
    </row>
    <row r="1920" spans="1:7" x14ac:dyDescent="0.2">
      <c r="A1920" s="2" t="s">
        <v>33</v>
      </c>
      <c r="B1920" s="14">
        <v>38200</v>
      </c>
      <c r="C1920" s="2">
        <v>0.10304411525</v>
      </c>
      <c r="D1920" s="2">
        <v>1.5496251E-3</v>
      </c>
      <c r="E1920" s="2">
        <v>1</v>
      </c>
      <c r="F1920" s="2">
        <v>1.6724360185563499E-2</v>
      </c>
      <c r="G1920" s="2">
        <v>1</v>
      </c>
    </row>
    <row r="1921" spans="1:7" x14ac:dyDescent="0.2">
      <c r="A1921" s="2" t="s">
        <v>33</v>
      </c>
      <c r="B1921" s="14">
        <v>38231</v>
      </c>
      <c r="C1921" s="2">
        <v>-7.9693034240000005E-3</v>
      </c>
      <c r="D1921" s="2">
        <v>5.9918837999999996E-4</v>
      </c>
      <c r="E1921" s="2">
        <v>1</v>
      </c>
      <c r="F1921" s="2">
        <v>1.7441729538774702E-2</v>
      </c>
      <c r="G1921" s="2">
        <v>1</v>
      </c>
    </row>
    <row r="1922" spans="1:7" x14ac:dyDescent="0.2">
      <c r="A1922" s="2" t="s">
        <v>33</v>
      </c>
      <c r="B1922" s="14">
        <v>38261</v>
      </c>
      <c r="C1922" s="2">
        <v>0.16155905979999999</v>
      </c>
      <c r="D1922" s="2">
        <v>1.1983768E-3</v>
      </c>
      <c r="E1922" s="2">
        <v>1</v>
      </c>
      <c r="F1922" s="2">
        <v>2.26122037678918E-2</v>
      </c>
      <c r="G1922" s="2">
        <v>1</v>
      </c>
    </row>
    <row r="1923" spans="1:7" x14ac:dyDescent="0.2">
      <c r="A1923" s="2" t="s">
        <v>33</v>
      </c>
      <c r="B1923" s="14">
        <v>38292</v>
      </c>
      <c r="C1923" s="2">
        <v>-7.4282786882000004E-3</v>
      </c>
      <c r="D1923" s="2">
        <v>-1.1661963000000001E-3</v>
      </c>
      <c r="E1923" s="2">
        <v>1</v>
      </c>
      <c r="F1923" s="2">
        <v>3.1133366222043699E-2</v>
      </c>
      <c r="G1923" s="2">
        <v>1</v>
      </c>
    </row>
    <row r="1924" spans="1:7" x14ac:dyDescent="0.2">
      <c r="A1924" s="2" t="s">
        <v>33</v>
      </c>
      <c r="B1924" s="14">
        <v>38322</v>
      </c>
      <c r="C1924" s="2">
        <v>-3.8709677418999999E-2</v>
      </c>
      <c r="D1924" s="2">
        <v>-2.5930393000000002E-3</v>
      </c>
      <c r="E1924" s="2">
        <v>1</v>
      </c>
      <c r="F1924" s="2">
        <v>3.0664204978480401E-2</v>
      </c>
      <c r="G1924" s="2">
        <v>1</v>
      </c>
    </row>
    <row r="1925" spans="1:7" x14ac:dyDescent="0.2">
      <c r="A1925" s="2" t="s">
        <v>33</v>
      </c>
      <c r="B1925" s="14">
        <v>38353</v>
      </c>
      <c r="C1925" s="2">
        <v>-0.10783783783000001</v>
      </c>
      <c r="D1925" s="2">
        <v>-2.6725868000000001E-3</v>
      </c>
      <c r="E1925" s="2">
        <v>1</v>
      </c>
      <c r="F1925" s="2">
        <v>2.5672543813989999E-2</v>
      </c>
      <c r="G1925" s="2">
        <v>1</v>
      </c>
    </row>
    <row r="1926" spans="1:7" x14ac:dyDescent="0.2">
      <c r="A1926" s="2" t="s">
        <v>33</v>
      </c>
      <c r="B1926" s="14">
        <v>38384</v>
      </c>
      <c r="C1926" s="2">
        <v>-4.1956982731999999E-2</v>
      </c>
      <c r="D1926" s="2">
        <v>-1.1570534E-3</v>
      </c>
      <c r="E1926" s="2">
        <v>1</v>
      </c>
      <c r="F1926" s="2">
        <v>2.36847019597357E-2</v>
      </c>
      <c r="G1926" s="2">
        <v>1</v>
      </c>
    </row>
    <row r="1927" spans="1:7" x14ac:dyDescent="0.2">
      <c r="A1927" s="2" t="s">
        <v>33</v>
      </c>
      <c r="B1927" s="14">
        <v>38412</v>
      </c>
      <c r="C1927" s="2">
        <v>-9.0909090910000004E-2</v>
      </c>
      <c r="D1927" s="2">
        <v>-8.3679752000000007E-3</v>
      </c>
      <c r="E1927" s="2">
        <v>1</v>
      </c>
      <c r="F1927" s="2">
        <v>1.9551777405545999E-2</v>
      </c>
      <c r="G1927" s="2">
        <v>1</v>
      </c>
    </row>
    <row r="1928" spans="1:7" x14ac:dyDescent="0.2">
      <c r="A1928" s="2" t="s">
        <v>33</v>
      </c>
      <c r="B1928" s="14">
        <v>38443</v>
      </c>
      <c r="C1928" s="2">
        <v>-5.3271422541999999E-2</v>
      </c>
      <c r="D1928" s="2">
        <v>-4.9278079999999997E-3</v>
      </c>
      <c r="E1928" s="2">
        <v>1</v>
      </c>
      <c r="F1928" s="2">
        <v>1.7151125100529799E-2</v>
      </c>
      <c r="G1928" s="2">
        <v>1</v>
      </c>
    </row>
    <row r="1929" spans="1:7" x14ac:dyDescent="0.2">
      <c r="A1929" s="2" t="s">
        <v>33</v>
      </c>
      <c r="B1929" s="14">
        <v>38473</v>
      </c>
      <c r="C1929" s="2">
        <v>0.10476190476</v>
      </c>
      <c r="D1929" s="2">
        <v>4.0186941999999998E-3</v>
      </c>
      <c r="E1929" s="2">
        <v>1</v>
      </c>
      <c r="F1929" s="2">
        <v>1.09939543501735E-2</v>
      </c>
      <c r="G1929" s="2">
        <v>1</v>
      </c>
    </row>
    <row r="1930" spans="1:7" x14ac:dyDescent="0.2">
      <c r="A1930" s="2" t="s">
        <v>33</v>
      </c>
      <c r="B1930" s="14">
        <v>38504</v>
      </c>
      <c r="C1930" s="2">
        <v>0.11637931034</v>
      </c>
      <c r="D1930" s="2">
        <v>-6.4361095000000004E-3</v>
      </c>
      <c r="E1930" s="2">
        <v>1</v>
      </c>
      <c r="F1930" s="2">
        <v>1.40998359588009E-2</v>
      </c>
      <c r="G1930" s="2">
        <v>1</v>
      </c>
    </row>
    <row r="1931" spans="1:7" x14ac:dyDescent="0.2">
      <c r="A1931" s="2" t="s">
        <v>33</v>
      </c>
      <c r="B1931" s="14">
        <v>38534</v>
      </c>
      <c r="C1931" s="2">
        <v>7.5521235522000005E-2</v>
      </c>
      <c r="D1931" s="2">
        <v>-1.6632642000000001E-3</v>
      </c>
      <c r="E1931" s="2">
        <v>1</v>
      </c>
      <c r="F1931" s="2">
        <v>1.8281756071533799E-2</v>
      </c>
      <c r="G1931" s="2">
        <v>1</v>
      </c>
    </row>
    <row r="1932" spans="1:7" x14ac:dyDescent="0.2">
      <c r="A1932" s="2" t="s">
        <v>33</v>
      </c>
      <c r="B1932" s="14">
        <v>38565</v>
      </c>
      <c r="C1932" s="2">
        <v>8.1275129235999999E-2</v>
      </c>
      <c r="D1932" s="2">
        <v>4.9594827000000001E-3</v>
      </c>
      <c r="E1932" s="2">
        <v>1</v>
      </c>
      <c r="F1932" s="2">
        <v>2.7344408156093399E-2</v>
      </c>
      <c r="G1932" s="2">
        <v>1</v>
      </c>
    </row>
    <row r="1933" spans="1:7" x14ac:dyDescent="0.2">
      <c r="A1933" s="2" t="s">
        <v>33</v>
      </c>
      <c r="B1933" s="14">
        <v>38596</v>
      </c>
      <c r="C1933" s="2">
        <v>4.9136786188999998E-2</v>
      </c>
      <c r="D1933" s="2">
        <v>-2.4794001E-4</v>
      </c>
      <c r="E1933" s="2">
        <v>1</v>
      </c>
      <c r="F1933" s="2">
        <v>3.06956154993757E-2</v>
      </c>
      <c r="G1933" s="2">
        <v>1</v>
      </c>
    </row>
    <row r="1934" spans="1:7" x14ac:dyDescent="0.2">
      <c r="A1934" s="2" t="s">
        <v>33</v>
      </c>
      <c r="B1934" s="14">
        <v>38626</v>
      </c>
      <c r="C1934" s="2">
        <v>1.2658227842999999E-3</v>
      </c>
      <c r="D1934" s="2">
        <v>-2.8673746E-3</v>
      </c>
      <c r="E1934" s="2">
        <v>1</v>
      </c>
      <c r="F1934" s="2">
        <v>3.46349973377773E-2</v>
      </c>
      <c r="G1934" s="2">
        <v>1</v>
      </c>
    </row>
    <row r="1935" spans="1:7" x14ac:dyDescent="0.2">
      <c r="A1935" s="2" t="s">
        <v>33</v>
      </c>
      <c r="B1935" s="14">
        <v>38657</v>
      </c>
      <c r="C1935" s="2">
        <v>-7.7370417193999994E-2</v>
      </c>
      <c r="D1935" s="2">
        <v>-2.6860167000000002E-4</v>
      </c>
      <c r="E1935" s="2">
        <v>1</v>
      </c>
      <c r="F1935" s="2">
        <v>3.5984998427732597E-2</v>
      </c>
      <c r="G1935" s="2">
        <v>1</v>
      </c>
    </row>
    <row r="1936" spans="1:7" x14ac:dyDescent="0.2">
      <c r="A1936" s="2" t="s">
        <v>33</v>
      </c>
      <c r="B1936" s="14">
        <v>38687</v>
      </c>
      <c r="C1936" s="2">
        <v>-6.5771444223999996E-3</v>
      </c>
      <c r="D1936" s="2">
        <v>8.6443417000000005E-4</v>
      </c>
      <c r="E1936" s="2">
        <v>1</v>
      </c>
      <c r="F1936" s="2">
        <v>3.0977299464494099E-2</v>
      </c>
      <c r="G1936" s="2">
        <v>1</v>
      </c>
    </row>
    <row r="1937" spans="1:7" x14ac:dyDescent="0.2">
      <c r="A1937" s="2" t="s">
        <v>33</v>
      </c>
      <c r="B1937" s="14">
        <v>38718</v>
      </c>
      <c r="C1937" s="2">
        <v>3.0949992834999999E-2</v>
      </c>
      <c r="D1937" s="2">
        <v>-6.0467444999999997E-4</v>
      </c>
      <c r="E1937" s="2">
        <v>1</v>
      </c>
      <c r="F1937" s="2">
        <v>2.6443699519995301E-2</v>
      </c>
      <c r="G1937" s="2">
        <v>1</v>
      </c>
    </row>
    <row r="1938" spans="1:7" x14ac:dyDescent="0.2">
      <c r="A1938" s="2" t="s">
        <v>33</v>
      </c>
      <c r="B1938" s="14">
        <v>38749</v>
      </c>
      <c r="C1938" s="2">
        <v>-1.4068965518E-2</v>
      </c>
      <c r="D1938" s="2">
        <v>-8.4654421999999995E-4</v>
      </c>
      <c r="E1938" s="2">
        <v>1</v>
      </c>
      <c r="F1938" s="2">
        <v>2.50042904403141E-2</v>
      </c>
      <c r="G1938" s="2">
        <v>1</v>
      </c>
    </row>
    <row r="1939" spans="1:7" x14ac:dyDescent="0.2">
      <c r="A1939" s="2" t="s">
        <v>33</v>
      </c>
      <c r="B1939" s="14">
        <v>38777</v>
      </c>
      <c r="C1939" s="2">
        <v>3.5254616676000002E-2</v>
      </c>
      <c r="D1939" s="2">
        <v>-1.7871489E-3</v>
      </c>
      <c r="E1939" s="2">
        <v>1</v>
      </c>
      <c r="F1939" s="2">
        <v>2.22517252048238E-2</v>
      </c>
      <c r="G1939" s="2">
        <v>1</v>
      </c>
    </row>
    <row r="1940" spans="1:7" x14ac:dyDescent="0.2">
      <c r="A1940" s="2" t="s">
        <v>33</v>
      </c>
      <c r="B1940" s="14">
        <v>38808</v>
      </c>
      <c r="C1940" s="2">
        <v>0.1208108108</v>
      </c>
      <c r="D1940" s="2">
        <v>1.9215209E-3</v>
      </c>
      <c r="E1940" s="2">
        <v>1</v>
      </c>
      <c r="F1940" s="2">
        <v>2.1603440888251599E-2</v>
      </c>
      <c r="G1940" s="2">
        <v>1</v>
      </c>
    </row>
    <row r="1941" spans="1:7" x14ac:dyDescent="0.2">
      <c r="A1941" s="2" t="s">
        <v>33</v>
      </c>
      <c r="B1941" s="14">
        <v>38838</v>
      </c>
      <c r="C1941" s="2">
        <v>-2.1651069661E-2</v>
      </c>
      <c r="D1941" s="2">
        <v>9.5874489999999996E-3</v>
      </c>
      <c r="E1941" s="2">
        <v>1</v>
      </c>
      <c r="F1941" s="2">
        <v>2.4787483671013699E-2</v>
      </c>
      <c r="G1941" s="2">
        <v>1</v>
      </c>
    </row>
    <row r="1942" spans="1:7" x14ac:dyDescent="0.2">
      <c r="A1942" s="2" t="s">
        <v>33</v>
      </c>
      <c r="B1942" s="14">
        <v>38869</v>
      </c>
      <c r="C1942" s="2">
        <v>3.9702233252999999E-2</v>
      </c>
      <c r="D1942" s="2">
        <v>1.3101279E-3</v>
      </c>
      <c r="E1942" s="2">
        <v>1</v>
      </c>
      <c r="F1942" s="2">
        <v>2.6449031337657702E-2</v>
      </c>
      <c r="G1942" s="2">
        <v>1</v>
      </c>
    </row>
    <row r="1943" spans="1:7" x14ac:dyDescent="0.2">
      <c r="A1943" s="2" t="s">
        <v>33</v>
      </c>
      <c r="B1943" s="14">
        <v>38899</v>
      </c>
      <c r="C1943" s="2">
        <v>6.2052505966000003E-2</v>
      </c>
      <c r="D1943" s="2">
        <v>4.2327210999999998E-4</v>
      </c>
      <c r="E1943" s="2">
        <v>1</v>
      </c>
      <c r="F1943" s="2">
        <v>2.7585140478793201E-2</v>
      </c>
      <c r="G1943" s="2">
        <v>1</v>
      </c>
    </row>
    <row r="1944" spans="1:7" x14ac:dyDescent="0.2">
      <c r="A1944" s="2" t="s">
        <v>33</v>
      </c>
      <c r="B1944" s="14">
        <v>38930</v>
      </c>
      <c r="C1944" s="2">
        <v>8.8651685393000002E-2</v>
      </c>
      <c r="D1944" s="2">
        <v>7.1889068999999998E-4</v>
      </c>
      <c r="E1944" s="2">
        <v>1</v>
      </c>
      <c r="F1944" s="2">
        <v>2.94787750032162E-2</v>
      </c>
      <c r="G1944" s="2">
        <v>1</v>
      </c>
    </row>
    <row r="1945" spans="1:7" x14ac:dyDescent="0.2">
      <c r="A1945" s="2" t="s">
        <v>33</v>
      </c>
      <c r="B1945" s="14">
        <v>38961</v>
      </c>
      <c r="C1945" s="2">
        <v>1.7132831046E-2</v>
      </c>
      <c r="D1945" s="2">
        <v>5.3076976000000005E-4</v>
      </c>
      <c r="E1945" s="2">
        <v>1</v>
      </c>
      <c r="F1945" s="2">
        <v>3.2267353002695197E-2</v>
      </c>
      <c r="G1945" s="2">
        <v>1</v>
      </c>
    </row>
    <row r="1946" spans="1:7" x14ac:dyDescent="0.2">
      <c r="A1946" s="2" t="s">
        <v>33</v>
      </c>
      <c r="B1946" s="14">
        <v>38991</v>
      </c>
      <c r="C1946" s="2">
        <v>7.0928462708000004E-2</v>
      </c>
      <c r="D1946" s="2">
        <v>-7.9279538E-4</v>
      </c>
      <c r="E1946" s="2">
        <v>1</v>
      </c>
      <c r="F1946" s="2">
        <v>3.1696126689098901E-2</v>
      </c>
      <c r="G1946" s="2">
        <v>1</v>
      </c>
    </row>
    <row r="1947" spans="1:7" x14ac:dyDescent="0.2">
      <c r="A1947" s="2" t="s">
        <v>33</v>
      </c>
      <c r="B1947" s="14">
        <v>39022</v>
      </c>
      <c r="C1947" s="2">
        <v>4.3301118058E-2</v>
      </c>
      <c r="D1947" s="2">
        <v>3.9594406E-3</v>
      </c>
      <c r="E1947" s="2">
        <v>1</v>
      </c>
      <c r="F1947" s="2">
        <v>3.01216927281295E-2</v>
      </c>
      <c r="G1947" s="2">
        <v>1</v>
      </c>
    </row>
    <row r="1948" spans="1:7" x14ac:dyDescent="0.2">
      <c r="A1948" s="2" t="s">
        <v>33</v>
      </c>
      <c r="B1948" s="14">
        <v>39052</v>
      </c>
      <c r="C1948" s="2">
        <v>-3.7326310053000002E-2</v>
      </c>
      <c r="D1948" s="2">
        <v>7.1217212999999998E-4</v>
      </c>
      <c r="E1948" s="2">
        <v>1</v>
      </c>
      <c r="F1948" s="2">
        <v>3.1685088977793603E-2</v>
      </c>
      <c r="G1948" s="2">
        <v>1</v>
      </c>
    </row>
    <row r="1949" spans="1:7" x14ac:dyDescent="0.2">
      <c r="A1949" s="2" t="s">
        <v>33</v>
      </c>
      <c r="B1949" s="14">
        <v>39083</v>
      </c>
      <c r="C1949" s="2">
        <v>1.4491353491E-2</v>
      </c>
      <c r="D1949" s="2">
        <v>-3.0569651000000001E-3</v>
      </c>
      <c r="E1949" s="2">
        <v>1</v>
      </c>
      <c r="F1949" s="2">
        <v>2.9616525048090599E-2</v>
      </c>
      <c r="G1949" s="2">
        <v>1</v>
      </c>
    </row>
    <row r="1950" spans="1:7" x14ac:dyDescent="0.2">
      <c r="A1950" s="2" t="s">
        <v>33</v>
      </c>
      <c r="B1950" s="14">
        <v>39114</v>
      </c>
      <c r="C1950" s="2">
        <v>-2.8301886791E-2</v>
      </c>
      <c r="D1950" s="2">
        <v>4.1588162999999997E-3</v>
      </c>
      <c r="E1950" s="2">
        <v>1</v>
      </c>
      <c r="F1950" s="2">
        <v>2.82502363798709E-2</v>
      </c>
      <c r="G1950" s="2">
        <v>1</v>
      </c>
    </row>
    <row r="1951" spans="1:7" x14ac:dyDescent="0.2">
      <c r="A1951" s="2" t="s">
        <v>33</v>
      </c>
      <c r="B1951" s="14">
        <v>39142</v>
      </c>
      <c r="C1951" s="2">
        <v>7.9611650472000001E-3</v>
      </c>
      <c r="D1951" s="2">
        <v>-3.8895519999999998E-4</v>
      </c>
      <c r="E1951" s="2">
        <v>1</v>
      </c>
      <c r="F1951" s="2">
        <v>2.4965071878678101E-2</v>
      </c>
      <c r="G1951" s="2">
        <v>1</v>
      </c>
    </row>
    <row r="1952" spans="1:7" x14ac:dyDescent="0.2">
      <c r="A1952" s="2" t="s">
        <v>33</v>
      </c>
      <c r="B1952" s="14">
        <v>39173</v>
      </c>
      <c r="C1952" s="2">
        <v>0.12695049122999999</v>
      </c>
      <c r="D1952" s="2">
        <v>4.9045816000000005E-4</v>
      </c>
      <c r="E1952" s="2">
        <v>1</v>
      </c>
      <c r="F1952" s="2">
        <v>2.4692618710547901E-2</v>
      </c>
      <c r="G1952" s="2">
        <v>1</v>
      </c>
    </row>
    <row r="1953" spans="1:7" x14ac:dyDescent="0.2">
      <c r="A1953" s="2" t="s">
        <v>33</v>
      </c>
      <c r="B1953" s="14">
        <v>39203</v>
      </c>
      <c r="C1953" s="2">
        <v>-1.3695213748E-2</v>
      </c>
      <c r="D1953" s="19">
        <v>1.8849112000000002E-5</v>
      </c>
      <c r="E1953" s="2">
        <v>1</v>
      </c>
      <c r="F1953" s="2">
        <v>2.6058799821260099E-2</v>
      </c>
      <c r="G1953" s="2">
        <v>1</v>
      </c>
    </row>
    <row r="1954" spans="1:7" x14ac:dyDescent="0.2">
      <c r="A1954" s="2" t="s">
        <v>33</v>
      </c>
      <c r="B1954" s="14">
        <v>39234</v>
      </c>
      <c r="C1954" s="2">
        <v>5.8787400194E-2</v>
      </c>
      <c r="D1954" s="2">
        <v>2.2372955E-3</v>
      </c>
      <c r="E1954" s="2">
        <v>1</v>
      </c>
      <c r="F1954" s="2">
        <v>2.4458113519546399E-2</v>
      </c>
      <c r="G1954" s="2">
        <v>1</v>
      </c>
    </row>
    <row r="1955" spans="1:7" x14ac:dyDescent="0.2">
      <c r="A1955" s="2" t="s">
        <v>33</v>
      </c>
      <c r="B1955" s="14">
        <v>39264</v>
      </c>
      <c r="C1955" s="2">
        <v>-5.6186293195999999E-2</v>
      </c>
      <c r="D1955" s="2">
        <v>-2.0217122999999998E-3</v>
      </c>
      <c r="E1955" s="2">
        <v>1</v>
      </c>
      <c r="F1955" s="2">
        <v>2.7122272852696E-2</v>
      </c>
      <c r="G1955" s="2">
        <v>1</v>
      </c>
    </row>
    <row r="1956" spans="1:7" x14ac:dyDescent="0.2">
      <c r="A1956" s="2" t="s">
        <v>33</v>
      </c>
      <c r="B1956" s="14">
        <v>39295</v>
      </c>
      <c r="C1956" s="2">
        <v>2.9589955219999999E-2</v>
      </c>
      <c r="D1956" s="2">
        <v>6.6911415E-3</v>
      </c>
      <c r="E1956" s="2">
        <v>1</v>
      </c>
      <c r="F1956" s="2">
        <v>2.0061303382849501E-2</v>
      </c>
      <c r="G1956" s="2">
        <v>1</v>
      </c>
    </row>
    <row r="1957" spans="1:7" x14ac:dyDescent="0.2">
      <c r="A1957" s="2" t="s">
        <v>33</v>
      </c>
      <c r="B1957" s="14">
        <v>39326</v>
      </c>
      <c r="C1957" s="2">
        <v>-2.3878560465E-2</v>
      </c>
      <c r="D1957" s="2">
        <v>-4.8521094000000001E-4</v>
      </c>
      <c r="E1957" s="2">
        <v>1</v>
      </c>
      <c r="F1957" s="2">
        <v>2.1597094605650499E-2</v>
      </c>
      <c r="G1957" s="2">
        <v>1</v>
      </c>
    </row>
    <row r="1958" spans="1:7" x14ac:dyDescent="0.2">
      <c r="A1958" s="2" t="s">
        <v>33</v>
      </c>
      <c r="B1958" s="14">
        <v>39356</v>
      </c>
      <c r="C1958" s="2">
        <v>6.5350340729999998E-2</v>
      </c>
      <c r="D1958" s="2">
        <v>-6.8738288000000001E-4</v>
      </c>
      <c r="E1958" s="2">
        <v>1</v>
      </c>
      <c r="F1958" s="2">
        <v>2.0760587050453801E-2</v>
      </c>
      <c r="G1958" s="2">
        <v>1</v>
      </c>
    </row>
    <row r="1959" spans="1:7" x14ac:dyDescent="0.2">
      <c r="A1959" s="2" t="s">
        <v>33</v>
      </c>
      <c r="B1959" s="14">
        <v>39387</v>
      </c>
      <c r="C1959" s="2">
        <v>-9.7917008363999997E-2</v>
      </c>
      <c r="D1959" s="2">
        <v>-4.0771239000000001E-3</v>
      </c>
      <c r="E1959" s="2">
        <v>1</v>
      </c>
      <c r="F1959" s="2">
        <v>1.8827426635340198E-2</v>
      </c>
      <c r="G1959" s="2">
        <v>1</v>
      </c>
    </row>
    <row r="1960" spans="1:7" x14ac:dyDescent="0.2">
      <c r="A1960" s="2" t="s">
        <v>33</v>
      </c>
      <c r="B1960" s="14">
        <v>39417</v>
      </c>
      <c r="C1960" s="2">
        <v>-6.8181818180999998E-2</v>
      </c>
      <c r="D1960" s="2">
        <v>-6.0651428000000002E-4</v>
      </c>
      <c r="E1960" s="2">
        <v>1</v>
      </c>
      <c r="F1960" s="2">
        <v>1.6786269328821199E-2</v>
      </c>
      <c r="G1960" s="2">
        <v>1</v>
      </c>
    </row>
    <row r="1961" spans="1:7" x14ac:dyDescent="0.2">
      <c r="A1961" s="2" t="s">
        <v>33</v>
      </c>
      <c r="B1961" s="14">
        <v>39448</v>
      </c>
      <c r="C1961" s="2">
        <v>-0.27941463415000001</v>
      </c>
      <c r="D1961" s="2">
        <v>3.4571316000000002E-3</v>
      </c>
      <c r="E1961" s="2">
        <v>1</v>
      </c>
      <c r="F1961" s="2">
        <v>1.33256058179197E-2</v>
      </c>
      <c r="G1961" s="2">
        <v>1</v>
      </c>
    </row>
    <row r="1962" spans="1:7" x14ac:dyDescent="0.2">
      <c r="A1962" s="2" t="s">
        <v>33</v>
      </c>
      <c r="B1962" s="14">
        <v>39479</v>
      </c>
      <c r="C1962" s="2">
        <v>-1.2997562956E-2</v>
      </c>
      <c r="D1962" s="2">
        <v>-6.7847291999999998E-3</v>
      </c>
      <c r="E1962" s="2">
        <v>1</v>
      </c>
      <c r="F1962" s="2">
        <v>8.3564093465111899E-3</v>
      </c>
      <c r="G1962" s="2">
        <v>1</v>
      </c>
    </row>
    <row r="1963" spans="1:7" x14ac:dyDescent="0.2">
      <c r="A1963" s="2" t="s">
        <v>33</v>
      </c>
      <c r="B1963" s="14">
        <v>39508</v>
      </c>
      <c r="C1963" s="2">
        <v>0.14540466392000001</v>
      </c>
      <c r="D1963" s="2">
        <v>2.1901906E-3</v>
      </c>
      <c r="E1963" s="2">
        <v>1</v>
      </c>
      <c r="F1963" s="2">
        <v>7.1562852983168097E-3</v>
      </c>
      <c r="G1963" s="2">
        <v>1</v>
      </c>
    </row>
    <row r="1964" spans="1:7" x14ac:dyDescent="0.2">
      <c r="A1964" s="2" t="s">
        <v>33</v>
      </c>
      <c r="B1964" s="14">
        <v>39539</v>
      </c>
      <c r="C1964" s="2">
        <v>-0.04</v>
      </c>
      <c r="D1964" s="2">
        <v>3.8060699999999999E-3</v>
      </c>
      <c r="E1964" s="2">
        <v>1</v>
      </c>
      <c r="F1964" s="2">
        <v>1.1939973495157701E-2</v>
      </c>
      <c r="G1964" s="2">
        <v>1</v>
      </c>
    </row>
    <row r="1965" spans="1:7" x14ac:dyDescent="0.2">
      <c r="A1965" s="2" t="s">
        <v>33</v>
      </c>
      <c r="B1965" s="14">
        <v>39569</v>
      </c>
      <c r="C1965" s="2">
        <v>0.28330877258999998</v>
      </c>
      <c r="D1965" s="2">
        <v>-2.0082362000000001E-3</v>
      </c>
      <c r="E1965" s="2">
        <v>1</v>
      </c>
      <c r="F1965" s="2">
        <v>8.8300879711525199E-3</v>
      </c>
      <c r="G1965" s="2">
        <v>1</v>
      </c>
    </row>
    <row r="1966" spans="1:7" x14ac:dyDescent="0.2">
      <c r="A1966" s="2" t="s">
        <v>33</v>
      </c>
      <c r="B1966" s="14">
        <v>39600</v>
      </c>
      <c r="C1966" s="2">
        <v>-4.4497895369999999E-2</v>
      </c>
      <c r="D1966" s="2">
        <v>1.3838341000000001E-2</v>
      </c>
      <c r="E1966" s="2">
        <v>1</v>
      </c>
      <c r="F1966" s="2">
        <v>1.9584988867856298E-2</v>
      </c>
      <c r="G1966" s="2">
        <v>1</v>
      </c>
    </row>
    <row r="1967" spans="1:7" x14ac:dyDescent="0.2">
      <c r="A1967" s="2" t="s">
        <v>33</v>
      </c>
      <c r="B1967" s="14">
        <v>39630</v>
      </c>
      <c r="C1967" s="2">
        <v>0.12083071113</v>
      </c>
      <c r="D1967" s="2">
        <v>2.9722997000000001E-3</v>
      </c>
      <c r="E1967" s="2">
        <v>1</v>
      </c>
      <c r="F1967" s="2">
        <v>2.0358510557897998E-2</v>
      </c>
      <c r="G1967" s="2">
        <v>1</v>
      </c>
    </row>
    <row r="1968" spans="1:7" x14ac:dyDescent="0.2">
      <c r="A1968" s="2" t="s">
        <v>33</v>
      </c>
      <c r="B1968" s="14">
        <v>39661</v>
      </c>
      <c r="C1968" s="2">
        <v>6.8313681440000003E-3</v>
      </c>
      <c r="D1968" s="2">
        <v>3.5581971E-3</v>
      </c>
      <c r="E1968" s="2">
        <v>1</v>
      </c>
      <c r="F1968" s="2">
        <v>3.2826701733432002E-2</v>
      </c>
      <c r="G1968" s="2">
        <v>1</v>
      </c>
    </row>
    <row r="1969" spans="1:7" x14ac:dyDescent="0.2">
      <c r="A1969" s="2" t="s">
        <v>33</v>
      </c>
      <c r="B1969" s="14">
        <v>39692</v>
      </c>
      <c r="C1969" s="2">
        <v>-1.8960869968000001E-2</v>
      </c>
      <c r="D1969" s="2">
        <v>1.3146709999999999E-3</v>
      </c>
      <c r="E1969" s="2">
        <v>1</v>
      </c>
      <c r="F1969" s="2">
        <v>3.3380582445578399E-2</v>
      </c>
      <c r="G1969" s="2">
        <v>1</v>
      </c>
    </row>
    <row r="1970" spans="1:7" x14ac:dyDescent="0.2">
      <c r="A1970" s="2" t="s">
        <v>33</v>
      </c>
      <c r="B1970" s="14">
        <v>39722</v>
      </c>
      <c r="C1970" s="2">
        <v>-3.5717669351E-2</v>
      </c>
      <c r="D1970" s="2">
        <v>5.0383833999999997E-3</v>
      </c>
      <c r="E1970" s="2">
        <v>1</v>
      </c>
      <c r="F1970" s="2">
        <v>2.86685582533182E-2</v>
      </c>
      <c r="G1970" s="2">
        <v>1</v>
      </c>
    </row>
    <row r="1971" spans="1:7" x14ac:dyDescent="0.2">
      <c r="A1971" s="2" t="s">
        <v>33</v>
      </c>
      <c r="B1971" s="14">
        <v>39753</v>
      </c>
      <c r="C1971" s="2">
        <v>-4.3426999410999999E-2</v>
      </c>
      <c r="D1971" s="2">
        <v>8.8585932000000006E-3</v>
      </c>
      <c r="E1971" s="2">
        <v>1</v>
      </c>
      <c r="F1971" s="2">
        <v>2.8857725767833999E-2</v>
      </c>
      <c r="G1971" s="2">
        <v>1</v>
      </c>
    </row>
    <row r="1972" spans="1:7" x14ac:dyDescent="0.2">
      <c r="A1972" s="2" t="s">
        <v>33</v>
      </c>
      <c r="B1972" s="14">
        <v>39783</v>
      </c>
      <c r="C1972" s="2">
        <v>2.5780608052000002E-2</v>
      </c>
      <c r="D1972" s="2">
        <v>6.7221071000000002E-3</v>
      </c>
      <c r="E1972" s="2">
        <v>1</v>
      </c>
      <c r="F1972" s="2">
        <v>1.9472371859261602E-2</v>
      </c>
      <c r="G1972" s="2">
        <v>1</v>
      </c>
    </row>
    <row r="1973" spans="1:7" x14ac:dyDescent="0.2">
      <c r="A1973" s="2" t="s">
        <v>34</v>
      </c>
      <c r="B1973" s="14">
        <v>37591</v>
      </c>
      <c r="C1973" s="2">
        <v>-4.7029702969999997E-2</v>
      </c>
      <c r="D1973" s="2">
        <v>0</v>
      </c>
      <c r="E1973" s="2">
        <v>1</v>
      </c>
      <c r="G1973" s="2">
        <v>2</v>
      </c>
    </row>
    <row r="1974" spans="1:7" x14ac:dyDescent="0.2">
      <c r="A1974" s="2" t="s">
        <v>34</v>
      </c>
      <c r="B1974" s="14">
        <v>37622</v>
      </c>
      <c r="C1974" s="2">
        <v>5.1974051339000002E-2</v>
      </c>
      <c r="D1974" s="2">
        <v>0</v>
      </c>
      <c r="E1974" s="2">
        <v>1</v>
      </c>
      <c r="G1974" s="2">
        <v>2</v>
      </c>
    </row>
    <row r="1975" spans="1:7" x14ac:dyDescent="0.2">
      <c r="A1975" s="2" t="s">
        <v>34</v>
      </c>
      <c r="B1975" s="14">
        <v>37653</v>
      </c>
      <c r="C1975" s="2">
        <v>1.7406947044999999E-2</v>
      </c>
      <c r="D1975" s="2">
        <v>0</v>
      </c>
      <c r="E1975" s="2">
        <v>1</v>
      </c>
      <c r="G1975" s="2">
        <v>2</v>
      </c>
    </row>
    <row r="1976" spans="1:7" x14ac:dyDescent="0.2">
      <c r="A1976" s="2" t="s">
        <v>34</v>
      </c>
      <c r="B1976" s="14">
        <v>37681</v>
      </c>
      <c r="C1976" s="2">
        <v>1.9269044528999999E-2</v>
      </c>
      <c r="D1976" s="2">
        <v>0</v>
      </c>
      <c r="E1976" s="2">
        <v>1</v>
      </c>
      <c r="G1976" s="2">
        <v>2</v>
      </c>
    </row>
    <row r="1977" spans="1:7" x14ac:dyDescent="0.2">
      <c r="A1977" s="2" t="s">
        <v>34</v>
      </c>
      <c r="B1977" s="14">
        <v>37712</v>
      </c>
      <c r="C1977" s="2">
        <v>8.8452514969000001E-2</v>
      </c>
      <c r="D1977" s="2">
        <v>0</v>
      </c>
      <c r="E1977" s="2">
        <v>1</v>
      </c>
      <c r="G1977" s="2">
        <v>2</v>
      </c>
    </row>
    <row r="1978" spans="1:7" x14ac:dyDescent="0.2">
      <c r="A1978" s="2" t="s">
        <v>34</v>
      </c>
      <c r="B1978" s="14">
        <v>37742</v>
      </c>
      <c r="C1978" s="2">
        <v>0.43668114644</v>
      </c>
      <c r="D1978" s="2">
        <v>0</v>
      </c>
      <c r="E1978" s="2">
        <v>1</v>
      </c>
      <c r="G1978" s="2">
        <v>2</v>
      </c>
    </row>
    <row r="1979" spans="1:7" x14ac:dyDescent="0.2">
      <c r="A1979" s="2" t="s">
        <v>34</v>
      </c>
      <c r="B1979" s="14">
        <v>37773</v>
      </c>
      <c r="C1979" s="2">
        <v>-8.8145861044000004E-2</v>
      </c>
      <c r="D1979" s="2">
        <v>0</v>
      </c>
      <c r="E1979" s="2">
        <v>1</v>
      </c>
      <c r="G1979" s="2">
        <v>2</v>
      </c>
    </row>
    <row r="1980" spans="1:7" x14ac:dyDescent="0.2">
      <c r="A1980" s="2" t="s">
        <v>34</v>
      </c>
      <c r="B1980" s="14">
        <v>37803</v>
      </c>
      <c r="C1980" s="2">
        <v>0.11578947368</v>
      </c>
      <c r="D1980" s="2">
        <v>0</v>
      </c>
      <c r="E1980" s="2">
        <v>1</v>
      </c>
      <c r="G1980" s="2">
        <v>2</v>
      </c>
    </row>
    <row r="1981" spans="1:7" x14ac:dyDescent="0.2">
      <c r="A1981" s="2" t="s">
        <v>34</v>
      </c>
      <c r="B1981" s="14">
        <v>37834</v>
      </c>
      <c r="C1981" s="2">
        <v>0.13207547169</v>
      </c>
      <c r="D1981" s="2">
        <v>0</v>
      </c>
      <c r="E1981" s="2">
        <v>1</v>
      </c>
      <c r="F1981" s="2">
        <v>5.5331346831093503E-2</v>
      </c>
      <c r="G1981" s="2">
        <v>2</v>
      </c>
    </row>
    <row r="1982" spans="1:7" x14ac:dyDescent="0.2">
      <c r="A1982" s="2" t="s">
        <v>34</v>
      </c>
      <c r="B1982" s="14">
        <v>37865</v>
      </c>
      <c r="C1982" s="2">
        <v>-5.5416700574999998E-2</v>
      </c>
      <c r="D1982" s="2">
        <v>0</v>
      </c>
      <c r="E1982" s="2">
        <v>1</v>
      </c>
      <c r="F1982" s="2">
        <v>5.8144446964482399E-2</v>
      </c>
      <c r="G1982" s="2">
        <v>2</v>
      </c>
    </row>
    <row r="1983" spans="1:7" x14ac:dyDescent="0.2">
      <c r="A1983" s="2" t="s">
        <v>34</v>
      </c>
      <c r="B1983" s="14">
        <v>37895</v>
      </c>
      <c r="C1983" s="2">
        <v>0.10277904267</v>
      </c>
      <c r="D1983" s="2">
        <v>0</v>
      </c>
      <c r="E1983" s="2">
        <v>1</v>
      </c>
      <c r="F1983" s="2">
        <v>5.60926564526886E-2</v>
      </c>
      <c r="G1983" s="2">
        <v>2</v>
      </c>
    </row>
    <row r="1984" spans="1:7" x14ac:dyDescent="0.2">
      <c r="A1984" s="2" t="s">
        <v>34</v>
      </c>
      <c r="B1984" s="14">
        <v>37926</v>
      </c>
      <c r="C1984" s="2">
        <v>3.2123239891000001E-2</v>
      </c>
      <c r="D1984" s="2">
        <v>0</v>
      </c>
      <c r="E1984" s="2">
        <v>1</v>
      </c>
      <c r="F1984" s="2">
        <v>5.6123890868377699E-2</v>
      </c>
      <c r="G1984" s="2">
        <v>2</v>
      </c>
    </row>
    <row r="1985" spans="1:7" x14ac:dyDescent="0.2">
      <c r="A1985" s="2" t="s">
        <v>34</v>
      </c>
      <c r="B1985" s="14">
        <v>37956</v>
      </c>
      <c r="C1985" s="2">
        <v>5.2493093014999999E-2</v>
      </c>
      <c r="D1985" s="2">
        <v>0</v>
      </c>
      <c r="E1985" s="2">
        <v>1</v>
      </c>
      <c r="F1985" s="2">
        <v>4.4282456570808003E-2</v>
      </c>
      <c r="G1985" s="2">
        <v>2</v>
      </c>
    </row>
    <row r="1986" spans="1:7" x14ac:dyDescent="0.2">
      <c r="A1986" s="2" t="s">
        <v>34</v>
      </c>
      <c r="B1986" s="14">
        <v>37987</v>
      </c>
      <c r="E1986" s="2">
        <v>1</v>
      </c>
      <c r="F1986" s="2">
        <v>4.8113068342031301E-2</v>
      </c>
      <c r="G1986" s="2">
        <v>2</v>
      </c>
    </row>
    <row r="1987" spans="1:7" x14ac:dyDescent="0.2">
      <c r="A1987" s="2" t="s">
        <v>34</v>
      </c>
      <c r="B1987" s="14">
        <v>38018</v>
      </c>
      <c r="C1987" s="2">
        <v>-0.1</v>
      </c>
      <c r="E1987" s="2">
        <v>1</v>
      </c>
      <c r="G1987" s="2">
        <v>2</v>
      </c>
    </row>
    <row r="1988" spans="1:7" x14ac:dyDescent="0.2">
      <c r="A1988" s="2" t="s">
        <v>34</v>
      </c>
      <c r="B1988" s="14">
        <v>38047</v>
      </c>
      <c r="C1988" s="2">
        <v>5.5555555557000001E-2</v>
      </c>
      <c r="D1988" s="2">
        <v>0</v>
      </c>
      <c r="E1988" s="2">
        <v>1</v>
      </c>
      <c r="F1988" s="2">
        <v>3.8594381240110998E-2</v>
      </c>
      <c r="G1988" s="2">
        <v>2</v>
      </c>
    </row>
    <row r="1989" spans="1:7" x14ac:dyDescent="0.2">
      <c r="A1989" s="2" t="s">
        <v>34</v>
      </c>
      <c r="B1989" s="14">
        <v>38078</v>
      </c>
      <c r="C1989" s="2">
        <v>-2.6315789472999999E-2</v>
      </c>
      <c r="D1989" s="2">
        <v>0</v>
      </c>
      <c r="E1989" s="2">
        <v>1</v>
      </c>
      <c r="F1989" s="2">
        <v>4.1662986633570397E-2</v>
      </c>
      <c r="G1989" s="2">
        <v>2</v>
      </c>
    </row>
    <row r="1990" spans="1:7" x14ac:dyDescent="0.2">
      <c r="A1990" s="2" t="s">
        <v>34</v>
      </c>
      <c r="B1990" s="14">
        <v>38108</v>
      </c>
      <c r="D1990" s="2">
        <v>0</v>
      </c>
      <c r="E1990" s="2">
        <v>1</v>
      </c>
      <c r="F1990" s="2">
        <v>3.80435134563719E-2</v>
      </c>
      <c r="G1990" s="2">
        <v>2</v>
      </c>
    </row>
    <row r="1991" spans="1:7" x14ac:dyDescent="0.2">
      <c r="A1991" s="2" t="s">
        <v>34</v>
      </c>
      <c r="B1991" s="14">
        <v>38139</v>
      </c>
      <c r="C1991" s="2">
        <v>-4.4476524369000001E-2</v>
      </c>
      <c r="D1991" s="2">
        <v>0</v>
      </c>
      <c r="E1991" s="2">
        <v>1</v>
      </c>
      <c r="G1991" s="2">
        <v>2</v>
      </c>
    </row>
    <row r="1992" spans="1:7" x14ac:dyDescent="0.2">
      <c r="A1992" s="2" t="s">
        <v>34</v>
      </c>
      <c r="B1992" s="14">
        <v>38169</v>
      </c>
      <c r="C1992" s="2">
        <v>7.1942446028999997E-3</v>
      </c>
      <c r="D1992" s="2">
        <v>0</v>
      </c>
      <c r="E1992" s="2">
        <v>1</v>
      </c>
      <c r="F1992" s="2">
        <v>3.31613635468892E-2</v>
      </c>
      <c r="G1992" s="2">
        <v>2</v>
      </c>
    </row>
    <row r="1993" spans="1:7" x14ac:dyDescent="0.2">
      <c r="A1993" s="2" t="s">
        <v>34</v>
      </c>
      <c r="B1993" s="14">
        <v>38200</v>
      </c>
      <c r="C1993" s="2">
        <v>7.1428571428E-3</v>
      </c>
      <c r="D1993" s="2">
        <v>0</v>
      </c>
      <c r="E1993" s="2">
        <v>1</v>
      </c>
      <c r="F1993" s="2">
        <v>1.9842254946830899E-2</v>
      </c>
      <c r="G1993" s="2">
        <v>2</v>
      </c>
    </row>
    <row r="1994" spans="1:7" x14ac:dyDescent="0.2">
      <c r="A1994" s="2" t="s">
        <v>34</v>
      </c>
      <c r="B1994" s="14">
        <v>38231</v>
      </c>
      <c r="C1994" s="2">
        <v>3.5460992907E-2</v>
      </c>
      <c r="D1994" s="2">
        <v>0</v>
      </c>
      <c r="E1994" s="2">
        <v>1</v>
      </c>
      <c r="F1994" s="2">
        <v>2.26874619654725E-2</v>
      </c>
      <c r="G1994" s="2">
        <v>2</v>
      </c>
    </row>
    <row r="1995" spans="1:7" x14ac:dyDescent="0.2">
      <c r="A1995" s="2" t="s">
        <v>34</v>
      </c>
      <c r="B1995" s="14">
        <v>38261</v>
      </c>
      <c r="C1995" s="2">
        <v>1.3972602739000001E-2</v>
      </c>
      <c r="D1995" s="2">
        <v>0</v>
      </c>
      <c r="E1995" s="2">
        <v>1</v>
      </c>
      <c r="F1995" s="2">
        <v>2.1971308053541201E-2</v>
      </c>
      <c r="G1995" s="2">
        <v>2</v>
      </c>
    </row>
    <row r="1996" spans="1:7" x14ac:dyDescent="0.2">
      <c r="A1996" s="2" t="s">
        <v>34</v>
      </c>
      <c r="B1996" s="14">
        <v>38292</v>
      </c>
      <c r="C1996" s="2">
        <v>1.3239664954999999E-2</v>
      </c>
      <c r="D1996" s="2">
        <v>0</v>
      </c>
      <c r="E1996" s="2">
        <v>1</v>
      </c>
      <c r="F1996" s="2">
        <v>2.2927121415254201E-2</v>
      </c>
      <c r="G1996" s="2">
        <v>2</v>
      </c>
    </row>
    <row r="1997" spans="1:7" x14ac:dyDescent="0.2">
      <c r="A1997" s="2" t="s">
        <v>34</v>
      </c>
      <c r="B1997" s="14">
        <v>38322</v>
      </c>
      <c r="C1997" s="2">
        <v>6.6666666661999996E-3</v>
      </c>
      <c r="D1997" s="2">
        <v>0</v>
      </c>
      <c r="E1997" s="2">
        <v>1</v>
      </c>
      <c r="F1997" s="2">
        <v>2.3263013080242801E-2</v>
      </c>
      <c r="G1997" s="2">
        <v>2</v>
      </c>
    </row>
    <row r="1998" spans="1:7" x14ac:dyDescent="0.2">
      <c r="A1998" s="2" t="s">
        <v>34</v>
      </c>
      <c r="B1998" s="14">
        <v>38353</v>
      </c>
      <c r="C1998" s="2">
        <v>0</v>
      </c>
      <c r="D1998" s="2">
        <v>0</v>
      </c>
      <c r="E1998" s="2">
        <v>1</v>
      </c>
      <c r="F1998" s="2">
        <v>2.4661910024988298E-2</v>
      </c>
      <c r="G1998" s="2">
        <v>2</v>
      </c>
    </row>
    <row r="1999" spans="1:7" x14ac:dyDescent="0.2">
      <c r="A1999" s="2" t="s">
        <v>34</v>
      </c>
      <c r="B1999" s="14">
        <v>38384</v>
      </c>
      <c r="C1999" s="2">
        <v>0</v>
      </c>
      <c r="D1999" s="2">
        <v>0</v>
      </c>
      <c r="E1999" s="2">
        <v>1</v>
      </c>
      <c r="F1999" s="2">
        <v>2.4411945186609701E-2</v>
      </c>
      <c r="G1999" s="2">
        <v>2</v>
      </c>
    </row>
    <row r="2000" spans="1:7" x14ac:dyDescent="0.2">
      <c r="A2000" s="2" t="s">
        <v>34</v>
      </c>
      <c r="B2000" s="14">
        <v>38412</v>
      </c>
      <c r="C2000" s="2">
        <v>1.9867549668999999E-2</v>
      </c>
      <c r="D2000" s="2">
        <v>0</v>
      </c>
      <c r="E2000" s="2">
        <v>1</v>
      </c>
      <c r="F2000" s="2">
        <v>2.3922532666442699E-2</v>
      </c>
      <c r="G2000" s="2">
        <v>2</v>
      </c>
    </row>
    <row r="2001" spans="1:7" x14ac:dyDescent="0.2">
      <c r="A2001" s="2" t="s">
        <v>34</v>
      </c>
      <c r="B2001" s="14">
        <v>38443</v>
      </c>
      <c r="C2001" s="2">
        <v>-2.5974025975E-3</v>
      </c>
      <c r="D2001" s="2">
        <v>0</v>
      </c>
      <c r="E2001" s="2">
        <v>1</v>
      </c>
      <c r="F2001" s="2">
        <v>2.3335838105367199E-2</v>
      </c>
      <c r="G2001" s="2">
        <v>2</v>
      </c>
    </row>
    <row r="2002" spans="1:7" x14ac:dyDescent="0.2">
      <c r="A2002" s="2" t="s">
        <v>34</v>
      </c>
      <c r="B2002" s="14">
        <v>38473</v>
      </c>
      <c r="C2002" s="2">
        <v>1.6107382550999999E-2</v>
      </c>
      <c r="D2002" s="2">
        <v>0</v>
      </c>
      <c r="E2002" s="2">
        <v>1</v>
      </c>
      <c r="F2002" s="2">
        <v>2.2823324269325401E-2</v>
      </c>
      <c r="G2002" s="2">
        <v>2</v>
      </c>
    </row>
    <row r="2003" spans="1:7" x14ac:dyDescent="0.2">
      <c r="A2003" s="2" t="s">
        <v>34</v>
      </c>
      <c r="B2003" s="14">
        <v>38504</v>
      </c>
      <c r="C2003" s="2">
        <v>-9.2470277414000001E-3</v>
      </c>
      <c r="D2003" s="2">
        <v>7.9745314999999997E-3</v>
      </c>
      <c r="E2003" s="2">
        <v>1</v>
      </c>
      <c r="F2003" s="2">
        <v>2.2926832781062299E-2</v>
      </c>
      <c r="G2003" s="2">
        <v>2</v>
      </c>
    </row>
    <row r="2004" spans="1:7" x14ac:dyDescent="0.2">
      <c r="A2004" s="2" t="s">
        <v>34</v>
      </c>
      <c r="B2004" s="14">
        <v>38534</v>
      </c>
      <c r="C2004" s="2">
        <v>-2.6666666668000001E-2</v>
      </c>
      <c r="D2004" s="2">
        <v>0</v>
      </c>
      <c r="E2004" s="2">
        <v>1</v>
      </c>
      <c r="F2004" s="2">
        <v>2.2354642612384099E-2</v>
      </c>
      <c r="G2004" s="2">
        <v>2</v>
      </c>
    </row>
    <row r="2005" spans="1:7" x14ac:dyDescent="0.2">
      <c r="A2005" s="2" t="s">
        <v>34</v>
      </c>
      <c r="B2005" s="14">
        <v>38565</v>
      </c>
      <c r="C2005" s="2">
        <v>0</v>
      </c>
      <c r="D2005" s="2">
        <v>0</v>
      </c>
      <c r="E2005" s="2">
        <v>1</v>
      </c>
      <c r="F2005" s="2">
        <v>2.4649520493681E-2</v>
      </c>
      <c r="G2005" s="2">
        <v>2</v>
      </c>
    </row>
    <row r="2006" spans="1:7" x14ac:dyDescent="0.2">
      <c r="A2006" s="2" t="s">
        <v>34</v>
      </c>
      <c r="B2006" s="14">
        <v>38596</v>
      </c>
      <c r="C2006" s="2">
        <v>0</v>
      </c>
      <c r="D2006" s="2">
        <v>0</v>
      </c>
      <c r="E2006" s="2">
        <v>1</v>
      </c>
      <c r="F2006" s="2">
        <v>2.46512878987682E-2</v>
      </c>
      <c r="G2006" s="2">
        <v>2</v>
      </c>
    </row>
    <row r="2007" spans="1:7" x14ac:dyDescent="0.2">
      <c r="A2007" s="2" t="s">
        <v>34</v>
      </c>
      <c r="B2007" s="14">
        <v>38626</v>
      </c>
      <c r="C2007" s="2">
        <v>-4.1095890410000002E-2</v>
      </c>
      <c r="D2007" s="2">
        <v>0</v>
      </c>
      <c r="E2007" s="2">
        <v>1</v>
      </c>
      <c r="F2007" s="2">
        <v>2.4019661634375401E-2</v>
      </c>
      <c r="G2007" s="2">
        <v>2</v>
      </c>
    </row>
    <row r="2008" spans="1:7" x14ac:dyDescent="0.2">
      <c r="A2008" s="2" t="s">
        <v>34</v>
      </c>
      <c r="B2008" s="14">
        <v>38657</v>
      </c>
      <c r="C2008" s="2">
        <v>0</v>
      </c>
      <c r="D2008" s="2">
        <v>0</v>
      </c>
      <c r="E2008" s="2">
        <v>1</v>
      </c>
      <c r="F2008" s="2">
        <v>2.3089306310015701E-2</v>
      </c>
      <c r="G2008" s="2">
        <v>2</v>
      </c>
    </row>
    <row r="2009" spans="1:7" x14ac:dyDescent="0.2">
      <c r="A2009" s="2" t="s">
        <v>34</v>
      </c>
      <c r="B2009" s="14">
        <v>38687</v>
      </c>
      <c r="C2009" s="2">
        <v>-2.1645021646E-2</v>
      </c>
      <c r="D2009" s="2">
        <v>0</v>
      </c>
      <c r="E2009" s="2">
        <v>1</v>
      </c>
      <c r="F2009" s="2">
        <v>2.2634713431873399E-2</v>
      </c>
      <c r="G2009" s="2">
        <v>2</v>
      </c>
    </row>
    <row r="2010" spans="1:7" x14ac:dyDescent="0.2">
      <c r="A2010" s="2" t="s">
        <v>34</v>
      </c>
      <c r="B2010" s="14">
        <v>38718</v>
      </c>
      <c r="C2010" s="2">
        <v>-6.3421828907999994E-2</v>
      </c>
      <c r="D2010" s="2">
        <v>0</v>
      </c>
      <c r="E2010" s="2">
        <v>1</v>
      </c>
      <c r="F2010" s="2">
        <v>2.2335487348016499E-2</v>
      </c>
      <c r="G2010" s="2">
        <v>2</v>
      </c>
    </row>
    <row r="2011" spans="1:7" x14ac:dyDescent="0.2">
      <c r="A2011" s="2" t="s">
        <v>34</v>
      </c>
      <c r="B2011" s="14">
        <v>38749</v>
      </c>
      <c r="C2011" s="2">
        <v>0.10236220472</v>
      </c>
      <c r="D2011" s="2">
        <v>0</v>
      </c>
      <c r="E2011" s="2">
        <v>1</v>
      </c>
      <c r="F2011" s="2">
        <v>2.1547000242081699E-2</v>
      </c>
      <c r="G2011" s="2">
        <v>2</v>
      </c>
    </row>
    <row r="2012" spans="1:7" x14ac:dyDescent="0.2">
      <c r="A2012" s="2" t="s">
        <v>34</v>
      </c>
      <c r="B2012" s="14">
        <v>38777</v>
      </c>
      <c r="C2012" s="2">
        <v>0</v>
      </c>
      <c r="D2012" s="2">
        <v>0</v>
      </c>
      <c r="E2012" s="2">
        <v>1</v>
      </c>
      <c r="F2012" s="2">
        <v>2.4594913996415401E-2</v>
      </c>
      <c r="G2012" s="2">
        <v>2</v>
      </c>
    </row>
    <row r="2013" spans="1:7" x14ac:dyDescent="0.2">
      <c r="A2013" s="2" t="s">
        <v>34</v>
      </c>
      <c r="B2013" s="14">
        <v>38808</v>
      </c>
      <c r="C2013" s="2">
        <v>4.2857142857E-2</v>
      </c>
      <c r="D2013" s="2">
        <v>0</v>
      </c>
      <c r="E2013" s="2">
        <v>1</v>
      </c>
      <c r="F2013" s="2">
        <v>2.4584013084694298E-2</v>
      </c>
      <c r="G2013" s="2">
        <v>2</v>
      </c>
    </row>
    <row r="2014" spans="1:7" x14ac:dyDescent="0.2">
      <c r="A2014" s="2" t="s">
        <v>34</v>
      </c>
      <c r="B2014" s="14">
        <v>38838</v>
      </c>
      <c r="C2014" s="2">
        <v>6.1172119701999997E-2</v>
      </c>
      <c r="D2014" s="2">
        <v>0</v>
      </c>
      <c r="E2014" s="2">
        <v>1</v>
      </c>
      <c r="F2014" s="2">
        <v>2.6955674534901601E-2</v>
      </c>
      <c r="G2014" s="2">
        <v>2</v>
      </c>
    </row>
    <row r="2015" spans="1:7" x14ac:dyDescent="0.2">
      <c r="A2015" s="2" t="s">
        <v>34</v>
      </c>
      <c r="B2015" s="14">
        <v>38869</v>
      </c>
      <c r="C2015" s="2">
        <v>0</v>
      </c>
      <c r="D2015" s="2">
        <v>0</v>
      </c>
      <c r="E2015" s="2">
        <v>1</v>
      </c>
      <c r="F2015" s="2">
        <v>2.8695786796660301E-2</v>
      </c>
      <c r="G2015" s="2">
        <v>2</v>
      </c>
    </row>
    <row r="2016" spans="1:7" x14ac:dyDescent="0.2">
      <c r="A2016" s="2" t="s">
        <v>34</v>
      </c>
      <c r="B2016" s="14">
        <v>38899</v>
      </c>
      <c r="C2016" s="2">
        <v>2.6315789472999999E-2</v>
      </c>
      <c r="D2016" s="2">
        <v>0</v>
      </c>
      <c r="E2016" s="2">
        <v>1</v>
      </c>
      <c r="F2016" s="2">
        <v>2.93181167647837E-2</v>
      </c>
      <c r="G2016" s="2">
        <v>2</v>
      </c>
    </row>
    <row r="2017" spans="1:7" x14ac:dyDescent="0.2">
      <c r="A2017" s="2" t="s">
        <v>34</v>
      </c>
      <c r="B2017" s="14">
        <v>38930</v>
      </c>
      <c r="C2017" s="2">
        <v>5.1282051281000003E-2</v>
      </c>
      <c r="D2017" s="2">
        <v>0</v>
      </c>
      <c r="E2017" s="2">
        <v>1</v>
      </c>
      <c r="F2017" s="2">
        <v>3.5045447582195001E-2</v>
      </c>
      <c r="G2017" s="2">
        <v>2</v>
      </c>
    </row>
    <row r="2018" spans="1:7" x14ac:dyDescent="0.2">
      <c r="A2018" s="2" t="s">
        <v>34</v>
      </c>
      <c r="B2018" s="14">
        <v>38961</v>
      </c>
      <c r="C2018" s="2">
        <v>1.5853658537E-2</v>
      </c>
      <c r="D2018" s="2">
        <v>0</v>
      </c>
      <c r="E2018" s="2">
        <v>1</v>
      </c>
      <c r="F2018" s="2">
        <v>3.3484034574244002E-2</v>
      </c>
      <c r="G2018" s="2">
        <v>2</v>
      </c>
    </row>
    <row r="2019" spans="1:7" x14ac:dyDescent="0.2">
      <c r="A2019" s="2" t="s">
        <v>34</v>
      </c>
      <c r="B2019" s="14">
        <v>38991</v>
      </c>
      <c r="C2019" s="2">
        <v>8.0432172868000001E-2</v>
      </c>
      <c r="D2019" s="2">
        <v>0</v>
      </c>
      <c r="E2019" s="2">
        <v>1</v>
      </c>
      <c r="F2019" s="2">
        <v>3.3902826730435202E-2</v>
      </c>
      <c r="G2019" s="2">
        <v>2</v>
      </c>
    </row>
    <row r="2020" spans="1:7" x14ac:dyDescent="0.2">
      <c r="A2020" s="2" t="s">
        <v>34</v>
      </c>
      <c r="B2020" s="14">
        <v>39022</v>
      </c>
      <c r="C2020" s="2">
        <v>1.3513513513E-2</v>
      </c>
      <c r="D2020" s="2">
        <v>0</v>
      </c>
      <c r="E2020" s="2">
        <v>1</v>
      </c>
      <c r="F2020" s="2">
        <v>3.4812986951846203E-2</v>
      </c>
      <c r="G2020" s="2">
        <v>2</v>
      </c>
    </row>
    <row r="2021" spans="1:7" x14ac:dyDescent="0.2">
      <c r="A2021" s="2" t="s">
        <v>34</v>
      </c>
      <c r="B2021" s="14">
        <v>39052</v>
      </c>
      <c r="C2021" s="2">
        <v>0</v>
      </c>
      <c r="D2021" s="19">
        <v>2.1755077000000002E-6</v>
      </c>
      <c r="E2021" s="2">
        <v>1</v>
      </c>
      <c r="F2021" s="2">
        <v>3.3426842048354097E-2</v>
      </c>
      <c r="G2021" s="2">
        <v>2</v>
      </c>
    </row>
    <row r="2022" spans="1:7" x14ac:dyDescent="0.2">
      <c r="A2022" s="2" t="s">
        <v>34</v>
      </c>
      <c r="B2022" s="14">
        <v>39083</v>
      </c>
      <c r="C2022" s="2">
        <v>1.1111111111000001E-2</v>
      </c>
      <c r="D2022" s="2">
        <v>0</v>
      </c>
      <c r="E2022" s="2">
        <v>1</v>
      </c>
      <c r="F2022" s="2">
        <v>3.3395973023674801E-2</v>
      </c>
      <c r="G2022" s="2">
        <v>2</v>
      </c>
    </row>
    <row r="2023" spans="1:7" x14ac:dyDescent="0.2">
      <c r="A2023" s="2" t="s">
        <v>34</v>
      </c>
      <c r="B2023" s="14">
        <v>39114</v>
      </c>
      <c r="C2023" s="2">
        <v>1.0989010989E-2</v>
      </c>
      <c r="D2023" s="2">
        <v>0</v>
      </c>
      <c r="E2023" s="2">
        <v>1</v>
      </c>
      <c r="F2023" s="2">
        <v>3.2746548411624297E-2</v>
      </c>
      <c r="G2023" s="2">
        <v>2</v>
      </c>
    </row>
    <row r="2024" spans="1:7" x14ac:dyDescent="0.2">
      <c r="A2024" s="2" t="s">
        <v>34</v>
      </c>
      <c r="B2024" s="14">
        <v>39142</v>
      </c>
      <c r="C2024" s="2">
        <v>0</v>
      </c>
      <c r="D2024" s="2">
        <v>0</v>
      </c>
      <c r="E2024" s="2">
        <v>1</v>
      </c>
      <c r="F2024" s="2">
        <v>3.1420584578603201E-2</v>
      </c>
      <c r="G2024" s="2">
        <v>2</v>
      </c>
    </row>
    <row r="2025" spans="1:7" x14ac:dyDescent="0.2">
      <c r="A2025" s="2" t="s">
        <v>34</v>
      </c>
      <c r="B2025" s="14">
        <v>39173</v>
      </c>
      <c r="C2025" s="2">
        <v>1.0869565217999999E-2</v>
      </c>
      <c r="D2025" s="2">
        <v>0</v>
      </c>
      <c r="E2025" s="2">
        <v>1</v>
      </c>
      <c r="F2025" s="2">
        <v>3.0962560088439801E-2</v>
      </c>
      <c r="G2025" s="2">
        <v>2</v>
      </c>
    </row>
    <row r="2026" spans="1:7" x14ac:dyDescent="0.2">
      <c r="A2026" s="2" t="s">
        <v>34</v>
      </c>
      <c r="B2026" s="14">
        <v>39203</v>
      </c>
      <c r="C2026" s="2">
        <v>5.2048726469000002E-2</v>
      </c>
      <c r="D2026" s="2">
        <v>0</v>
      </c>
      <c r="E2026" s="2">
        <v>1</v>
      </c>
      <c r="F2026" s="2">
        <v>2.8991038581506499E-2</v>
      </c>
      <c r="G2026" s="2">
        <v>2</v>
      </c>
    </row>
    <row r="2027" spans="1:7" x14ac:dyDescent="0.2">
      <c r="A2027" s="2" t="s">
        <v>34</v>
      </c>
      <c r="B2027" s="14">
        <v>39234</v>
      </c>
      <c r="C2027" s="2">
        <v>7.3684210525000002E-2</v>
      </c>
      <c r="D2027" s="2">
        <v>0</v>
      </c>
      <c r="E2027" s="2">
        <v>1</v>
      </c>
      <c r="F2027" s="2">
        <v>2.9968845935871902E-2</v>
      </c>
      <c r="G2027" s="2">
        <v>2</v>
      </c>
    </row>
    <row r="2028" spans="1:7" x14ac:dyDescent="0.2">
      <c r="A2028" s="2" t="s">
        <v>34</v>
      </c>
      <c r="B2028" s="14">
        <v>39264</v>
      </c>
      <c r="C2028" s="2">
        <v>-1.4705882353000001E-2</v>
      </c>
      <c r="D2028" s="2">
        <v>0</v>
      </c>
      <c r="E2028" s="2">
        <v>1</v>
      </c>
      <c r="F2028" s="2">
        <v>3.1987720016615602E-2</v>
      </c>
      <c r="G2028" s="2">
        <v>2</v>
      </c>
    </row>
    <row r="2029" spans="1:7" x14ac:dyDescent="0.2">
      <c r="A2029" s="2" t="s">
        <v>34</v>
      </c>
      <c r="B2029" s="14">
        <v>39295</v>
      </c>
      <c r="C2029" s="2">
        <v>-4.9751243777999997E-3</v>
      </c>
      <c r="D2029" s="2">
        <v>0</v>
      </c>
      <c r="E2029" s="2">
        <v>1</v>
      </c>
      <c r="F2029" s="2">
        <v>2.7530113495813802E-2</v>
      </c>
      <c r="G2029" s="2">
        <v>2</v>
      </c>
    </row>
    <row r="2030" spans="1:7" x14ac:dyDescent="0.2">
      <c r="A2030" s="2" t="s">
        <v>34</v>
      </c>
      <c r="B2030" s="14">
        <v>39326</v>
      </c>
      <c r="C2030" s="2">
        <v>5.0000000001000001E-2</v>
      </c>
      <c r="D2030" s="2">
        <v>0</v>
      </c>
      <c r="E2030" s="2">
        <v>1</v>
      </c>
      <c r="F2030" s="2">
        <v>2.7080013516231401E-2</v>
      </c>
      <c r="G2030" s="2">
        <v>2</v>
      </c>
    </row>
    <row r="2031" spans="1:7" x14ac:dyDescent="0.2">
      <c r="A2031" s="2" t="s">
        <v>34</v>
      </c>
      <c r="B2031" s="14">
        <v>39356</v>
      </c>
      <c r="C2031" s="2">
        <v>9.5238095219E-3</v>
      </c>
      <c r="D2031" s="2">
        <v>0</v>
      </c>
      <c r="E2031" s="2">
        <v>1</v>
      </c>
      <c r="F2031" s="2">
        <v>2.8433496690743999E-2</v>
      </c>
      <c r="G2031" s="2">
        <v>2</v>
      </c>
    </row>
    <row r="2032" spans="1:7" x14ac:dyDescent="0.2">
      <c r="A2032" s="2" t="s">
        <v>34</v>
      </c>
      <c r="B2032" s="14">
        <v>39387</v>
      </c>
      <c r="C2032" s="2">
        <v>0</v>
      </c>
      <c r="D2032" s="2">
        <v>0</v>
      </c>
      <c r="E2032" s="2">
        <v>1</v>
      </c>
      <c r="F2032" s="2">
        <v>2.8272509573402198E-2</v>
      </c>
      <c r="G2032" s="2">
        <v>2</v>
      </c>
    </row>
    <row r="2033" spans="1:7" x14ac:dyDescent="0.2">
      <c r="A2033" s="2" t="s">
        <v>34</v>
      </c>
      <c r="B2033" s="14">
        <v>39417</v>
      </c>
      <c r="C2033" s="2">
        <v>-9.5238095238999995E-2</v>
      </c>
      <c r="D2033" s="2">
        <v>0</v>
      </c>
      <c r="E2033" s="2">
        <v>1</v>
      </c>
      <c r="F2033" s="2">
        <v>2.6799234399380201E-2</v>
      </c>
      <c r="G2033" s="2">
        <v>2</v>
      </c>
    </row>
    <row r="2034" spans="1:7" x14ac:dyDescent="0.2">
      <c r="A2034" s="2" t="s">
        <v>34</v>
      </c>
      <c r="B2034" s="14">
        <v>39448</v>
      </c>
      <c r="C2034" s="2">
        <v>-6.3157894729E-3</v>
      </c>
      <c r="D2034" s="2">
        <v>0</v>
      </c>
      <c r="E2034" s="2">
        <v>1</v>
      </c>
      <c r="F2034" s="2">
        <v>2.2429028282369201E-2</v>
      </c>
      <c r="G2034" s="2">
        <v>2</v>
      </c>
    </row>
    <row r="2035" spans="1:7" x14ac:dyDescent="0.2">
      <c r="A2035" s="2" t="s">
        <v>34</v>
      </c>
      <c r="B2035" s="14">
        <v>39479</v>
      </c>
      <c r="C2035" s="2">
        <v>-2.6483050849E-2</v>
      </c>
      <c r="D2035" s="2">
        <v>0</v>
      </c>
      <c r="E2035" s="2">
        <v>1</v>
      </c>
      <c r="F2035" s="2">
        <v>2.26896956677449E-2</v>
      </c>
      <c r="G2035" s="2">
        <v>2</v>
      </c>
    </row>
    <row r="2036" spans="1:7" x14ac:dyDescent="0.2">
      <c r="A2036" s="2" t="s">
        <v>34</v>
      </c>
      <c r="B2036" s="14">
        <v>39508</v>
      </c>
      <c r="C2036" s="2">
        <v>-0.20565832426</v>
      </c>
      <c r="D2036" s="19">
        <v>2.5742656E-5</v>
      </c>
      <c r="E2036" s="2">
        <v>1</v>
      </c>
      <c r="F2036" s="2">
        <v>2.2149251713708299E-2</v>
      </c>
      <c r="G2036" s="2">
        <v>2</v>
      </c>
    </row>
    <row r="2037" spans="1:7" x14ac:dyDescent="0.2">
      <c r="A2037" s="2" t="s">
        <v>34</v>
      </c>
      <c r="B2037" s="14">
        <v>39539</v>
      </c>
      <c r="C2037" s="2">
        <v>0</v>
      </c>
      <c r="D2037" s="19">
        <v>7.3660134999999997E-6</v>
      </c>
      <c r="E2037" s="2">
        <v>1</v>
      </c>
      <c r="F2037" s="2">
        <v>1.5870883856268801E-2</v>
      </c>
      <c r="G2037" s="2">
        <v>2</v>
      </c>
    </row>
    <row r="2038" spans="1:7" x14ac:dyDescent="0.2">
      <c r="A2038" s="2" t="s">
        <v>34</v>
      </c>
      <c r="B2038" s="14">
        <v>39569</v>
      </c>
      <c r="C2038" s="2">
        <v>2.5280898877E-2</v>
      </c>
      <c r="D2038" s="19">
        <v>2.390499E-6</v>
      </c>
      <c r="E2038" s="2">
        <v>1</v>
      </c>
      <c r="F2038" s="2">
        <v>1.5591008553162301E-2</v>
      </c>
      <c r="G2038" s="2">
        <v>2</v>
      </c>
    </row>
    <row r="2039" spans="1:7" x14ac:dyDescent="0.2">
      <c r="A2039" s="2" t="s">
        <v>34</v>
      </c>
      <c r="B2039" s="14">
        <v>39600</v>
      </c>
      <c r="C2039" s="2">
        <v>-5.4794520547999999E-2</v>
      </c>
      <c r="D2039" s="19">
        <v>5.6819146999999999E-7</v>
      </c>
      <c r="E2039" s="2">
        <v>1</v>
      </c>
      <c r="F2039" s="2">
        <v>1.6287979753452801E-2</v>
      </c>
      <c r="G2039" s="2">
        <v>2</v>
      </c>
    </row>
    <row r="2040" spans="1:7" x14ac:dyDescent="0.2">
      <c r="A2040" s="2" t="s">
        <v>34</v>
      </c>
      <c r="B2040" s="14">
        <v>39630</v>
      </c>
      <c r="D2040" s="2">
        <v>0</v>
      </c>
      <c r="E2040" s="2">
        <v>1</v>
      </c>
      <c r="F2040" s="2">
        <v>1.74874784146128E-2</v>
      </c>
      <c r="G2040" s="2">
        <v>2</v>
      </c>
    </row>
    <row r="2041" spans="1:7" x14ac:dyDescent="0.2">
      <c r="A2041" s="2" t="s">
        <v>34</v>
      </c>
      <c r="B2041" s="14">
        <v>39661</v>
      </c>
      <c r="C2041" s="2">
        <v>0</v>
      </c>
      <c r="D2041" s="19">
        <v>6.2603434999999998E-6</v>
      </c>
      <c r="E2041" s="2">
        <v>1</v>
      </c>
      <c r="G2041" s="2">
        <v>2</v>
      </c>
    </row>
    <row r="2042" spans="1:7" x14ac:dyDescent="0.2">
      <c r="A2042" s="2" t="s">
        <v>34</v>
      </c>
      <c r="B2042" s="14">
        <v>39692</v>
      </c>
      <c r="C2042" s="2">
        <v>-2.1739130434000001E-2</v>
      </c>
      <c r="D2042" s="19">
        <v>6.3939457000000002E-5</v>
      </c>
      <c r="E2042" s="2">
        <v>1</v>
      </c>
      <c r="F2042" s="2">
        <v>1.90371348284002E-2</v>
      </c>
      <c r="G2042" s="2">
        <v>2</v>
      </c>
    </row>
    <row r="2043" spans="1:7" x14ac:dyDescent="0.2">
      <c r="A2043" s="2" t="s">
        <v>34</v>
      </c>
      <c r="B2043" s="14">
        <v>39722</v>
      </c>
      <c r="D2043" s="2">
        <v>0</v>
      </c>
      <c r="E2043" s="2">
        <v>1</v>
      </c>
      <c r="F2043" s="2">
        <v>2.4312160484284102E-2</v>
      </c>
      <c r="G2043" s="2">
        <v>2</v>
      </c>
    </row>
    <row r="2044" spans="1:7" x14ac:dyDescent="0.2">
      <c r="A2044" s="2" t="s">
        <v>34</v>
      </c>
      <c r="B2044" s="14">
        <v>39753</v>
      </c>
      <c r="D2044" s="2">
        <v>0</v>
      </c>
      <c r="E2044" s="2">
        <v>1</v>
      </c>
      <c r="G2044" s="2">
        <v>2</v>
      </c>
    </row>
    <row r="2045" spans="1:7" x14ac:dyDescent="0.2">
      <c r="A2045" s="2" t="s">
        <v>34</v>
      </c>
      <c r="B2045" s="14">
        <v>39783</v>
      </c>
      <c r="C2045" s="2">
        <v>-0.15555555555</v>
      </c>
      <c r="D2045" s="2">
        <v>0</v>
      </c>
      <c r="E2045" s="2">
        <v>1</v>
      </c>
      <c r="G2045" s="2">
        <v>2</v>
      </c>
    </row>
    <row r="2046" spans="1:7" x14ac:dyDescent="0.2">
      <c r="A2046" s="2" t="s">
        <v>35</v>
      </c>
      <c r="B2046" s="14">
        <v>37591</v>
      </c>
      <c r="C2046" s="2">
        <v>0.12623068622</v>
      </c>
      <c r="D2046" s="2">
        <v>2.670801E-3</v>
      </c>
      <c r="E2046" s="2">
        <v>1</v>
      </c>
      <c r="G2046" s="2">
        <v>1</v>
      </c>
    </row>
    <row r="2047" spans="1:7" x14ac:dyDescent="0.2">
      <c r="A2047" s="2" t="s">
        <v>35</v>
      </c>
      <c r="B2047" s="14">
        <v>37622</v>
      </c>
      <c r="C2047" s="2">
        <v>-1.4170040486999999E-2</v>
      </c>
      <c r="D2047" s="19">
        <v>3.2598658000000002E-5</v>
      </c>
      <c r="E2047" s="2">
        <v>1</v>
      </c>
      <c r="G2047" s="2">
        <v>1</v>
      </c>
    </row>
    <row r="2048" spans="1:7" x14ac:dyDescent="0.2">
      <c r="A2048" s="2" t="s">
        <v>35</v>
      </c>
      <c r="B2048" s="14">
        <v>37653</v>
      </c>
      <c r="C2048" s="2">
        <v>5.9548129301999998E-3</v>
      </c>
      <c r="D2048" s="2">
        <v>4.3292919999999999E-4</v>
      </c>
      <c r="E2048" s="2">
        <v>1</v>
      </c>
      <c r="G2048" s="2">
        <v>1</v>
      </c>
    </row>
    <row r="2049" spans="1:7" x14ac:dyDescent="0.2">
      <c r="A2049" s="2" t="s">
        <v>35</v>
      </c>
      <c r="B2049" s="14">
        <v>37681</v>
      </c>
      <c r="C2049" s="2">
        <v>-1.2836706644999999E-2</v>
      </c>
      <c r="D2049" s="2">
        <v>9.4950473000000001E-4</v>
      </c>
      <c r="E2049" s="2">
        <v>1</v>
      </c>
      <c r="G2049" s="2">
        <v>1</v>
      </c>
    </row>
    <row r="2050" spans="1:7" x14ac:dyDescent="0.2">
      <c r="A2050" s="2" t="s">
        <v>35</v>
      </c>
      <c r="B2050" s="14">
        <v>37712</v>
      </c>
      <c r="C2050" s="2">
        <v>0.13047084235</v>
      </c>
      <c r="D2050" s="2">
        <v>2.5732289000000002E-3</v>
      </c>
      <c r="E2050" s="2">
        <v>1</v>
      </c>
      <c r="G2050" s="2">
        <v>1</v>
      </c>
    </row>
    <row r="2051" spans="1:7" x14ac:dyDescent="0.2">
      <c r="A2051" s="2" t="s">
        <v>35</v>
      </c>
      <c r="B2051" s="14">
        <v>37742</v>
      </c>
      <c r="C2051" s="2">
        <v>0.11017903406</v>
      </c>
      <c r="D2051" s="2">
        <v>5.2634231000000002E-4</v>
      </c>
      <c r="E2051" s="2">
        <v>1</v>
      </c>
      <c r="G2051" s="2">
        <v>1</v>
      </c>
    </row>
    <row r="2052" spans="1:7" x14ac:dyDescent="0.2">
      <c r="A2052" s="2" t="s">
        <v>35</v>
      </c>
      <c r="B2052" s="14">
        <v>37773</v>
      </c>
      <c r="C2052" s="2">
        <v>3.3333333333000002E-2</v>
      </c>
      <c r="D2052" s="2">
        <v>1.1650450999999999E-2</v>
      </c>
      <c r="E2052" s="2">
        <v>1</v>
      </c>
      <c r="G2052" s="2">
        <v>1</v>
      </c>
    </row>
    <row r="2053" spans="1:7" x14ac:dyDescent="0.2">
      <c r="A2053" s="2" t="s">
        <v>35</v>
      </c>
      <c r="B2053" s="14">
        <v>37803</v>
      </c>
      <c r="C2053" s="2">
        <v>7.2580645161000004E-2</v>
      </c>
      <c r="D2053" s="2">
        <v>1.5561034E-3</v>
      </c>
      <c r="E2053" s="2">
        <v>1</v>
      </c>
      <c r="G2053" s="2">
        <v>1</v>
      </c>
    </row>
    <row r="2054" spans="1:7" x14ac:dyDescent="0.2">
      <c r="A2054" s="2" t="s">
        <v>35</v>
      </c>
      <c r="B2054" s="14">
        <v>37834</v>
      </c>
      <c r="C2054" s="2">
        <v>7.5187969924000002E-3</v>
      </c>
      <c r="D2054" s="19">
        <v>-6.2084006999999996E-5</v>
      </c>
      <c r="E2054" s="2">
        <v>1</v>
      </c>
      <c r="F2054" s="2">
        <v>1.41901161289143E-2</v>
      </c>
      <c r="G2054" s="2">
        <v>1</v>
      </c>
    </row>
    <row r="2055" spans="1:7" x14ac:dyDescent="0.2">
      <c r="A2055" s="2" t="s">
        <v>35</v>
      </c>
      <c r="B2055" s="14">
        <v>37865</v>
      </c>
      <c r="C2055" s="2">
        <v>-8.7007834411000004E-2</v>
      </c>
      <c r="D2055" s="2">
        <v>1.8659965E-4</v>
      </c>
      <c r="E2055" s="2">
        <v>1</v>
      </c>
      <c r="F2055" s="2">
        <v>1.4168546859803101E-2</v>
      </c>
      <c r="G2055" s="2">
        <v>1</v>
      </c>
    </row>
    <row r="2056" spans="1:7" x14ac:dyDescent="0.2">
      <c r="A2056" s="2" t="s">
        <v>35</v>
      </c>
      <c r="B2056" s="14">
        <v>37895</v>
      </c>
      <c r="C2056" s="2">
        <v>-8.1967213109000008E-3</v>
      </c>
      <c r="D2056" s="2">
        <v>-3.6806698E-4</v>
      </c>
      <c r="E2056" s="2">
        <v>1</v>
      </c>
      <c r="F2056" s="2">
        <v>1.2457069697021801E-2</v>
      </c>
      <c r="G2056" s="2">
        <v>1</v>
      </c>
    </row>
    <row r="2057" spans="1:7" x14ac:dyDescent="0.2">
      <c r="A2057" s="2" t="s">
        <v>35</v>
      </c>
      <c r="B2057" s="14">
        <v>37926</v>
      </c>
      <c r="C2057" s="2">
        <v>-7.4380165289999994E-2</v>
      </c>
      <c r="D2057" s="2">
        <v>-7.7780418000000004E-4</v>
      </c>
      <c r="E2057" s="2">
        <v>1</v>
      </c>
      <c r="F2057" s="2">
        <v>8.4152017128906898E-3</v>
      </c>
      <c r="G2057" s="2">
        <v>1</v>
      </c>
    </row>
    <row r="2058" spans="1:7" x14ac:dyDescent="0.2">
      <c r="A2058" s="2" t="s">
        <v>35</v>
      </c>
      <c r="B2058" s="14">
        <v>37956</v>
      </c>
      <c r="C2058" s="2">
        <v>-8.6233241323999996E-2</v>
      </c>
      <c r="D2058" s="2">
        <v>-1.7536628000000001E-3</v>
      </c>
      <c r="E2058" s="2">
        <v>1</v>
      </c>
      <c r="F2058" s="2">
        <v>3.3227921291604798E-3</v>
      </c>
      <c r="G2058" s="2">
        <v>1</v>
      </c>
    </row>
    <row r="2059" spans="1:7" x14ac:dyDescent="0.2">
      <c r="A2059" s="2" t="s">
        <v>35</v>
      </c>
      <c r="B2059" s="14">
        <v>37987</v>
      </c>
      <c r="C2059" s="2">
        <v>-4.9019607843000003E-2</v>
      </c>
      <c r="E2059" s="2">
        <v>1</v>
      </c>
      <c r="F2059" s="2">
        <v>1.3840086391903801E-4</v>
      </c>
      <c r="G2059" s="2">
        <v>1</v>
      </c>
    </row>
    <row r="2060" spans="1:7" x14ac:dyDescent="0.2">
      <c r="A2060" s="2" t="s">
        <v>35</v>
      </c>
      <c r="B2060" s="14">
        <v>38018</v>
      </c>
      <c r="C2060" s="2">
        <v>0.16492783505</v>
      </c>
      <c r="E2060" s="2">
        <v>1</v>
      </c>
      <c r="F2060" s="2">
        <v>-3.2303097753133502E-3</v>
      </c>
      <c r="G2060" s="2">
        <v>1</v>
      </c>
    </row>
    <row r="2061" spans="1:7" x14ac:dyDescent="0.2">
      <c r="A2061" s="2" t="s">
        <v>35</v>
      </c>
      <c r="B2061" s="14">
        <v>38047</v>
      </c>
      <c r="C2061" s="2">
        <v>-2.3462841982999999E-2</v>
      </c>
      <c r="D2061" s="2">
        <v>-6.1084382E-4</v>
      </c>
      <c r="E2061" s="2">
        <v>1</v>
      </c>
      <c r="F2061" s="2">
        <v>1.2254234310858101E-3</v>
      </c>
      <c r="G2061" s="2">
        <v>1</v>
      </c>
    </row>
    <row r="2062" spans="1:7" x14ac:dyDescent="0.2">
      <c r="A2062" s="2" t="s">
        <v>35</v>
      </c>
      <c r="B2062" s="14">
        <v>38078</v>
      </c>
      <c r="C2062" s="2">
        <v>-3.6363636365E-2</v>
      </c>
      <c r="D2062" s="19">
        <v>-7.6247539000000005E-5</v>
      </c>
      <c r="E2062" s="2">
        <v>1</v>
      </c>
      <c r="F2062" s="2">
        <v>3.1296513090273699E-3</v>
      </c>
      <c r="G2062" s="2">
        <v>1</v>
      </c>
    </row>
    <row r="2063" spans="1:7" x14ac:dyDescent="0.2">
      <c r="A2063" s="2" t="s">
        <v>35</v>
      </c>
      <c r="B2063" s="14">
        <v>38108</v>
      </c>
      <c r="C2063" s="2">
        <v>8.9722616061000002E-2</v>
      </c>
      <c r="D2063" s="2">
        <v>-1.2753577999999999E-4</v>
      </c>
      <c r="E2063" s="2">
        <v>1</v>
      </c>
      <c r="F2063" s="2">
        <v>2.2705589168963199E-3</v>
      </c>
      <c r="G2063" s="2">
        <v>1</v>
      </c>
    </row>
    <row r="2064" spans="1:7" x14ac:dyDescent="0.2">
      <c r="A2064" s="2" t="s">
        <v>35</v>
      </c>
      <c r="B2064" s="14">
        <v>38139</v>
      </c>
      <c r="C2064" s="2">
        <v>5.7692307690999999E-2</v>
      </c>
      <c r="D2064" s="2">
        <v>8.9751008999999998E-4</v>
      </c>
      <c r="E2064" s="2">
        <v>1</v>
      </c>
      <c r="F2064" s="2">
        <v>6.7945033996817802E-3</v>
      </c>
      <c r="G2064" s="2">
        <v>1</v>
      </c>
    </row>
    <row r="2065" spans="1:7" x14ac:dyDescent="0.2">
      <c r="A2065" s="2" t="s">
        <v>35</v>
      </c>
      <c r="B2065" s="14">
        <v>38169</v>
      </c>
      <c r="C2065" s="2">
        <v>4.1322314048999997E-2</v>
      </c>
      <c r="D2065" s="2">
        <v>3.8452480999999998E-4</v>
      </c>
      <c r="E2065" s="2">
        <v>1</v>
      </c>
      <c r="F2065" s="2">
        <v>1.0848413211405301E-2</v>
      </c>
      <c r="G2065" s="2">
        <v>1</v>
      </c>
    </row>
    <row r="2066" spans="1:7" x14ac:dyDescent="0.2">
      <c r="A2066" s="2" t="s">
        <v>35</v>
      </c>
      <c r="B2066" s="14">
        <v>38200</v>
      </c>
      <c r="C2066" s="2">
        <v>7.9365079365999999E-2</v>
      </c>
      <c r="D2066" s="2">
        <v>1.4082525E-3</v>
      </c>
      <c r="E2066" s="2">
        <v>1</v>
      </c>
      <c r="F2066" s="2">
        <v>1.428564391322E-2</v>
      </c>
      <c r="G2066" s="2">
        <v>1</v>
      </c>
    </row>
    <row r="2067" spans="1:7" x14ac:dyDescent="0.2">
      <c r="A2067" s="2" t="s">
        <v>35</v>
      </c>
      <c r="B2067" s="14">
        <v>38231</v>
      </c>
      <c r="C2067" s="2">
        <v>2.9856348973999998E-3</v>
      </c>
      <c r="D2067" s="2">
        <v>7.6797343000000004E-4</v>
      </c>
      <c r="E2067" s="2">
        <v>1</v>
      </c>
      <c r="F2067" s="2">
        <v>1.17032751667557E-2</v>
      </c>
      <c r="G2067" s="2">
        <v>1</v>
      </c>
    </row>
    <row r="2068" spans="1:7" x14ac:dyDescent="0.2">
      <c r="A2068" s="2" t="s">
        <v>35</v>
      </c>
      <c r="B2068" s="14">
        <v>38261</v>
      </c>
      <c r="C2068" s="2">
        <v>0.16174762136000001</v>
      </c>
      <c r="D2068" s="2">
        <v>8.9688576000000004E-4</v>
      </c>
      <c r="E2068" s="2">
        <v>1</v>
      </c>
      <c r="F2068" s="2">
        <v>1.23657982362332E-2</v>
      </c>
      <c r="G2068" s="2">
        <v>1</v>
      </c>
    </row>
    <row r="2069" spans="1:7" x14ac:dyDescent="0.2">
      <c r="A2069" s="2" t="s">
        <v>35</v>
      </c>
      <c r="B2069" s="14">
        <v>38292</v>
      </c>
      <c r="C2069" s="2">
        <v>0.10674683544000001</v>
      </c>
      <c r="D2069" s="19">
        <v>-3.5596553000000002E-5</v>
      </c>
      <c r="E2069" s="2">
        <v>1</v>
      </c>
      <c r="F2069" s="2">
        <v>1.7951746946563901E-2</v>
      </c>
      <c r="G2069" s="2">
        <v>1</v>
      </c>
    </row>
    <row r="2070" spans="1:7" x14ac:dyDescent="0.2">
      <c r="A2070" s="2" t="s">
        <v>35</v>
      </c>
      <c r="B2070" s="14">
        <v>38322</v>
      </c>
      <c r="C2070" s="2">
        <v>-9.0780340729E-2</v>
      </c>
      <c r="D2070" s="2">
        <v>-9.7834901000000006E-4</v>
      </c>
      <c r="E2070" s="2">
        <v>1</v>
      </c>
      <c r="F2070" s="2">
        <v>1.8144060628359E-2</v>
      </c>
      <c r="G2070" s="2">
        <v>1</v>
      </c>
    </row>
    <row r="2071" spans="1:7" x14ac:dyDescent="0.2">
      <c r="A2071" s="2" t="s">
        <v>35</v>
      </c>
      <c r="B2071" s="14">
        <v>38353</v>
      </c>
      <c r="C2071" s="2">
        <v>5.9268600253000001E-2</v>
      </c>
      <c r="D2071" s="2">
        <v>-2.4225430000000001E-3</v>
      </c>
      <c r="E2071" s="2">
        <v>1</v>
      </c>
      <c r="F2071" s="2">
        <v>1.40889764775885E-2</v>
      </c>
      <c r="G2071" s="2">
        <v>1</v>
      </c>
    </row>
    <row r="2072" spans="1:7" x14ac:dyDescent="0.2">
      <c r="A2072" s="2" t="s">
        <v>35</v>
      </c>
      <c r="B2072" s="14">
        <v>38384</v>
      </c>
      <c r="C2072" s="2">
        <v>5.3571428571000002E-2</v>
      </c>
      <c r="D2072" s="2">
        <v>-5.3290265999999999E-4</v>
      </c>
      <c r="E2072" s="2">
        <v>1</v>
      </c>
      <c r="F2072" s="2">
        <v>1.4381175179040201E-2</v>
      </c>
      <c r="G2072" s="2">
        <v>1</v>
      </c>
    </row>
    <row r="2073" spans="1:7" x14ac:dyDescent="0.2">
      <c r="A2073" s="2" t="s">
        <v>35</v>
      </c>
      <c r="B2073" s="14">
        <v>38412</v>
      </c>
      <c r="C2073" s="2">
        <v>2.8441630311E-3</v>
      </c>
      <c r="D2073" s="2">
        <v>-4.3426127999999999E-4</v>
      </c>
      <c r="E2073" s="2">
        <v>1</v>
      </c>
      <c r="F2073" s="2">
        <v>1.3354952048897299E-2</v>
      </c>
      <c r="G2073" s="2">
        <v>1</v>
      </c>
    </row>
    <row r="2074" spans="1:7" x14ac:dyDescent="0.2">
      <c r="A2074" s="2" t="s">
        <v>35</v>
      </c>
      <c r="B2074" s="14">
        <v>38443</v>
      </c>
      <c r="C2074" s="2">
        <v>-4.0090344436999999E-2</v>
      </c>
      <c r="D2074" s="2">
        <v>-3.6760116999999998E-4</v>
      </c>
      <c r="E2074" s="2">
        <v>1</v>
      </c>
      <c r="F2074" s="2">
        <v>1.33145691666619E-2</v>
      </c>
      <c r="G2074" s="2">
        <v>1</v>
      </c>
    </row>
    <row r="2075" spans="1:7" x14ac:dyDescent="0.2">
      <c r="A2075" s="2" t="s">
        <v>35</v>
      </c>
      <c r="B2075" s="14">
        <v>38473</v>
      </c>
      <c r="C2075" s="2">
        <v>3.5940918766000002E-2</v>
      </c>
      <c r="D2075" s="2">
        <v>-1.5252705999999999E-4</v>
      </c>
      <c r="E2075" s="2">
        <v>1</v>
      </c>
      <c r="F2075" s="2">
        <v>7.5841319034701104E-3</v>
      </c>
      <c r="G2075" s="2">
        <v>1</v>
      </c>
    </row>
    <row r="2076" spans="1:7" x14ac:dyDescent="0.2">
      <c r="A2076" s="2" t="s">
        <v>35</v>
      </c>
      <c r="B2076" s="14">
        <v>38504</v>
      </c>
      <c r="C2076" s="2">
        <v>2.9748283752000001E-2</v>
      </c>
      <c r="D2076" s="2">
        <v>2.2669665000000002E-3</v>
      </c>
      <c r="E2076" s="2">
        <v>1</v>
      </c>
      <c r="F2076" s="2">
        <v>5.4458439367452999E-3</v>
      </c>
      <c r="G2076" s="2">
        <v>1</v>
      </c>
    </row>
    <row r="2077" spans="1:7" x14ac:dyDescent="0.2">
      <c r="A2077" s="2" t="s">
        <v>35</v>
      </c>
      <c r="B2077" s="14">
        <v>38534</v>
      </c>
      <c r="C2077" s="2">
        <v>0.2</v>
      </c>
      <c r="D2077" s="2">
        <v>-2.4900483999999999E-4</v>
      </c>
      <c r="E2077" s="2">
        <v>1</v>
      </c>
      <c r="F2077" s="2">
        <v>8.8572259891051709E-3</v>
      </c>
      <c r="G2077" s="2">
        <v>1</v>
      </c>
    </row>
    <row r="2078" spans="1:7" x14ac:dyDescent="0.2">
      <c r="A2078" s="2" t="s">
        <v>35</v>
      </c>
      <c r="B2078" s="14">
        <v>38565</v>
      </c>
      <c r="C2078" s="2">
        <v>-0.1574074074</v>
      </c>
      <c r="D2078" s="19">
        <v>6.3322932000000002E-6</v>
      </c>
      <c r="E2078" s="2">
        <v>1</v>
      </c>
      <c r="F2078" s="2">
        <v>6.3781018658747501E-3</v>
      </c>
      <c r="G2078" s="2">
        <v>1</v>
      </c>
    </row>
    <row r="2079" spans="1:7" x14ac:dyDescent="0.2">
      <c r="A2079" s="2" t="s">
        <v>35</v>
      </c>
      <c r="B2079" s="14">
        <v>38596</v>
      </c>
      <c r="C2079" s="2">
        <v>-9.8292011025000008E-3</v>
      </c>
      <c r="D2079" s="2">
        <v>-1.3373876E-3</v>
      </c>
      <c r="E2079" s="2">
        <v>1</v>
      </c>
      <c r="F2079" s="2">
        <v>1.02600376784533E-3</v>
      </c>
      <c r="G2079" s="2">
        <v>1</v>
      </c>
    </row>
    <row r="2080" spans="1:7" x14ac:dyDescent="0.2">
      <c r="A2080" s="2" t="s">
        <v>35</v>
      </c>
      <c r="B2080" s="14">
        <v>38626</v>
      </c>
      <c r="C2080" s="2">
        <v>-0.13196376504999999</v>
      </c>
      <c r="D2080" s="2">
        <v>-3.8612666E-4</v>
      </c>
      <c r="E2080" s="2">
        <v>1</v>
      </c>
      <c r="F2080" s="2">
        <v>6.95850913386094E-4</v>
      </c>
      <c r="G2080" s="2">
        <v>1</v>
      </c>
    </row>
    <row r="2081" spans="1:7" x14ac:dyDescent="0.2">
      <c r="A2081" s="2" t="s">
        <v>35</v>
      </c>
      <c r="B2081" s="14">
        <v>38657</v>
      </c>
      <c r="C2081" s="2">
        <v>-0.1</v>
      </c>
      <c r="D2081" s="19">
        <v>-8.5027094999999997E-5</v>
      </c>
      <c r="E2081" s="2">
        <v>1</v>
      </c>
      <c r="F2081" s="2">
        <v>-1.6256060796625499E-3</v>
      </c>
      <c r="G2081" s="2">
        <v>1</v>
      </c>
    </row>
    <row r="2082" spans="1:7" x14ac:dyDescent="0.2">
      <c r="A2082" s="2" t="s">
        <v>35</v>
      </c>
      <c r="B2082" s="14">
        <v>38687</v>
      </c>
      <c r="C2082" s="2">
        <v>7.9172919985999998E-2</v>
      </c>
      <c r="D2082" s="2">
        <v>8.8473426999999998E-4</v>
      </c>
      <c r="E2082" s="2">
        <v>1</v>
      </c>
      <c r="F2082" s="2">
        <v>-5.3384881808882997E-3</v>
      </c>
      <c r="G2082" s="2">
        <v>1</v>
      </c>
    </row>
    <row r="2083" spans="1:7" x14ac:dyDescent="0.2">
      <c r="A2083" s="2" t="s">
        <v>35</v>
      </c>
      <c r="B2083" s="14">
        <v>38718</v>
      </c>
      <c r="C2083" s="2">
        <v>-1.3271171625E-2</v>
      </c>
      <c r="D2083" s="2">
        <v>7.8768358999999999E-4</v>
      </c>
      <c r="E2083" s="2">
        <v>1</v>
      </c>
      <c r="F2083" s="2">
        <v>-4.0776582330683698E-3</v>
      </c>
      <c r="G2083" s="2">
        <v>1</v>
      </c>
    </row>
    <row r="2084" spans="1:7" x14ac:dyDescent="0.2">
      <c r="A2084" s="2" t="s">
        <v>35</v>
      </c>
      <c r="B2084" s="14">
        <v>38749</v>
      </c>
      <c r="C2084" s="2">
        <v>1.3422818793E-2</v>
      </c>
      <c r="D2084" s="2">
        <v>6.1914366000000002E-4</v>
      </c>
      <c r="E2084" s="2">
        <v>1</v>
      </c>
      <c r="F2084" s="2">
        <v>-1.02392262695126E-2</v>
      </c>
      <c r="G2084" s="2">
        <v>1</v>
      </c>
    </row>
    <row r="2085" spans="1:7" x14ac:dyDescent="0.2">
      <c r="A2085" s="2" t="s">
        <v>35</v>
      </c>
      <c r="B2085" s="14">
        <v>38777</v>
      </c>
      <c r="C2085" s="2">
        <v>2.3189593804999999E-2</v>
      </c>
      <c r="D2085" s="2">
        <v>1.8620766E-3</v>
      </c>
      <c r="E2085" s="2">
        <v>1</v>
      </c>
      <c r="F2085" s="2">
        <v>-5.3619424459915898E-3</v>
      </c>
      <c r="G2085" s="2">
        <v>1</v>
      </c>
    </row>
    <row r="2086" spans="1:7" x14ac:dyDescent="0.2">
      <c r="A2086" s="2" t="s">
        <v>35</v>
      </c>
      <c r="B2086" s="14">
        <v>38808</v>
      </c>
      <c r="C2086" s="2">
        <v>-7.805194805E-2</v>
      </c>
      <c r="D2086" s="2">
        <v>-1.9599336999999999E-3</v>
      </c>
      <c r="E2086" s="2">
        <v>1</v>
      </c>
      <c r="F2086" s="2">
        <v>-4.4456526086888897E-3</v>
      </c>
      <c r="G2086" s="2">
        <v>1</v>
      </c>
    </row>
    <row r="2087" spans="1:7" x14ac:dyDescent="0.2">
      <c r="A2087" s="2" t="s">
        <v>35</v>
      </c>
      <c r="B2087" s="14">
        <v>38838</v>
      </c>
      <c r="C2087" s="2">
        <v>-3.6362299607999998E-2</v>
      </c>
      <c r="D2087" s="2">
        <v>-5.3544865999999997E-4</v>
      </c>
      <c r="E2087" s="2">
        <v>1</v>
      </c>
      <c r="F2087" s="2">
        <v>-2.6690430003127501E-3</v>
      </c>
      <c r="G2087" s="2">
        <v>1</v>
      </c>
    </row>
    <row r="2088" spans="1:7" x14ac:dyDescent="0.2">
      <c r="A2088" s="2" t="s">
        <v>35</v>
      </c>
      <c r="B2088" s="14">
        <v>38869</v>
      </c>
      <c r="C2088" s="2">
        <v>0.1086637298</v>
      </c>
      <c r="D2088" s="2">
        <v>-2.4739130999999999E-3</v>
      </c>
      <c r="E2088" s="2">
        <v>1</v>
      </c>
      <c r="F2088" s="2">
        <v>-7.5087186220204204E-4</v>
      </c>
      <c r="G2088" s="2">
        <v>1</v>
      </c>
    </row>
    <row r="2089" spans="1:7" x14ac:dyDescent="0.2">
      <c r="A2089" s="2" t="s">
        <v>35</v>
      </c>
      <c r="B2089" s="14">
        <v>38899</v>
      </c>
      <c r="C2089" s="2">
        <v>-3.9735099337E-2</v>
      </c>
      <c r="D2089" s="19">
        <v>-4.5051888E-7</v>
      </c>
      <c r="E2089" s="2">
        <v>1</v>
      </c>
      <c r="F2089" s="19">
        <v>-2.5257283536009001E-5</v>
      </c>
      <c r="G2089" s="2">
        <v>1</v>
      </c>
    </row>
    <row r="2090" spans="1:7" x14ac:dyDescent="0.2">
      <c r="A2090" s="2" t="s">
        <v>35</v>
      </c>
      <c r="B2090" s="14">
        <v>38930</v>
      </c>
      <c r="C2090" s="2">
        <v>7.7903448274999995E-2</v>
      </c>
      <c r="D2090" s="2">
        <v>-4.7516421999999996E-3</v>
      </c>
      <c r="E2090" s="2">
        <v>1</v>
      </c>
      <c r="F2090" s="2">
        <v>1.5851155522626399E-3</v>
      </c>
      <c r="G2090" s="2">
        <v>1</v>
      </c>
    </row>
    <row r="2091" spans="1:7" x14ac:dyDescent="0.2">
      <c r="A2091" s="2" t="s">
        <v>35</v>
      </c>
      <c r="B2091" s="14">
        <v>38961</v>
      </c>
      <c r="C2091" s="2">
        <v>2.6952592048000001E-2</v>
      </c>
      <c r="D2091" s="2">
        <v>-1.1537677E-3</v>
      </c>
      <c r="E2091" s="2">
        <v>1</v>
      </c>
      <c r="F2091" s="2">
        <v>3.1679910723285002E-3</v>
      </c>
      <c r="G2091" s="2">
        <v>1</v>
      </c>
    </row>
    <row r="2092" spans="1:7" x14ac:dyDescent="0.2">
      <c r="A2092" s="2" t="s">
        <v>35</v>
      </c>
      <c r="B2092" s="14">
        <v>38991</v>
      </c>
      <c r="C2092" s="2">
        <v>2.5000000000000001E-2</v>
      </c>
      <c r="D2092" s="19">
        <v>-9.9308825000000002E-5</v>
      </c>
      <c r="E2092" s="2">
        <v>1</v>
      </c>
      <c r="F2092" s="2">
        <v>3.2368079111200401E-3</v>
      </c>
      <c r="G2092" s="2">
        <v>1</v>
      </c>
    </row>
    <row r="2093" spans="1:7" x14ac:dyDescent="0.2">
      <c r="A2093" s="2" t="s">
        <v>35</v>
      </c>
      <c r="B2093" s="14">
        <v>39022</v>
      </c>
      <c r="C2093" s="2">
        <v>-1.8292682926999999E-2</v>
      </c>
      <c r="D2093" s="2">
        <v>9.4440718999999997E-4</v>
      </c>
      <c r="E2093" s="2">
        <v>1</v>
      </c>
      <c r="F2093" s="2">
        <v>5.9490041065354497E-3</v>
      </c>
      <c r="G2093" s="2">
        <v>1</v>
      </c>
    </row>
    <row r="2094" spans="1:7" x14ac:dyDescent="0.2">
      <c r="A2094" s="2" t="s">
        <v>35</v>
      </c>
      <c r="B2094" s="14">
        <v>39052</v>
      </c>
      <c r="C2094" s="2">
        <v>-3.0761996194999999E-3</v>
      </c>
      <c r="D2094" s="2">
        <v>4.7962991999999996E-3</v>
      </c>
      <c r="E2094" s="2">
        <v>1</v>
      </c>
      <c r="F2094" s="2">
        <v>6.3495803183668499E-3</v>
      </c>
      <c r="G2094" s="2">
        <v>1</v>
      </c>
    </row>
    <row r="2095" spans="1:7" x14ac:dyDescent="0.2">
      <c r="A2095" s="2" t="s">
        <v>35</v>
      </c>
      <c r="B2095" s="14">
        <v>39083</v>
      </c>
      <c r="C2095" s="2">
        <v>0.22500000000000001</v>
      </c>
      <c r="D2095" s="2">
        <v>6.4335209999999996E-4</v>
      </c>
      <c r="E2095" s="2">
        <v>1</v>
      </c>
      <c r="F2095" s="2">
        <v>3.0631785568256999E-3</v>
      </c>
      <c r="G2095" s="2">
        <v>1</v>
      </c>
    </row>
    <row r="2096" spans="1:7" x14ac:dyDescent="0.2">
      <c r="A2096" s="2" t="s">
        <v>35</v>
      </c>
      <c r="B2096" s="14">
        <v>39114</v>
      </c>
      <c r="C2096" s="2">
        <v>-0.12351020408000001</v>
      </c>
      <c r="D2096" s="2">
        <v>2.7854581000000001E-4</v>
      </c>
      <c r="E2096" s="2">
        <v>1</v>
      </c>
      <c r="F2096" s="2">
        <v>1.07972265745128E-2</v>
      </c>
      <c r="G2096" s="2">
        <v>1</v>
      </c>
    </row>
    <row r="2097" spans="1:7" x14ac:dyDescent="0.2">
      <c r="A2097" s="2" t="s">
        <v>35</v>
      </c>
      <c r="B2097" s="14">
        <v>39142</v>
      </c>
      <c r="C2097" s="2">
        <v>6.2313705976999999E-2</v>
      </c>
      <c r="D2097" s="2">
        <v>3.8238486999999998E-4</v>
      </c>
      <c r="E2097" s="2">
        <v>1</v>
      </c>
      <c r="F2097" s="2">
        <v>5.4854821298369596E-3</v>
      </c>
      <c r="G2097" s="2">
        <v>1</v>
      </c>
    </row>
    <row r="2098" spans="1:7" x14ac:dyDescent="0.2">
      <c r="A2098" s="2" t="s">
        <v>35</v>
      </c>
      <c r="B2098" s="14">
        <v>39173</v>
      </c>
      <c r="C2098" s="2">
        <v>6.5824175824999998E-2</v>
      </c>
      <c r="D2098" s="2">
        <v>-4.6925576000000002E-4</v>
      </c>
      <c r="E2098" s="2">
        <v>1</v>
      </c>
      <c r="F2098" s="2">
        <v>6.3942362317662904E-3</v>
      </c>
      <c r="G2098" s="2">
        <v>1</v>
      </c>
    </row>
    <row r="2099" spans="1:7" x14ac:dyDescent="0.2">
      <c r="A2099" s="2" t="s">
        <v>35</v>
      </c>
      <c r="B2099" s="14">
        <v>39203</v>
      </c>
      <c r="C2099" s="2">
        <v>0.10479234245999999</v>
      </c>
      <c r="D2099" s="2">
        <v>1.2654297E-4</v>
      </c>
      <c r="E2099" s="2">
        <v>1</v>
      </c>
      <c r="F2099" s="2">
        <v>7.3444020156274896E-3</v>
      </c>
      <c r="G2099" s="2">
        <v>1</v>
      </c>
    </row>
    <row r="2100" spans="1:7" x14ac:dyDescent="0.2">
      <c r="A2100" s="2" t="s">
        <v>35</v>
      </c>
      <c r="B2100" s="14">
        <v>39234</v>
      </c>
      <c r="C2100" s="2">
        <v>0.23336448598000001</v>
      </c>
      <c r="D2100" s="19">
        <v>-3.6991216000000003E-5</v>
      </c>
      <c r="E2100" s="2">
        <v>1</v>
      </c>
      <c r="F2100" s="2">
        <v>1.06699621864897E-2</v>
      </c>
      <c r="G2100" s="2">
        <v>1</v>
      </c>
    </row>
    <row r="2101" spans="1:7" x14ac:dyDescent="0.2">
      <c r="A2101" s="2" t="s">
        <v>35</v>
      </c>
      <c r="B2101" s="14">
        <v>39264</v>
      </c>
      <c r="C2101" s="2">
        <v>-4.1524588921E-2</v>
      </c>
      <c r="D2101" s="19">
        <v>-6.2033948999999996E-5</v>
      </c>
      <c r="E2101" s="2">
        <v>1</v>
      </c>
      <c r="F2101" s="2">
        <v>1.7299297249482402E-2</v>
      </c>
      <c r="G2101" s="2">
        <v>1</v>
      </c>
    </row>
    <row r="2102" spans="1:7" x14ac:dyDescent="0.2">
      <c r="A2102" s="2" t="s">
        <v>35</v>
      </c>
      <c r="B2102" s="14">
        <v>39295</v>
      </c>
      <c r="C2102" s="2">
        <v>-1.4862835007000001E-2</v>
      </c>
      <c r="D2102" s="2">
        <v>-3.0217302000000001E-4</v>
      </c>
      <c r="E2102" s="2">
        <v>1</v>
      </c>
      <c r="F2102" s="2">
        <v>9.9052107284114503E-3</v>
      </c>
      <c r="G2102" s="2">
        <v>1</v>
      </c>
    </row>
    <row r="2103" spans="1:7" x14ac:dyDescent="0.2">
      <c r="A2103" s="2" t="s">
        <v>35</v>
      </c>
      <c r="B2103" s="14">
        <v>39326</v>
      </c>
      <c r="C2103" s="2">
        <v>-3.4983297491000001E-2</v>
      </c>
      <c r="D2103" s="2">
        <v>-3.9501747000000002E-4</v>
      </c>
      <c r="E2103" s="2">
        <v>1</v>
      </c>
      <c r="F2103" s="2">
        <v>1.31050072793613E-2</v>
      </c>
      <c r="G2103" s="2">
        <v>1</v>
      </c>
    </row>
    <row r="2104" spans="1:7" x14ac:dyDescent="0.2">
      <c r="A2104" s="2" t="s">
        <v>35</v>
      </c>
      <c r="B2104" s="14">
        <v>39356</v>
      </c>
      <c r="C2104" s="2">
        <v>6.6666666666000005E-2</v>
      </c>
      <c r="D2104" s="2">
        <v>-2.220545E-3</v>
      </c>
      <c r="E2104" s="2">
        <v>1</v>
      </c>
      <c r="F2104" s="2">
        <v>1.04265531590641E-2</v>
      </c>
      <c r="G2104" s="2">
        <v>1</v>
      </c>
    </row>
    <row r="2105" spans="1:7" x14ac:dyDescent="0.2">
      <c r="A2105" s="2" t="s">
        <v>35</v>
      </c>
      <c r="B2105" s="14">
        <v>39387</v>
      </c>
      <c r="C2105" s="2">
        <v>-0.13648437498999999</v>
      </c>
      <c r="D2105" s="2">
        <v>-3.1709298000000001E-3</v>
      </c>
      <c r="E2105" s="2">
        <v>1</v>
      </c>
      <c r="F2105" s="2">
        <v>1.0306793903450099E-2</v>
      </c>
      <c r="G2105" s="2">
        <v>1</v>
      </c>
    </row>
    <row r="2106" spans="1:7" x14ac:dyDescent="0.2">
      <c r="A2106" s="2" t="s">
        <v>35</v>
      </c>
      <c r="B2106" s="14">
        <v>39417</v>
      </c>
      <c r="C2106" s="2">
        <v>-4.8137961063000001E-2</v>
      </c>
      <c r="D2106" s="2">
        <v>-1.2037336E-3</v>
      </c>
      <c r="E2106" s="2">
        <v>1</v>
      </c>
      <c r="F2106" s="2">
        <v>3.8782490835181402E-3</v>
      </c>
      <c r="G2106" s="2">
        <v>1</v>
      </c>
    </row>
    <row r="2107" spans="1:7" x14ac:dyDescent="0.2">
      <c r="A2107" s="2" t="s">
        <v>35</v>
      </c>
      <c r="B2107" s="14">
        <v>39448</v>
      </c>
      <c r="C2107" s="2">
        <v>-0.14354992378</v>
      </c>
      <c r="D2107" s="2">
        <v>-1.0341452000000001E-3</v>
      </c>
      <c r="E2107" s="2">
        <v>1</v>
      </c>
      <c r="F2107" s="2">
        <v>-4.0998218174303899E-3</v>
      </c>
      <c r="G2107" s="2">
        <v>1</v>
      </c>
    </row>
    <row r="2108" spans="1:7" x14ac:dyDescent="0.2">
      <c r="A2108" s="2" t="s">
        <v>35</v>
      </c>
      <c r="B2108" s="14">
        <v>39479</v>
      </c>
      <c r="C2108" s="2">
        <v>2.1002747711000001E-2</v>
      </c>
      <c r="D2108" s="2">
        <v>-2.9084651999999999E-3</v>
      </c>
      <c r="E2108" s="2">
        <v>1</v>
      </c>
      <c r="F2108" s="2">
        <v>-6.8369398065278404E-3</v>
      </c>
      <c r="G2108" s="2">
        <v>1</v>
      </c>
    </row>
    <row r="2109" spans="1:7" x14ac:dyDescent="0.2">
      <c r="A2109" s="2" t="s">
        <v>35</v>
      </c>
      <c r="B2109" s="14">
        <v>39508</v>
      </c>
      <c r="C2109" s="2">
        <v>-0.11480354992</v>
      </c>
      <c r="D2109" s="2">
        <v>-8.5636968000000005E-4</v>
      </c>
      <c r="E2109" s="2">
        <v>1</v>
      </c>
      <c r="F2109" s="2">
        <v>-5.9759439091359896E-3</v>
      </c>
      <c r="G2109" s="2">
        <v>1</v>
      </c>
    </row>
    <row r="2110" spans="1:7" x14ac:dyDescent="0.2">
      <c r="A2110" s="2" t="s">
        <v>35</v>
      </c>
      <c r="B2110" s="14">
        <v>39539</v>
      </c>
      <c r="C2110" s="2">
        <v>0.13710722884000001</v>
      </c>
      <c r="D2110" s="2">
        <v>-1.7399748000000001E-3</v>
      </c>
      <c r="E2110" s="2">
        <v>1</v>
      </c>
      <c r="F2110" s="2">
        <v>-7.9131713186264396E-3</v>
      </c>
      <c r="G2110" s="2">
        <v>1</v>
      </c>
    </row>
    <row r="2111" spans="1:7" x14ac:dyDescent="0.2">
      <c r="A2111" s="2" t="s">
        <v>35</v>
      </c>
      <c r="B2111" s="14">
        <v>39569</v>
      </c>
      <c r="C2111" s="2">
        <v>1.7393547387000001E-3</v>
      </c>
      <c r="D2111" s="2">
        <v>-2.7330506000000001E-3</v>
      </c>
      <c r="E2111" s="2">
        <v>1</v>
      </c>
      <c r="F2111" s="2">
        <v>-6.0603968051665801E-3</v>
      </c>
      <c r="G2111" s="2">
        <v>1</v>
      </c>
    </row>
    <row r="2112" spans="1:7" x14ac:dyDescent="0.2">
      <c r="A2112" s="2" t="s">
        <v>35</v>
      </c>
      <c r="B2112" s="14">
        <v>39600</v>
      </c>
      <c r="C2112" s="2">
        <v>-3.3477855213E-3</v>
      </c>
      <c r="D2112" s="2">
        <v>-4.32732E-3</v>
      </c>
      <c r="E2112" s="2">
        <v>1</v>
      </c>
      <c r="F2112" s="2">
        <v>-2.1277848050615302E-3</v>
      </c>
      <c r="G2112" s="2">
        <v>1</v>
      </c>
    </row>
    <row r="2113" spans="1:7" x14ac:dyDescent="0.2">
      <c r="A2113" s="2" t="s">
        <v>35</v>
      </c>
      <c r="B2113" s="14">
        <v>39630</v>
      </c>
      <c r="C2113" s="2">
        <v>-1.9823788546999999E-2</v>
      </c>
      <c r="D2113" s="2">
        <v>4.7905592E-4</v>
      </c>
      <c r="E2113" s="2">
        <v>1</v>
      </c>
      <c r="F2113" s="2">
        <v>-1.37447665584386E-3</v>
      </c>
      <c r="G2113" s="2">
        <v>1</v>
      </c>
    </row>
    <row r="2114" spans="1:7" x14ac:dyDescent="0.2">
      <c r="A2114" s="2" t="s">
        <v>35</v>
      </c>
      <c r="B2114" s="14">
        <v>39661</v>
      </c>
      <c r="C2114" s="2">
        <v>0.15168539324999999</v>
      </c>
      <c r="D2114" s="2">
        <v>-2.6572257999999999E-3</v>
      </c>
      <c r="E2114" s="2">
        <v>1</v>
      </c>
      <c r="F2114" s="2">
        <v>8.2848185327865503E-4</v>
      </c>
      <c r="G2114" s="2">
        <v>1</v>
      </c>
    </row>
    <row r="2115" spans="1:7" x14ac:dyDescent="0.2">
      <c r="A2115" s="2" t="s">
        <v>35</v>
      </c>
      <c r="B2115" s="14">
        <v>39692</v>
      </c>
      <c r="C2115" s="2">
        <v>-4.7374533896999999E-2</v>
      </c>
      <c r="D2115" s="2">
        <v>-2.9484875999999998E-3</v>
      </c>
      <c r="E2115" s="2">
        <v>1</v>
      </c>
      <c r="F2115" s="2">
        <v>4.55583957025285E-3</v>
      </c>
      <c r="G2115" s="2">
        <v>1</v>
      </c>
    </row>
    <row r="2116" spans="1:7" x14ac:dyDescent="0.2">
      <c r="A2116" s="2" t="s">
        <v>35</v>
      </c>
      <c r="B2116" s="14">
        <v>39722</v>
      </c>
      <c r="C2116" s="2">
        <v>-4.5174537988000002E-2</v>
      </c>
      <c r="D2116" s="2">
        <v>-2.8526090999999999E-3</v>
      </c>
      <c r="E2116" s="2">
        <v>1</v>
      </c>
      <c r="F2116" s="2">
        <v>6.6266896925773399E-3</v>
      </c>
      <c r="G2116" s="2">
        <v>1</v>
      </c>
    </row>
    <row r="2117" spans="1:7" x14ac:dyDescent="0.2">
      <c r="A2117" s="2" t="s">
        <v>35</v>
      </c>
      <c r="B2117" s="14">
        <v>39753</v>
      </c>
      <c r="C2117" s="2">
        <v>5.3774193550000002E-2</v>
      </c>
      <c r="D2117" s="2">
        <v>-8.5452654999999995E-3</v>
      </c>
      <c r="E2117" s="2">
        <v>1</v>
      </c>
      <c r="F2117" s="2">
        <v>1.4121568842934099E-3</v>
      </c>
      <c r="G2117" s="2">
        <v>1</v>
      </c>
    </row>
    <row r="2118" spans="1:7" x14ac:dyDescent="0.2">
      <c r="A2118" s="2" t="s">
        <v>35</v>
      </c>
      <c r="B2118" s="14">
        <v>39783</v>
      </c>
      <c r="C2118" s="2">
        <v>-1.6002452340000001E-2</v>
      </c>
      <c r="D2118" s="2">
        <v>1.5930445E-3</v>
      </c>
      <c r="E2118" s="2">
        <v>1</v>
      </c>
      <c r="F2118" s="2">
        <v>2.69412606327795E-3</v>
      </c>
      <c r="G2118" s="2">
        <v>1</v>
      </c>
    </row>
    <row r="2119" spans="1:7" x14ac:dyDescent="0.2">
      <c r="A2119" s="2" t="s">
        <v>36</v>
      </c>
      <c r="B2119" s="14">
        <v>37591</v>
      </c>
      <c r="C2119" s="2">
        <v>6.7157351234999996E-2</v>
      </c>
      <c r="D2119" s="2">
        <v>8.2527276000000005E-4</v>
      </c>
      <c r="E2119" s="2">
        <v>1</v>
      </c>
      <c r="G2119" s="2">
        <v>1</v>
      </c>
    </row>
    <row r="2120" spans="1:7" x14ac:dyDescent="0.2">
      <c r="A2120" s="2" t="s">
        <v>36</v>
      </c>
      <c r="B2120" s="14">
        <v>37622</v>
      </c>
      <c r="C2120" s="2">
        <v>-3.1007751938000001E-2</v>
      </c>
      <c r="D2120" s="2">
        <v>-8.2729837999999997E-4</v>
      </c>
      <c r="E2120" s="2">
        <v>1</v>
      </c>
      <c r="G2120" s="2">
        <v>1</v>
      </c>
    </row>
    <row r="2121" spans="1:7" x14ac:dyDescent="0.2">
      <c r="A2121" s="2" t="s">
        <v>36</v>
      </c>
      <c r="B2121" s="14">
        <v>37653</v>
      </c>
      <c r="C2121" s="2">
        <v>9.6040039063000002E-2</v>
      </c>
      <c r="D2121" s="2">
        <v>-1.0580034999999999E-4</v>
      </c>
      <c r="E2121" s="2">
        <v>1</v>
      </c>
      <c r="G2121" s="2">
        <v>1</v>
      </c>
    </row>
    <row r="2122" spans="1:7" x14ac:dyDescent="0.2">
      <c r="A2122" s="2" t="s">
        <v>36</v>
      </c>
      <c r="B2122" s="14">
        <v>37681</v>
      </c>
      <c r="C2122" s="2">
        <v>5.4377219112000004E-3</v>
      </c>
      <c r="D2122" s="2">
        <v>-2.2176109E-4</v>
      </c>
      <c r="E2122" s="2">
        <v>1</v>
      </c>
      <c r="G2122" s="2">
        <v>1</v>
      </c>
    </row>
    <row r="2123" spans="1:7" x14ac:dyDescent="0.2">
      <c r="A2123" s="2" t="s">
        <v>36</v>
      </c>
      <c r="B2123" s="14">
        <v>37712</v>
      </c>
      <c r="C2123" s="2">
        <v>0.13248638837999999</v>
      </c>
      <c r="D2123" s="2">
        <v>-3.1510388000000002E-4</v>
      </c>
      <c r="E2123" s="2">
        <v>1</v>
      </c>
      <c r="G2123" s="2">
        <v>1</v>
      </c>
    </row>
    <row r="2124" spans="1:7" x14ac:dyDescent="0.2">
      <c r="A2124" s="2" t="s">
        <v>36</v>
      </c>
      <c r="B2124" s="14">
        <v>37742</v>
      </c>
      <c r="C2124" s="2">
        <v>0.1152718984</v>
      </c>
      <c r="D2124" s="2">
        <v>4.9544032999999997E-4</v>
      </c>
      <c r="E2124" s="2">
        <v>1</v>
      </c>
      <c r="G2124" s="2">
        <v>1</v>
      </c>
    </row>
    <row r="2125" spans="1:7" x14ac:dyDescent="0.2">
      <c r="A2125" s="2" t="s">
        <v>36</v>
      </c>
      <c r="B2125" s="14">
        <v>37773</v>
      </c>
      <c r="C2125" s="2">
        <v>4.5547445255999998E-2</v>
      </c>
      <c r="D2125" s="2">
        <v>7.5986771999999995E-4</v>
      </c>
      <c r="E2125" s="2">
        <v>1</v>
      </c>
      <c r="G2125" s="2">
        <v>1</v>
      </c>
    </row>
    <row r="2126" spans="1:7" x14ac:dyDescent="0.2">
      <c r="A2126" s="2" t="s">
        <v>36</v>
      </c>
      <c r="B2126" s="14">
        <v>37803</v>
      </c>
      <c r="C2126" s="2">
        <v>5.2778553476000002E-2</v>
      </c>
      <c r="D2126" s="2">
        <v>5.8110686999999996E-4</v>
      </c>
      <c r="E2126" s="2">
        <v>1</v>
      </c>
      <c r="G2126" s="2">
        <v>1</v>
      </c>
    </row>
    <row r="2127" spans="1:7" x14ac:dyDescent="0.2">
      <c r="A2127" s="2" t="s">
        <v>36</v>
      </c>
      <c r="B2127" s="14">
        <v>37834</v>
      </c>
      <c r="C2127" s="2">
        <v>5.8355437666000001E-2</v>
      </c>
      <c r="D2127" s="2">
        <v>2.8014848999999998E-3</v>
      </c>
      <c r="E2127" s="2">
        <v>1</v>
      </c>
      <c r="F2127" s="2">
        <v>2.96076765912958E-2</v>
      </c>
      <c r="G2127" s="2">
        <v>1</v>
      </c>
    </row>
    <row r="2128" spans="1:7" x14ac:dyDescent="0.2">
      <c r="A2128" s="2" t="s">
        <v>36</v>
      </c>
      <c r="B2128" s="14">
        <v>37865</v>
      </c>
      <c r="C2128" s="2">
        <v>0.10025062656</v>
      </c>
      <c r="D2128" s="2">
        <v>1.7511038E-3</v>
      </c>
      <c r="E2128" s="2">
        <v>1</v>
      </c>
      <c r="F2128" s="2">
        <v>2.83074523028621E-2</v>
      </c>
      <c r="G2128" s="2">
        <v>1</v>
      </c>
    </row>
    <row r="2129" spans="1:7" x14ac:dyDescent="0.2">
      <c r="A2129" s="2" t="s">
        <v>36</v>
      </c>
      <c r="B2129" s="14">
        <v>37895</v>
      </c>
      <c r="C2129" s="2">
        <v>2.2779043284000002E-3</v>
      </c>
      <c r="D2129" s="2">
        <v>1.8593321E-4</v>
      </c>
      <c r="E2129" s="2">
        <v>1</v>
      </c>
      <c r="F2129" s="2">
        <v>3.07961160363623E-2</v>
      </c>
      <c r="G2129" s="2">
        <v>1</v>
      </c>
    </row>
    <row r="2130" spans="1:7" x14ac:dyDescent="0.2">
      <c r="A2130" s="2" t="s">
        <v>36</v>
      </c>
      <c r="B2130" s="14">
        <v>37926</v>
      </c>
      <c r="C2130" s="2">
        <v>-3.4090909091000002E-2</v>
      </c>
      <c r="D2130" s="2">
        <v>2.9305600999999999E-4</v>
      </c>
      <c r="E2130" s="2">
        <v>1</v>
      </c>
      <c r="F2130" s="2">
        <v>2.7040631323480901E-2</v>
      </c>
      <c r="G2130" s="2">
        <v>1</v>
      </c>
    </row>
    <row r="2131" spans="1:7" x14ac:dyDescent="0.2">
      <c r="A2131" s="2" t="s">
        <v>36</v>
      </c>
      <c r="B2131" s="14">
        <v>37956</v>
      </c>
      <c r="C2131" s="2">
        <v>1.4569754971E-2</v>
      </c>
      <c r="D2131" s="19">
        <v>4.6192887000000001E-5</v>
      </c>
      <c r="E2131" s="2">
        <v>1</v>
      </c>
      <c r="F2131" s="2">
        <v>2.2884334832099801E-2</v>
      </c>
      <c r="G2131" s="2">
        <v>1</v>
      </c>
    </row>
    <row r="2132" spans="1:7" x14ac:dyDescent="0.2">
      <c r="A2132" s="2" t="s">
        <v>36</v>
      </c>
      <c r="B2132" s="14">
        <v>37987</v>
      </c>
      <c r="C2132" s="2">
        <v>-4.4496487126000003E-3</v>
      </c>
      <c r="E2132" s="2">
        <v>1</v>
      </c>
      <c r="F2132" s="2">
        <v>2.1945030833765901E-2</v>
      </c>
      <c r="G2132" s="2">
        <v>1</v>
      </c>
    </row>
    <row r="2133" spans="1:7" x14ac:dyDescent="0.2">
      <c r="A2133" s="2" t="s">
        <v>36</v>
      </c>
      <c r="B2133" s="14">
        <v>38018</v>
      </c>
      <c r="C2133" s="2">
        <v>0.10915078805</v>
      </c>
      <c r="E2133" s="2">
        <v>1</v>
      </c>
      <c r="F2133" s="2">
        <v>2.02478922223699E-2</v>
      </c>
      <c r="G2133" s="2">
        <v>1</v>
      </c>
    </row>
    <row r="2134" spans="1:7" x14ac:dyDescent="0.2">
      <c r="A2134" s="2" t="s">
        <v>36</v>
      </c>
      <c r="B2134" s="14">
        <v>38047</v>
      </c>
      <c r="C2134" s="2">
        <v>-2.5917285259999999E-2</v>
      </c>
      <c r="D2134" s="2">
        <v>5.5391149000000002E-4</v>
      </c>
      <c r="E2134" s="2">
        <v>1</v>
      </c>
      <c r="F2134" s="2">
        <v>2.15018010491211E-2</v>
      </c>
      <c r="G2134" s="2">
        <v>1</v>
      </c>
    </row>
    <row r="2135" spans="1:7" x14ac:dyDescent="0.2">
      <c r="A2135" s="2" t="s">
        <v>36</v>
      </c>
      <c r="B2135" s="14">
        <v>38078</v>
      </c>
      <c r="C2135" s="2">
        <v>-4.1978749347000001E-2</v>
      </c>
      <c r="D2135" s="2">
        <v>1.9446494E-4</v>
      </c>
      <c r="E2135" s="2">
        <v>1</v>
      </c>
      <c r="F2135" s="2">
        <v>1.7972422775077899E-2</v>
      </c>
      <c r="G2135" s="2">
        <v>1</v>
      </c>
    </row>
    <row r="2136" spans="1:7" x14ac:dyDescent="0.2">
      <c r="A2136" s="2" t="s">
        <v>36</v>
      </c>
      <c r="B2136" s="14">
        <v>38108</v>
      </c>
      <c r="C2136" s="2">
        <v>9.2041504286000005E-3</v>
      </c>
      <c r="D2136" s="2">
        <v>2.8770388E-4</v>
      </c>
      <c r="E2136" s="2">
        <v>1</v>
      </c>
      <c r="F2136" s="2">
        <v>1.6763452416919199E-2</v>
      </c>
      <c r="G2136" s="2">
        <v>1</v>
      </c>
    </row>
    <row r="2137" spans="1:7" x14ac:dyDescent="0.2">
      <c r="A2137" s="2" t="s">
        <v>36</v>
      </c>
      <c r="B2137" s="14">
        <v>38139</v>
      </c>
      <c r="C2137" s="2">
        <v>5.9388985295000002E-2</v>
      </c>
      <c r="D2137" s="19">
        <v>3.9805243000000001E-5</v>
      </c>
      <c r="E2137" s="2">
        <v>1</v>
      </c>
      <c r="F2137" s="2">
        <v>1.79088095894889E-2</v>
      </c>
      <c r="G2137" s="2">
        <v>1</v>
      </c>
    </row>
    <row r="2138" spans="1:7" x14ac:dyDescent="0.2">
      <c r="A2138" s="2" t="s">
        <v>36</v>
      </c>
      <c r="B2138" s="14">
        <v>38169</v>
      </c>
      <c r="C2138" s="2">
        <v>1.7307153479000002E-2</v>
      </c>
      <c r="D2138" s="19">
        <v>-2.7146898E-5</v>
      </c>
      <c r="E2138" s="2">
        <v>1</v>
      </c>
      <c r="F2138" s="2">
        <v>1.90856061765446E-2</v>
      </c>
      <c r="G2138" s="2">
        <v>1</v>
      </c>
    </row>
    <row r="2139" spans="1:7" x14ac:dyDescent="0.2">
      <c r="A2139" s="2" t="s">
        <v>36</v>
      </c>
      <c r="B2139" s="14">
        <v>38200</v>
      </c>
      <c r="C2139" s="2">
        <v>-4.0254237287999997E-2</v>
      </c>
      <c r="D2139" s="2">
        <v>-4.7334092E-4</v>
      </c>
      <c r="E2139" s="2">
        <v>1</v>
      </c>
      <c r="F2139" s="2">
        <v>8.8745966752289095E-3</v>
      </c>
      <c r="G2139" s="2">
        <v>1</v>
      </c>
    </row>
    <row r="2140" spans="1:7" x14ac:dyDescent="0.2">
      <c r="A2140" s="2" t="s">
        <v>36</v>
      </c>
      <c r="B2140" s="14">
        <v>38231</v>
      </c>
      <c r="C2140" s="2">
        <v>-2.8697571743999999E-2</v>
      </c>
      <c r="D2140" s="2">
        <v>-7.5866525999999999E-4</v>
      </c>
      <c r="E2140" s="2">
        <v>1</v>
      </c>
      <c r="F2140" s="2">
        <v>4.6810101192593604E-3</v>
      </c>
      <c r="G2140" s="2">
        <v>1</v>
      </c>
    </row>
    <row r="2141" spans="1:7" x14ac:dyDescent="0.2">
      <c r="A2141" s="2" t="s">
        <v>36</v>
      </c>
      <c r="B2141" s="14">
        <v>38261</v>
      </c>
      <c r="C2141" s="2">
        <v>2.7272727273000001E-2</v>
      </c>
      <c r="D2141" s="19">
        <v>5.6637137999999997E-5</v>
      </c>
      <c r="E2141" s="2">
        <v>1</v>
      </c>
      <c r="F2141" s="2">
        <v>4.5418475207580598E-3</v>
      </c>
      <c r="G2141" s="2">
        <v>1</v>
      </c>
    </row>
    <row r="2142" spans="1:7" x14ac:dyDescent="0.2">
      <c r="A2142" s="2" t="s">
        <v>36</v>
      </c>
      <c r="B2142" s="14">
        <v>38292</v>
      </c>
      <c r="C2142" s="2">
        <v>2.8761061947E-2</v>
      </c>
      <c r="D2142" s="2">
        <v>-9.1433431999999996E-4</v>
      </c>
      <c r="E2142" s="2">
        <v>1</v>
      </c>
      <c r="F2142" s="2">
        <v>6.4914802294655603E-3</v>
      </c>
      <c r="G2142" s="2">
        <v>1</v>
      </c>
    </row>
    <row r="2143" spans="1:7" x14ac:dyDescent="0.2">
      <c r="A2143" s="2" t="s">
        <v>36</v>
      </c>
      <c r="B2143" s="14">
        <v>38322</v>
      </c>
      <c r="C2143" s="2">
        <v>-4.2681442727000002E-2</v>
      </c>
      <c r="D2143" s="2">
        <v>-1.4438392999999999E-4</v>
      </c>
      <c r="E2143" s="2">
        <v>1</v>
      </c>
      <c r="F2143" s="2">
        <v>6.9669882138101297E-3</v>
      </c>
      <c r="G2143" s="2">
        <v>1</v>
      </c>
    </row>
    <row r="2144" spans="1:7" x14ac:dyDescent="0.2">
      <c r="A2144" s="2" t="s">
        <v>36</v>
      </c>
      <c r="B2144" s="14">
        <v>38353</v>
      </c>
      <c r="C2144" s="2">
        <v>1.7018472654E-2</v>
      </c>
      <c r="D2144" s="2">
        <v>2.0697403999999999E-4</v>
      </c>
      <c r="E2144" s="2">
        <v>1</v>
      </c>
      <c r="F2144" s="2">
        <v>4.1908056643290698E-3</v>
      </c>
      <c r="G2144" s="2">
        <v>1</v>
      </c>
    </row>
    <row r="2145" spans="1:7" x14ac:dyDescent="0.2">
      <c r="A2145" s="2" t="s">
        <v>36</v>
      </c>
      <c r="B2145" s="14">
        <v>38384</v>
      </c>
      <c r="C2145" s="2">
        <v>5.8981233244000002E-2</v>
      </c>
      <c r="D2145" s="2">
        <v>-2.8425426E-4</v>
      </c>
      <c r="E2145" s="2">
        <v>1</v>
      </c>
      <c r="F2145" s="2">
        <v>4.1439139487516102E-3</v>
      </c>
      <c r="G2145" s="2">
        <v>1</v>
      </c>
    </row>
    <row r="2146" spans="1:7" x14ac:dyDescent="0.2">
      <c r="A2146" s="2" t="s">
        <v>36</v>
      </c>
      <c r="B2146" s="14">
        <v>38412</v>
      </c>
      <c r="C2146" s="2">
        <v>4.6308016877000001E-2</v>
      </c>
      <c r="D2146" s="2">
        <v>-2.5422088E-4</v>
      </c>
      <c r="E2146" s="2">
        <v>1</v>
      </c>
      <c r="F2146" s="2">
        <v>6.7209531723663903E-3</v>
      </c>
      <c r="G2146" s="2">
        <v>1</v>
      </c>
    </row>
    <row r="2147" spans="1:7" x14ac:dyDescent="0.2">
      <c r="A2147" s="2" t="s">
        <v>36</v>
      </c>
      <c r="B2147" s="14">
        <v>38443</v>
      </c>
      <c r="C2147" s="2">
        <v>-0.10361931646</v>
      </c>
      <c r="D2147" s="2">
        <v>-2.6262798999999998E-4</v>
      </c>
      <c r="E2147" s="2">
        <v>1</v>
      </c>
      <c r="F2147" s="2">
        <v>8.7977479050138901E-3</v>
      </c>
      <c r="G2147" s="2">
        <v>1</v>
      </c>
    </row>
    <row r="2148" spans="1:7" x14ac:dyDescent="0.2">
      <c r="A2148" s="2" t="s">
        <v>36</v>
      </c>
      <c r="B2148" s="14">
        <v>38473</v>
      </c>
      <c r="C2148" s="2">
        <v>8.2448416484000003E-2</v>
      </c>
      <c r="D2148" s="2">
        <v>-2.3519597000000001E-3</v>
      </c>
      <c r="E2148" s="2">
        <v>1</v>
      </c>
      <c r="F2148" s="2">
        <v>5.4559107809843401E-3</v>
      </c>
      <c r="G2148" s="2">
        <v>1</v>
      </c>
    </row>
    <row r="2149" spans="1:7" x14ac:dyDescent="0.2">
      <c r="A2149" s="2" t="s">
        <v>36</v>
      </c>
      <c r="B2149" s="14">
        <v>38504</v>
      </c>
      <c r="C2149" s="2">
        <v>-1.6004228331000001E-2</v>
      </c>
      <c r="D2149" s="2">
        <v>-1.7365415E-4</v>
      </c>
      <c r="E2149" s="2">
        <v>1</v>
      </c>
      <c r="F2149" s="2">
        <v>6.9599863618232697E-3</v>
      </c>
      <c r="G2149" s="2">
        <v>1</v>
      </c>
    </row>
    <row r="2150" spans="1:7" x14ac:dyDescent="0.2">
      <c r="A2150" s="2" t="s">
        <v>36</v>
      </c>
      <c r="B2150" s="14">
        <v>38534</v>
      </c>
      <c r="C2150" s="2">
        <v>2.8597211181000001E-2</v>
      </c>
      <c r="D2150" s="2">
        <v>-3.8296997000000001E-4</v>
      </c>
      <c r="E2150" s="2">
        <v>1</v>
      </c>
      <c r="F2150" s="2">
        <v>7.7318370847230299E-3</v>
      </c>
      <c r="G2150" s="2">
        <v>1</v>
      </c>
    </row>
    <row r="2151" spans="1:7" x14ac:dyDescent="0.2">
      <c r="A2151" s="2" t="s">
        <v>36</v>
      </c>
      <c r="B2151" s="14">
        <v>38565</v>
      </c>
      <c r="C2151" s="2">
        <v>-2.4334711952000002E-2</v>
      </c>
      <c r="D2151" s="2">
        <v>-2.5829980999999999E-4</v>
      </c>
      <c r="E2151" s="2">
        <v>1</v>
      </c>
      <c r="F2151" s="2">
        <v>8.5226302635061108E-3</v>
      </c>
      <c r="G2151" s="2">
        <v>1</v>
      </c>
    </row>
    <row r="2152" spans="1:7" x14ac:dyDescent="0.2">
      <c r="A2152" s="2" t="s">
        <v>36</v>
      </c>
      <c r="B2152" s="14">
        <v>38596</v>
      </c>
      <c r="C2152" s="2">
        <v>4.9048363269E-2</v>
      </c>
      <c r="D2152" s="2">
        <v>-2.7817819999999998E-4</v>
      </c>
      <c r="E2152" s="2">
        <v>1</v>
      </c>
      <c r="F2152" s="2">
        <v>6.1518105050472104E-3</v>
      </c>
      <c r="G2152" s="2">
        <v>1</v>
      </c>
    </row>
    <row r="2153" spans="1:7" x14ac:dyDescent="0.2">
      <c r="A2153" s="2" t="s">
        <v>36</v>
      </c>
      <c r="B2153" s="14">
        <v>38626</v>
      </c>
      <c r="C2153" s="2">
        <v>-3.6734693876000001E-2</v>
      </c>
      <c r="D2153" s="2">
        <v>-2.4942649000000001E-4</v>
      </c>
      <c r="E2153" s="2">
        <v>1</v>
      </c>
      <c r="F2153" s="2">
        <v>6.1240195034635396E-3</v>
      </c>
      <c r="G2153" s="2">
        <v>1</v>
      </c>
    </row>
    <row r="2154" spans="1:7" x14ac:dyDescent="0.2">
      <c r="A2154" s="2" t="s">
        <v>36</v>
      </c>
      <c r="B2154" s="14">
        <v>38657</v>
      </c>
      <c r="C2154" s="2">
        <v>-2.1355932203E-2</v>
      </c>
      <c r="D2154" s="2">
        <v>1.1407898E-4</v>
      </c>
      <c r="E2154" s="2">
        <v>1</v>
      </c>
      <c r="F2154" s="2">
        <v>8.1722736081153904E-3</v>
      </c>
      <c r="G2154" s="2">
        <v>1</v>
      </c>
    </row>
    <row r="2155" spans="1:7" x14ac:dyDescent="0.2">
      <c r="A2155" s="2" t="s">
        <v>36</v>
      </c>
      <c r="B2155" s="14">
        <v>38687</v>
      </c>
      <c r="C2155" s="2">
        <v>-3.0729124071000001E-2</v>
      </c>
      <c r="D2155" s="2">
        <v>8.3119805999999998E-4</v>
      </c>
      <c r="E2155" s="2">
        <v>1</v>
      </c>
      <c r="F2155" s="2">
        <v>5.2248520930043398E-3</v>
      </c>
      <c r="G2155" s="2">
        <v>1</v>
      </c>
    </row>
    <row r="2156" spans="1:7" x14ac:dyDescent="0.2">
      <c r="A2156" s="2" t="s">
        <v>36</v>
      </c>
      <c r="B2156" s="14">
        <v>38718</v>
      </c>
      <c r="C2156" s="2">
        <v>1.7579445571999999E-2</v>
      </c>
      <c r="D2156" s="19">
        <v>7.7602570000000006E-5</v>
      </c>
      <c r="E2156" s="2">
        <v>1</v>
      </c>
      <c r="F2156" s="2">
        <v>4.8754059130820303E-3</v>
      </c>
      <c r="G2156" s="2">
        <v>1</v>
      </c>
    </row>
    <row r="2157" spans="1:7" x14ac:dyDescent="0.2">
      <c r="A2157" s="2" t="s">
        <v>36</v>
      </c>
      <c r="B2157" s="14">
        <v>38749</v>
      </c>
      <c r="C2157" s="2">
        <v>7.4772978958000003E-2</v>
      </c>
      <c r="D2157" s="2">
        <v>3.0592747000000002E-4</v>
      </c>
      <c r="E2157" s="2">
        <v>1</v>
      </c>
      <c r="F2157" s="2">
        <v>4.5176874653932502E-3</v>
      </c>
      <c r="G2157" s="2">
        <v>1</v>
      </c>
    </row>
    <row r="2158" spans="1:7" x14ac:dyDescent="0.2">
      <c r="A2158" s="2" t="s">
        <v>36</v>
      </c>
      <c r="B2158" s="14">
        <v>38777</v>
      </c>
      <c r="C2158" s="2">
        <v>1.1354737667999999E-2</v>
      </c>
      <c r="D2158" s="2">
        <v>2.8766156000000002E-4</v>
      </c>
      <c r="E2158" s="2">
        <v>1</v>
      </c>
      <c r="F2158" s="2">
        <v>7.2483432128367196E-3</v>
      </c>
      <c r="G2158" s="2">
        <v>1</v>
      </c>
    </row>
    <row r="2159" spans="1:7" x14ac:dyDescent="0.2">
      <c r="A2159" s="2" t="s">
        <v>36</v>
      </c>
      <c r="B2159" s="14">
        <v>38808</v>
      </c>
      <c r="C2159" s="2">
        <v>8.6191087465999992E-3</v>
      </c>
      <c r="D2159" s="2">
        <v>-1.6937674E-4</v>
      </c>
      <c r="E2159" s="2">
        <v>1</v>
      </c>
      <c r="F2159" s="2">
        <v>6.1059274454216802E-3</v>
      </c>
      <c r="G2159" s="2">
        <v>1</v>
      </c>
    </row>
    <row r="2160" spans="1:7" x14ac:dyDescent="0.2">
      <c r="A2160" s="2" t="s">
        <v>36</v>
      </c>
      <c r="B2160" s="14">
        <v>38838</v>
      </c>
      <c r="C2160" s="2">
        <v>-2.4994383344999999E-2</v>
      </c>
      <c r="D2160" s="2">
        <v>-4.7591198000000002E-4</v>
      </c>
      <c r="E2160" s="2">
        <v>1</v>
      </c>
      <c r="F2160" s="2">
        <v>7.1714291756878202E-3</v>
      </c>
      <c r="G2160" s="2">
        <v>1</v>
      </c>
    </row>
    <row r="2161" spans="1:7" x14ac:dyDescent="0.2">
      <c r="A2161" s="2" t="s">
        <v>36</v>
      </c>
      <c r="B2161" s="14">
        <v>38869</v>
      </c>
      <c r="C2161" s="2">
        <v>3.5028177571999997E-2</v>
      </c>
      <c r="D2161" s="2">
        <v>-2.8193553000000003E-4</v>
      </c>
      <c r="E2161" s="2">
        <v>1</v>
      </c>
      <c r="F2161" s="2">
        <v>7.0458018503312602E-3</v>
      </c>
      <c r="G2161" s="2">
        <v>1</v>
      </c>
    </row>
    <row r="2162" spans="1:7" x14ac:dyDescent="0.2">
      <c r="A2162" s="2" t="s">
        <v>36</v>
      </c>
      <c r="B2162" s="14">
        <v>38899</v>
      </c>
      <c r="C2162" s="2">
        <v>-1.2245724116999999E-2</v>
      </c>
      <c r="D2162" s="19">
        <v>4.3859544999999999E-5</v>
      </c>
      <c r="E2162" s="2">
        <v>1</v>
      </c>
      <c r="F2162" s="2">
        <v>8.8781078120786106E-3</v>
      </c>
      <c r="G2162" s="2">
        <v>1</v>
      </c>
    </row>
    <row r="2163" spans="1:7" x14ac:dyDescent="0.2">
      <c r="A2163" s="2" t="s">
        <v>36</v>
      </c>
      <c r="B2163" s="14">
        <v>38930</v>
      </c>
      <c r="C2163" s="2">
        <v>3.6106557377999997E-2</v>
      </c>
      <c r="D2163" s="2">
        <v>1.2070672999999999E-3</v>
      </c>
      <c r="E2163" s="2">
        <v>1</v>
      </c>
      <c r="F2163" s="2">
        <v>8.0107185940317804E-3</v>
      </c>
      <c r="G2163" s="2">
        <v>1</v>
      </c>
    </row>
    <row r="2164" spans="1:7" x14ac:dyDescent="0.2">
      <c r="A2164" s="2" t="s">
        <v>36</v>
      </c>
      <c r="B2164" s="14">
        <v>38961</v>
      </c>
      <c r="C2164" s="2">
        <v>6.5780625765999995E-2</v>
      </c>
      <c r="D2164" s="2">
        <v>1.8482616000000001E-4</v>
      </c>
      <c r="E2164" s="2">
        <v>1</v>
      </c>
      <c r="F2164" s="2">
        <v>6.8115557799607101E-3</v>
      </c>
      <c r="G2164" s="2">
        <v>1</v>
      </c>
    </row>
    <row r="2165" spans="1:7" x14ac:dyDescent="0.2">
      <c r="A2165" s="2" t="s">
        <v>36</v>
      </c>
      <c r="B2165" s="14">
        <v>38991</v>
      </c>
      <c r="C2165" s="2">
        <v>6.3093824226999995E-2</v>
      </c>
      <c r="D2165" s="2">
        <v>8.9265725999999998E-4</v>
      </c>
      <c r="E2165" s="2">
        <v>1</v>
      </c>
      <c r="F2165" s="2">
        <v>8.2767042872807905E-3</v>
      </c>
      <c r="G2165" s="2">
        <v>1</v>
      </c>
    </row>
    <row r="2166" spans="1:7" x14ac:dyDescent="0.2">
      <c r="A2166" s="2" t="s">
        <v>36</v>
      </c>
      <c r="B2166" s="14">
        <v>39022</v>
      </c>
      <c r="C2166" s="2">
        <v>3.7163105713000001E-2</v>
      </c>
      <c r="D2166" s="2">
        <v>6.4194755E-4</v>
      </c>
      <c r="E2166" s="2">
        <v>1</v>
      </c>
      <c r="F2166" s="2">
        <v>9.70560969598421E-3</v>
      </c>
      <c r="G2166" s="2">
        <v>1</v>
      </c>
    </row>
    <row r="2167" spans="1:7" x14ac:dyDescent="0.2">
      <c r="A2167" s="2" t="s">
        <v>36</v>
      </c>
      <c r="B2167" s="14">
        <v>39052</v>
      </c>
      <c r="C2167" s="2">
        <v>0.15631548578000001</v>
      </c>
      <c r="D2167" s="2">
        <v>1.8760648E-4</v>
      </c>
      <c r="E2167" s="2">
        <v>1</v>
      </c>
      <c r="F2167" s="2">
        <v>1.1381966586933599E-2</v>
      </c>
      <c r="G2167" s="2">
        <v>1</v>
      </c>
    </row>
    <row r="2168" spans="1:7" x14ac:dyDescent="0.2">
      <c r="A2168" s="2" t="s">
        <v>36</v>
      </c>
      <c r="B2168" s="14">
        <v>39083</v>
      </c>
      <c r="C2168" s="2">
        <v>2.4137222678999998E-2</v>
      </c>
      <c r="D2168" s="2">
        <v>-3.1724104000000001E-4</v>
      </c>
      <c r="E2168" s="2">
        <v>1</v>
      </c>
      <c r="F2168" s="2">
        <v>1.4816598290286E-2</v>
      </c>
      <c r="G2168" s="2">
        <v>1</v>
      </c>
    </row>
    <row r="2169" spans="1:7" x14ac:dyDescent="0.2">
      <c r="A2169" s="2" t="s">
        <v>36</v>
      </c>
      <c r="B2169" s="14">
        <v>39114</v>
      </c>
      <c r="C2169" s="2">
        <v>-4.4844334297999998E-3</v>
      </c>
      <c r="D2169" s="2">
        <v>-7.6172407999999998E-4</v>
      </c>
      <c r="E2169" s="2">
        <v>1</v>
      </c>
      <c r="F2169" s="2">
        <v>1.5809151988205299E-2</v>
      </c>
      <c r="G2169" s="2">
        <v>1</v>
      </c>
    </row>
    <row r="2170" spans="1:7" x14ac:dyDescent="0.2">
      <c r="A2170" s="2" t="s">
        <v>36</v>
      </c>
      <c r="B2170" s="14">
        <v>39142</v>
      </c>
      <c r="C2170" s="2">
        <v>2.8726037650000001E-2</v>
      </c>
      <c r="D2170" s="2">
        <v>3.9833479000000001E-4</v>
      </c>
      <c r="E2170" s="2">
        <v>1</v>
      </c>
      <c r="F2170" s="2">
        <v>1.4649916858441E-2</v>
      </c>
      <c r="G2170" s="2">
        <v>1</v>
      </c>
    </row>
    <row r="2171" spans="1:7" x14ac:dyDescent="0.2">
      <c r="A2171" s="2" t="s">
        <v>36</v>
      </c>
      <c r="B2171" s="14">
        <v>39173</v>
      </c>
      <c r="C2171" s="2">
        <v>7.1012870731999994E-2</v>
      </c>
      <c r="D2171" s="2">
        <v>4.7780678000000003E-4</v>
      </c>
      <c r="E2171" s="2">
        <v>1</v>
      </c>
      <c r="F2171" s="2">
        <v>1.3506450859054E-2</v>
      </c>
      <c r="G2171" s="2">
        <v>1</v>
      </c>
    </row>
    <row r="2172" spans="1:7" x14ac:dyDescent="0.2">
      <c r="A2172" s="2" t="s">
        <v>36</v>
      </c>
      <c r="B2172" s="14">
        <v>39203</v>
      </c>
      <c r="C2172" s="2">
        <v>1.2646644098000001E-2</v>
      </c>
      <c r="D2172" s="2">
        <v>-1.2578120999999999E-3</v>
      </c>
      <c r="E2172" s="2">
        <v>1</v>
      </c>
      <c r="F2172" s="2">
        <v>1.35853700256369E-2</v>
      </c>
      <c r="G2172" s="2">
        <v>1</v>
      </c>
    </row>
    <row r="2173" spans="1:7" x14ac:dyDescent="0.2">
      <c r="A2173" s="2" t="s">
        <v>36</v>
      </c>
      <c r="B2173" s="14">
        <v>39234</v>
      </c>
      <c r="C2173" s="2">
        <v>4.5399989557999999E-3</v>
      </c>
      <c r="D2173" s="2">
        <v>-4.7842994999999999E-4</v>
      </c>
      <c r="E2173" s="2">
        <v>1</v>
      </c>
      <c r="F2173" s="2">
        <v>1.28081097133443E-2</v>
      </c>
      <c r="G2173" s="2">
        <v>1</v>
      </c>
    </row>
    <row r="2174" spans="1:7" x14ac:dyDescent="0.2">
      <c r="A2174" s="2" t="s">
        <v>36</v>
      </c>
      <c r="B2174" s="14">
        <v>39264</v>
      </c>
      <c r="C2174" s="2">
        <v>7.6909090910999997E-2</v>
      </c>
      <c r="D2174" s="19">
        <v>-8.6679742000000004E-5</v>
      </c>
      <c r="E2174" s="2">
        <v>1</v>
      </c>
      <c r="F2174" s="2">
        <v>8.4380373459000107E-3</v>
      </c>
      <c r="G2174" s="2">
        <v>1</v>
      </c>
    </row>
    <row r="2175" spans="1:7" x14ac:dyDescent="0.2">
      <c r="A2175" s="2" t="s">
        <v>36</v>
      </c>
      <c r="B2175" s="14">
        <v>39295</v>
      </c>
      <c r="C2175" s="2">
        <v>-1.3048406937E-2</v>
      </c>
      <c r="D2175" s="2">
        <v>2.8320413999999999E-4</v>
      </c>
      <c r="E2175" s="2">
        <v>1</v>
      </c>
      <c r="F2175" s="2">
        <v>4.1713131114848303E-3</v>
      </c>
      <c r="G2175" s="2">
        <v>1</v>
      </c>
    </row>
    <row r="2176" spans="1:7" x14ac:dyDescent="0.2">
      <c r="A2176" s="2" t="s">
        <v>36</v>
      </c>
      <c r="B2176" s="14">
        <v>39326</v>
      </c>
      <c r="C2176" s="2">
        <v>5.4252199406999999E-3</v>
      </c>
      <c r="D2176" s="2">
        <v>-2.1243619000000001E-4</v>
      </c>
      <c r="E2176" s="2">
        <v>1</v>
      </c>
      <c r="F2176" s="2">
        <v>4.0170541387037698E-3</v>
      </c>
      <c r="G2176" s="2">
        <v>1</v>
      </c>
    </row>
    <row r="2177" spans="1:7" x14ac:dyDescent="0.2">
      <c r="A2177" s="2" t="s">
        <v>36</v>
      </c>
      <c r="B2177" s="14">
        <v>39356</v>
      </c>
      <c r="C2177" s="2">
        <v>6.9369500752000005E-2</v>
      </c>
      <c r="D2177" s="2">
        <v>2.4799172999999999E-4</v>
      </c>
      <c r="E2177" s="2">
        <v>1</v>
      </c>
      <c r="F2177" s="2">
        <v>3.3434569023536899E-3</v>
      </c>
      <c r="G2177" s="2">
        <v>1</v>
      </c>
    </row>
    <row r="2178" spans="1:7" x14ac:dyDescent="0.2">
      <c r="A2178" s="2" t="s">
        <v>36</v>
      </c>
      <c r="B2178" s="14">
        <v>39387</v>
      </c>
      <c r="C2178" s="2">
        <v>1.7717519774999999E-2</v>
      </c>
      <c r="D2178" s="2">
        <v>-2.4320703999999999E-3</v>
      </c>
      <c r="E2178" s="2">
        <v>1</v>
      </c>
      <c r="F2178" s="2">
        <v>3.1495547721724099E-3</v>
      </c>
      <c r="G2178" s="2">
        <v>1</v>
      </c>
    </row>
    <row r="2179" spans="1:7" x14ac:dyDescent="0.2">
      <c r="A2179" s="2" t="s">
        <v>36</v>
      </c>
      <c r="B2179" s="14">
        <v>39417</v>
      </c>
      <c r="C2179" s="2">
        <v>6.0304376529999996E-4</v>
      </c>
      <c r="D2179" s="2">
        <v>-2.4795863999999999E-4</v>
      </c>
      <c r="E2179" s="2">
        <v>1</v>
      </c>
      <c r="F2179" s="2">
        <v>3.2635671940953398E-3</v>
      </c>
      <c r="G2179" s="2">
        <v>1</v>
      </c>
    </row>
    <row r="2180" spans="1:7" x14ac:dyDescent="0.2">
      <c r="A2180" s="2" t="s">
        <v>36</v>
      </c>
      <c r="B2180" s="14">
        <v>39448</v>
      </c>
      <c r="C2180" s="2">
        <v>-5.8921348314999997E-2</v>
      </c>
      <c r="D2180" s="2">
        <v>-1.7480995999999999E-3</v>
      </c>
      <c r="E2180" s="2">
        <v>1</v>
      </c>
      <c r="F2180" s="2">
        <v>2.8462747611317498E-3</v>
      </c>
      <c r="G2180" s="2">
        <v>1</v>
      </c>
    </row>
    <row r="2181" spans="1:7" x14ac:dyDescent="0.2">
      <c r="A2181" s="2" t="s">
        <v>36</v>
      </c>
      <c r="B2181" s="14">
        <v>39479</v>
      </c>
      <c r="C2181" s="2">
        <v>-7.2018721044999998E-2</v>
      </c>
      <c r="D2181" s="2">
        <v>-2.9955291999999998E-4</v>
      </c>
      <c r="E2181" s="2">
        <v>1</v>
      </c>
      <c r="F2181" s="2">
        <v>-7.8596311619520101E-4</v>
      </c>
      <c r="G2181" s="2">
        <v>1</v>
      </c>
    </row>
    <row r="2182" spans="1:7" x14ac:dyDescent="0.2">
      <c r="A2182" s="2" t="s">
        <v>36</v>
      </c>
      <c r="B2182" s="14">
        <v>39508</v>
      </c>
      <c r="C2182" s="2">
        <v>4.8569296485000003E-2</v>
      </c>
      <c r="D2182" s="2">
        <v>-8.7854260000000005E-4</v>
      </c>
      <c r="E2182" s="2">
        <v>1</v>
      </c>
      <c r="F2182" s="2">
        <v>-2.1784681166783799E-3</v>
      </c>
      <c r="G2182" s="2">
        <v>1</v>
      </c>
    </row>
    <row r="2183" spans="1:7" x14ac:dyDescent="0.2">
      <c r="A2183" s="2" t="s">
        <v>36</v>
      </c>
      <c r="B2183" s="14">
        <v>39539</v>
      </c>
      <c r="C2183" s="2">
        <v>-6.1141854500000002E-2</v>
      </c>
      <c r="D2183" s="19">
        <v>-3.2773685E-5</v>
      </c>
      <c r="E2183" s="2">
        <v>1</v>
      </c>
      <c r="F2183" s="2">
        <v>-1.02144084409477E-3</v>
      </c>
      <c r="G2183" s="2">
        <v>1</v>
      </c>
    </row>
    <row r="2184" spans="1:7" x14ac:dyDescent="0.2">
      <c r="A2184" s="2" t="s">
        <v>36</v>
      </c>
      <c r="B2184" s="14">
        <v>39569</v>
      </c>
      <c r="C2184" s="2">
        <v>-3.6930182765E-2</v>
      </c>
      <c r="D2184" s="2">
        <v>-2.4089354999999998E-3</v>
      </c>
      <c r="E2184" s="2">
        <v>1</v>
      </c>
      <c r="F2184" s="2">
        <v>-4.63392001917581E-3</v>
      </c>
      <c r="G2184" s="2">
        <v>1</v>
      </c>
    </row>
    <row r="2185" spans="1:7" x14ac:dyDescent="0.2">
      <c r="A2185" s="2" t="s">
        <v>36</v>
      </c>
      <c r="B2185" s="14">
        <v>39600</v>
      </c>
      <c r="C2185" s="2">
        <v>-7.7680840831999998E-2</v>
      </c>
      <c r="D2185" s="2">
        <v>-3.2623215000000001E-3</v>
      </c>
      <c r="E2185" s="2">
        <v>1</v>
      </c>
      <c r="F2185" s="2">
        <v>-6.0773624419555999E-3</v>
      </c>
      <c r="G2185" s="2">
        <v>1</v>
      </c>
    </row>
    <row r="2186" spans="1:7" x14ac:dyDescent="0.2">
      <c r="A2186" s="2" t="s">
        <v>36</v>
      </c>
      <c r="B2186" s="14">
        <v>39630</v>
      </c>
      <c r="C2186" s="2">
        <v>3.9489952481999997E-2</v>
      </c>
      <c r="D2186" s="2">
        <v>-8.1856973999999997E-4</v>
      </c>
      <c r="E2186" s="2">
        <v>1</v>
      </c>
      <c r="F2186" s="2">
        <v>-8.0702561103493508E-3</v>
      </c>
      <c r="G2186" s="2">
        <v>1</v>
      </c>
    </row>
    <row r="2187" spans="1:7" x14ac:dyDescent="0.2">
      <c r="A2187" s="2" t="s">
        <v>36</v>
      </c>
      <c r="B2187" s="14">
        <v>39661</v>
      </c>
      <c r="C2187" s="2">
        <v>-0.1004557049</v>
      </c>
      <c r="D2187" s="19">
        <v>5.7740337000000001E-5</v>
      </c>
      <c r="E2187" s="2">
        <v>1</v>
      </c>
      <c r="F2187" s="2">
        <v>-9.1355139475097196E-3</v>
      </c>
      <c r="G2187" s="2">
        <v>1</v>
      </c>
    </row>
    <row r="2188" spans="1:7" x14ac:dyDescent="0.2">
      <c r="A2188" s="2" t="s">
        <v>36</v>
      </c>
      <c r="B2188" s="14">
        <v>39692</v>
      </c>
      <c r="C2188" s="2">
        <v>-7.5033454413999997E-3</v>
      </c>
      <c r="D2188" s="2">
        <v>6.7705532999999996E-4</v>
      </c>
      <c r="E2188" s="2">
        <v>1</v>
      </c>
      <c r="F2188" s="2">
        <v>-9.5995864049460405E-3</v>
      </c>
      <c r="G2188" s="2">
        <v>1</v>
      </c>
    </row>
    <row r="2189" spans="1:7" x14ac:dyDescent="0.2">
      <c r="A2189" s="2" t="s">
        <v>36</v>
      </c>
      <c r="B2189" s="14">
        <v>39722</v>
      </c>
      <c r="C2189" s="2">
        <v>-0.10927593457</v>
      </c>
      <c r="D2189" s="2">
        <v>5.9531384999999995E-4</v>
      </c>
      <c r="E2189" s="2">
        <v>1</v>
      </c>
      <c r="F2189" s="2">
        <v>-1.1209645689202999E-2</v>
      </c>
      <c r="G2189" s="2">
        <v>1</v>
      </c>
    </row>
    <row r="2190" spans="1:7" x14ac:dyDescent="0.2">
      <c r="A2190" s="2" t="s">
        <v>36</v>
      </c>
      <c r="B2190" s="14">
        <v>39753</v>
      </c>
      <c r="C2190" s="2">
        <v>-9.7273529994000005E-2</v>
      </c>
      <c r="D2190" s="2">
        <v>-9.8742486000000002E-4</v>
      </c>
      <c r="E2190" s="2">
        <v>1</v>
      </c>
      <c r="F2190" s="2">
        <v>-1.23781793253667E-2</v>
      </c>
      <c r="G2190" s="2">
        <v>1</v>
      </c>
    </row>
    <row r="2191" spans="1:7" x14ac:dyDescent="0.2">
      <c r="A2191" s="2" t="s">
        <v>36</v>
      </c>
      <c r="B2191" s="14">
        <v>39783</v>
      </c>
      <c r="C2191" s="2">
        <v>-1.7569866111000001E-2</v>
      </c>
      <c r="D2191" s="2">
        <v>-2.0223134000000001E-3</v>
      </c>
      <c r="E2191" s="2">
        <v>1</v>
      </c>
      <c r="F2191" s="2">
        <v>-1.38880275469156E-2</v>
      </c>
      <c r="G2191" s="2">
        <v>1</v>
      </c>
    </row>
    <row r="2192" spans="1:7" x14ac:dyDescent="0.2">
      <c r="A2192" s="2" t="s">
        <v>37</v>
      </c>
      <c r="B2192" s="14">
        <v>37591</v>
      </c>
      <c r="C2192" s="2">
        <v>0.10421836228</v>
      </c>
      <c r="D2192" s="2">
        <v>4.5062500000000002E-4</v>
      </c>
      <c r="E2192" s="2">
        <v>1</v>
      </c>
      <c r="G2192" s="2">
        <v>1</v>
      </c>
    </row>
    <row r="2193" spans="1:7" x14ac:dyDescent="0.2">
      <c r="A2193" s="2" t="s">
        <v>37</v>
      </c>
      <c r="B2193" s="14">
        <v>37622</v>
      </c>
      <c r="C2193" s="2">
        <v>4.9898396929999998E-2</v>
      </c>
      <c r="D2193" s="2">
        <v>1.2073594E-3</v>
      </c>
      <c r="E2193" s="2">
        <v>1</v>
      </c>
      <c r="G2193" s="2">
        <v>1</v>
      </c>
    </row>
    <row r="2194" spans="1:7" x14ac:dyDescent="0.2">
      <c r="A2194" s="2" t="s">
        <v>37</v>
      </c>
      <c r="B2194" s="14">
        <v>37653</v>
      </c>
      <c r="C2194" s="2">
        <v>-1.0752688173E-2</v>
      </c>
      <c r="D2194" s="2">
        <v>3.7631250000000002E-4</v>
      </c>
      <c r="E2194" s="2">
        <v>1</v>
      </c>
      <c r="G2194" s="2">
        <v>1</v>
      </c>
    </row>
    <row r="2195" spans="1:7" x14ac:dyDescent="0.2">
      <c r="A2195" s="2" t="s">
        <v>37</v>
      </c>
      <c r="B2195" s="14">
        <v>37681</v>
      </c>
      <c r="C2195" s="2">
        <v>4.3478260868000003E-3</v>
      </c>
      <c r="D2195" s="2">
        <v>2.5924530000000002E-3</v>
      </c>
      <c r="E2195" s="2">
        <v>1</v>
      </c>
      <c r="G2195" s="2">
        <v>1</v>
      </c>
    </row>
    <row r="2196" spans="1:7" x14ac:dyDescent="0.2">
      <c r="A2196" s="2" t="s">
        <v>37</v>
      </c>
      <c r="B2196" s="14">
        <v>37712</v>
      </c>
      <c r="C2196" s="2">
        <v>0.16733801394</v>
      </c>
      <c r="D2196" s="2">
        <v>4.7846875E-4</v>
      </c>
      <c r="E2196" s="2">
        <v>1</v>
      </c>
      <c r="G2196" s="2">
        <v>1</v>
      </c>
    </row>
    <row r="2197" spans="1:7" x14ac:dyDescent="0.2">
      <c r="A2197" s="2" t="s">
        <v>37</v>
      </c>
      <c r="B2197" s="14">
        <v>37742</v>
      </c>
      <c r="C2197" s="2">
        <v>0.13207547169</v>
      </c>
      <c r="D2197" s="2">
        <v>-3.3592187999999999E-4</v>
      </c>
      <c r="E2197" s="2">
        <v>1</v>
      </c>
      <c r="G2197" s="2">
        <v>1</v>
      </c>
    </row>
    <row r="2198" spans="1:7" x14ac:dyDescent="0.2">
      <c r="A2198" s="2" t="s">
        <v>37</v>
      </c>
      <c r="B2198" s="14">
        <v>37773</v>
      </c>
      <c r="C2198" s="2">
        <v>-1.3333333334000001E-2</v>
      </c>
      <c r="D2198" s="2">
        <v>1.9176250000000001E-3</v>
      </c>
      <c r="E2198" s="2">
        <v>1</v>
      </c>
      <c r="G2198" s="2">
        <v>1</v>
      </c>
    </row>
    <row r="2199" spans="1:7" x14ac:dyDescent="0.2">
      <c r="A2199" s="2" t="s">
        <v>37</v>
      </c>
      <c r="B2199" s="14">
        <v>37803</v>
      </c>
      <c r="C2199" s="2">
        <v>7.1134925060999998E-2</v>
      </c>
      <c r="D2199" s="2">
        <v>1.2877969E-3</v>
      </c>
      <c r="E2199" s="2">
        <v>1</v>
      </c>
      <c r="G2199" s="2">
        <v>1</v>
      </c>
    </row>
    <row r="2200" spans="1:7" x14ac:dyDescent="0.2">
      <c r="A2200" s="2" t="s">
        <v>37</v>
      </c>
      <c r="B2200" s="14">
        <v>37834</v>
      </c>
      <c r="C2200" s="2">
        <v>9.8814229249999996E-2</v>
      </c>
      <c r="D2200" s="2">
        <v>2.0356874000000001E-3</v>
      </c>
      <c r="E2200" s="2">
        <v>1</v>
      </c>
      <c r="F2200" s="2">
        <v>3.1491324201084997E-2</v>
      </c>
      <c r="G2200" s="2">
        <v>1</v>
      </c>
    </row>
    <row r="2201" spans="1:7" x14ac:dyDescent="0.2">
      <c r="A2201" s="2" t="s">
        <v>37</v>
      </c>
      <c r="B2201" s="14">
        <v>37865</v>
      </c>
      <c r="C2201" s="2">
        <v>-5.0359712230999998E-2</v>
      </c>
      <c r="D2201" s="2">
        <v>5.2075001000000001E-4</v>
      </c>
      <c r="E2201" s="2">
        <v>1</v>
      </c>
      <c r="F2201" s="2">
        <v>3.4373874189357799E-2</v>
      </c>
      <c r="G2201" s="2">
        <v>1</v>
      </c>
    </row>
    <row r="2202" spans="1:7" x14ac:dyDescent="0.2">
      <c r="A2202" s="2" t="s">
        <v>37</v>
      </c>
      <c r="B2202" s="14">
        <v>37895</v>
      </c>
      <c r="C2202" s="2">
        <v>1.7395770527999999E-2</v>
      </c>
      <c r="D2202" s="2">
        <v>2.3168281E-3</v>
      </c>
      <c r="E2202" s="2">
        <v>1</v>
      </c>
      <c r="F2202" s="2">
        <v>3.3023137940119199E-2</v>
      </c>
      <c r="G2202" s="2">
        <v>1</v>
      </c>
    </row>
    <row r="2203" spans="1:7" x14ac:dyDescent="0.2">
      <c r="A2203" s="2" t="s">
        <v>37</v>
      </c>
      <c r="B2203" s="14">
        <v>37926</v>
      </c>
      <c r="C2203" s="2">
        <v>-0.11791044776</v>
      </c>
      <c r="D2203" s="2">
        <v>-2.293125E-4</v>
      </c>
      <c r="E2203" s="2">
        <v>1</v>
      </c>
      <c r="F2203" s="2">
        <v>2.8592451386721701E-2</v>
      </c>
      <c r="G2203" s="2">
        <v>1</v>
      </c>
    </row>
    <row r="2204" spans="1:7" x14ac:dyDescent="0.2">
      <c r="A2204" s="2" t="s">
        <v>37</v>
      </c>
      <c r="B2204" s="14">
        <v>37956</v>
      </c>
      <c r="C2204" s="2">
        <v>-3.5532994924E-2</v>
      </c>
      <c r="D2204" s="19">
        <v>1.8765624000000001E-5</v>
      </c>
      <c r="E2204" s="2">
        <v>1</v>
      </c>
      <c r="F2204" s="2">
        <v>2.1897121814171701E-2</v>
      </c>
      <c r="G2204" s="2">
        <v>1</v>
      </c>
    </row>
    <row r="2205" spans="1:7" x14ac:dyDescent="0.2">
      <c r="A2205" s="2" t="s">
        <v>37</v>
      </c>
      <c r="B2205" s="14">
        <v>37987</v>
      </c>
      <c r="C2205" s="2">
        <v>-5.8873599090999998E-2</v>
      </c>
      <c r="E2205" s="2">
        <v>1</v>
      </c>
      <c r="F2205" s="2">
        <v>2.13097335304929E-2</v>
      </c>
      <c r="G2205" s="2">
        <v>1</v>
      </c>
    </row>
    <row r="2206" spans="1:7" x14ac:dyDescent="0.2">
      <c r="A2206" s="2" t="s">
        <v>37</v>
      </c>
      <c r="B2206" s="14">
        <v>38018</v>
      </c>
      <c r="C2206" s="2">
        <v>1.8691588783999999E-2</v>
      </c>
      <c r="E2206" s="2">
        <v>1</v>
      </c>
      <c r="F2206" s="2">
        <v>1.7756032632648799E-2</v>
      </c>
      <c r="G2206" s="2">
        <v>1</v>
      </c>
    </row>
    <row r="2207" spans="1:7" x14ac:dyDescent="0.2">
      <c r="A2207" s="2" t="s">
        <v>37</v>
      </c>
      <c r="B2207" s="14">
        <v>38047</v>
      </c>
      <c r="C2207" s="2">
        <v>9.1743119264999992E-3</v>
      </c>
      <c r="D2207" s="2">
        <v>5.4988907999999996E-3</v>
      </c>
      <c r="E2207" s="2">
        <v>1</v>
      </c>
      <c r="F2207" s="2">
        <v>1.5390594312367001E-2</v>
      </c>
      <c r="G2207" s="2">
        <v>1</v>
      </c>
    </row>
    <row r="2208" spans="1:7" x14ac:dyDescent="0.2">
      <c r="A2208" s="2" t="s">
        <v>37</v>
      </c>
      <c r="B2208" s="14">
        <v>38078</v>
      </c>
      <c r="C2208" s="2">
        <v>-2.7227570352000002E-2</v>
      </c>
      <c r="D2208" s="2">
        <v>-6.7503127999999995E-4</v>
      </c>
      <c r="E2208" s="2">
        <v>1</v>
      </c>
      <c r="F2208" s="2">
        <v>1.7088537098485099E-2</v>
      </c>
      <c r="G2208" s="2">
        <v>1</v>
      </c>
    </row>
    <row r="2209" spans="1:7" x14ac:dyDescent="0.2">
      <c r="A2209" s="2" t="s">
        <v>37</v>
      </c>
      <c r="B2209" s="14">
        <v>38108</v>
      </c>
      <c r="C2209" s="2">
        <v>-0.11737089201000001</v>
      </c>
      <c r="D2209" s="2">
        <v>2.3033437E-3</v>
      </c>
      <c r="E2209" s="2">
        <v>1</v>
      </c>
      <c r="F2209" s="2">
        <v>1.56231190658578E-2</v>
      </c>
      <c r="G2209" s="2">
        <v>1</v>
      </c>
    </row>
    <row r="2210" spans="1:7" x14ac:dyDescent="0.2">
      <c r="A2210" s="2" t="s">
        <v>37</v>
      </c>
      <c r="B2210" s="14">
        <v>38139</v>
      </c>
      <c r="C2210" s="2">
        <v>0.10638297871999999</v>
      </c>
      <c r="D2210" s="2">
        <v>6.9070310999999997E-4</v>
      </c>
      <c r="E2210" s="2">
        <v>1</v>
      </c>
      <c r="F2210" s="2">
        <v>1.5835218222282399E-2</v>
      </c>
      <c r="G2210" s="2">
        <v>1</v>
      </c>
    </row>
    <row r="2211" spans="1:7" x14ac:dyDescent="0.2">
      <c r="A2211" s="2" t="s">
        <v>37</v>
      </c>
      <c r="B2211" s="14">
        <v>38169</v>
      </c>
      <c r="C2211" s="2">
        <v>0.15830176039999999</v>
      </c>
      <c r="D2211" s="2">
        <v>2.0625468E-3</v>
      </c>
      <c r="E2211" s="2">
        <v>1</v>
      </c>
      <c r="F2211" s="2">
        <v>1.9874898718367801E-2</v>
      </c>
      <c r="G2211" s="2">
        <v>1</v>
      </c>
    </row>
    <row r="2212" spans="1:7" x14ac:dyDescent="0.2">
      <c r="A2212" s="2" t="s">
        <v>37</v>
      </c>
      <c r="B2212" s="14">
        <v>38200</v>
      </c>
      <c r="C2212" s="2">
        <v>-1.6666666665999998E-2</v>
      </c>
      <c r="D2212" s="2">
        <v>4.0928437000000003E-3</v>
      </c>
      <c r="E2212" s="2">
        <v>1</v>
      </c>
      <c r="F2212" s="2">
        <v>2.0812324349640601E-2</v>
      </c>
      <c r="G2212" s="2">
        <v>1</v>
      </c>
    </row>
    <row r="2213" spans="1:7" x14ac:dyDescent="0.2">
      <c r="A2213" s="2" t="s">
        <v>37</v>
      </c>
      <c r="B2213" s="14">
        <v>38231</v>
      </c>
      <c r="C2213" s="2">
        <v>1.6949152541E-2</v>
      </c>
      <c r="D2213" s="2">
        <v>-5.5171875000000002E-4</v>
      </c>
      <c r="E2213" s="2">
        <v>1</v>
      </c>
      <c r="F2213" s="2">
        <v>1.9721566713415E-2</v>
      </c>
      <c r="G2213" s="2">
        <v>1</v>
      </c>
    </row>
    <row r="2214" spans="1:7" x14ac:dyDescent="0.2">
      <c r="A2214" s="2" t="s">
        <v>37</v>
      </c>
      <c r="B2214" s="14">
        <v>38261</v>
      </c>
      <c r="C2214" s="2">
        <v>7.0222222222999994E-2</v>
      </c>
      <c r="D2214" s="2">
        <v>-1.2866093000000001E-3</v>
      </c>
      <c r="E2214" s="2">
        <v>1</v>
      </c>
      <c r="F2214" s="2">
        <v>1.9893696145158402E-2</v>
      </c>
      <c r="G2214" s="2">
        <v>1</v>
      </c>
    </row>
    <row r="2215" spans="1:7" x14ac:dyDescent="0.2">
      <c r="A2215" s="2" t="s">
        <v>37</v>
      </c>
      <c r="B2215" s="14">
        <v>38292</v>
      </c>
      <c r="C2215" s="2">
        <v>-5.0781249999000001E-2</v>
      </c>
      <c r="D2215" s="2">
        <v>7.1876559999999999E-4</v>
      </c>
      <c r="E2215" s="2">
        <v>1</v>
      </c>
      <c r="F2215" s="2">
        <v>2.2612517315596499E-2</v>
      </c>
      <c r="G2215" s="2">
        <v>1</v>
      </c>
    </row>
    <row r="2216" spans="1:7" x14ac:dyDescent="0.2">
      <c r="A2216" s="2" t="s">
        <v>37</v>
      </c>
      <c r="B2216" s="14">
        <v>38322</v>
      </c>
      <c r="C2216" s="2">
        <v>-4.5267489712000002E-2</v>
      </c>
      <c r="D2216" s="2">
        <v>1.1706563000000001E-3</v>
      </c>
      <c r="E2216" s="2">
        <v>1</v>
      </c>
      <c r="F2216" s="2">
        <v>2.4528755087185501E-2</v>
      </c>
      <c r="G2216" s="2">
        <v>1</v>
      </c>
    </row>
    <row r="2217" spans="1:7" x14ac:dyDescent="0.2">
      <c r="A2217" s="2" t="s">
        <v>37</v>
      </c>
      <c r="B2217" s="14">
        <v>38353</v>
      </c>
      <c r="C2217" s="2">
        <v>-3.1141868510999999E-2</v>
      </c>
      <c r="D2217" s="2">
        <v>-9.2449999999999997E-4</v>
      </c>
      <c r="E2217" s="2">
        <v>1</v>
      </c>
      <c r="F2217" s="2">
        <v>2.0270715989716699E-2</v>
      </c>
      <c r="G2217" s="2">
        <v>1</v>
      </c>
    </row>
    <row r="2218" spans="1:7" x14ac:dyDescent="0.2">
      <c r="A2218" s="2" t="s">
        <v>37</v>
      </c>
      <c r="B2218" s="14">
        <v>38384</v>
      </c>
      <c r="C2218" s="2">
        <v>2.6785714286E-2</v>
      </c>
      <c r="D2218" s="2">
        <v>-2.6987031999999998E-3</v>
      </c>
      <c r="E2218" s="2">
        <v>1</v>
      </c>
      <c r="F2218" s="2">
        <v>1.4837434770075399E-2</v>
      </c>
      <c r="G2218" s="2">
        <v>1</v>
      </c>
    </row>
    <row r="2219" spans="1:7" x14ac:dyDescent="0.2">
      <c r="A2219" s="2" t="s">
        <v>37</v>
      </c>
      <c r="B2219" s="14">
        <v>38412</v>
      </c>
      <c r="C2219" s="2">
        <v>8.6782608705000003E-3</v>
      </c>
      <c r="D2219" s="2">
        <v>-1.3816093999999999E-3</v>
      </c>
      <c r="E2219" s="2">
        <v>1</v>
      </c>
      <c r="F2219" s="2">
        <v>1.6035391254925702E-2</v>
      </c>
      <c r="G2219" s="2">
        <v>1</v>
      </c>
    </row>
    <row r="2220" spans="1:7" x14ac:dyDescent="0.2">
      <c r="A2220" s="2" t="s">
        <v>37</v>
      </c>
      <c r="B2220" s="14">
        <v>38443</v>
      </c>
      <c r="C2220" s="2">
        <v>-3.6995165470999999E-2</v>
      </c>
      <c r="D2220" s="2">
        <v>-4.9065624000000003E-4</v>
      </c>
      <c r="E2220" s="2">
        <v>1</v>
      </c>
      <c r="F2220" s="2">
        <v>1.5776772886587201E-2</v>
      </c>
      <c r="G2220" s="2">
        <v>1</v>
      </c>
    </row>
    <row r="2221" spans="1:7" x14ac:dyDescent="0.2">
      <c r="A2221" s="2" t="s">
        <v>37</v>
      </c>
      <c r="B2221" s="14">
        <v>38473</v>
      </c>
      <c r="C2221" s="2">
        <v>-1.6214246674E-2</v>
      </c>
      <c r="D2221" s="2">
        <v>-2.7533906999999999E-3</v>
      </c>
      <c r="E2221" s="2">
        <v>1</v>
      </c>
      <c r="F2221" s="2">
        <v>1.2813350169806101E-2</v>
      </c>
      <c r="G2221" s="2">
        <v>1</v>
      </c>
    </row>
    <row r="2222" spans="1:7" x14ac:dyDescent="0.2">
      <c r="A2222" s="2" t="s">
        <v>37</v>
      </c>
      <c r="B2222" s="14">
        <v>38504</v>
      </c>
      <c r="C2222" s="2">
        <v>3.7037037036000003E-2</v>
      </c>
      <c r="D2222" s="19">
        <v>-5.978125E-5</v>
      </c>
      <c r="E2222" s="2">
        <v>1</v>
      </c>
      <c r="F2222" s="2">
        <v>1.3657239409609299E-2</v>
      </c>
      <c r="G2222" s="2">
        <v>1</v>
      </c>
    </row>
    <row r="2223" spans="1:7" x14ac:dyDescent="0.2">
      <c r="A2223" s="2" t="s">
        <v>37</v>
      </c>
      <c r="B2223" s="14">
        <v>38534</v>
      </c>
      <c r="C2223" s="2">
        <v>0.14672795452000001</v>
      </c>
      <c r="D2223" s="2">
        <v>-1.1565780999999999E-3</v>
      </c>
      <c r="E2223" s="2">
        <v>1</v>
      </c>
      <c r="F2223" s="2">
        <v>1.5840970849938001E-2</v>
      </c>
      <c r="G2223" s="2">
        <v>1</v>
      </c>
    </row>
    <row r="2224" spans="1:7" x14ac:dyDescent="0.2">
      <c r="A2224" s="2" t="s">
        <v>37</v>
      </c>
      <c r="B2224" s="14">
        <v>38565</v>
      </c>
      <c r="C2224" s="2">
        <v>-3.90625E-2</v>
      </c>
      <c r="D2224" s="2">
        <v>2.0351405000000001E-3</v>
      </c>
      <c r="E2224" s="2">
        <v>1</v>
      </c>
      <c r="F2224" s="2">
        <v>2.2333010026565299E-2</v>
      </c>
      <c r="G2224" s="2">
        <v>1</v>
      </c>
    </row>
    <row r="2225" spans="1:7" x14ac:dyDescent="0.2">
      <c r="A2225" s="2" t="s">
        <v>37</v>
      </c>
      <c r="B2225" s="14">
        <v>38596</v>
      </c>
      <c r="C2225" s="2">
        <v>2.7642276422000001E-2</v>
      </c>
      <c r="D2225" s="2">
        <v>2.7813436000000001E-3</v>
      </c>
      <c r="E2225" s="2">
        <v>1</v>
      </c>
      <c r="F2225" s="2">
        <v>2.05452172186294E-2</v>
      </c>
      <c r="G2225" s="2">
        <v>1</v>
      </c>
    </row>
    <row r="2226" spans="1:7" x14ac:dyDescent="0.2">
      <c r="A2226" s="2" t="s">
        <v>37</v>
      </c>
      <c r="B2226" s="14">
        <v>38626</v>
      </c>
      <c r="C2226" s="2">
        <v>-2.3779819864000001E-2</v>
      </c>
      <c r="D2226" s="2">
        <v>1.0417344E-3</v>
      </c>
      <c r="E2226" s="2">
        <v>1</v>
      </c>
      <c r="F2226" s="2">
        <v>2.1035643298897101E-2</v>
      </c>
      <c r="G2226" s="2">
        <v>1</v>
      </c>
    </row>
    <row r="2227" spans="1:7" x14ac:dyDescent="0.2">
      <c r="A2227" s="2" t="s">
        <v>37</v>
      </c>
      <c r="B2227" s="14">
        <v>38657</v>
      </c>
      <c r="C2227" s="2">
        <v>-5.6910569106000002E-2</v>
      </c>
      <c r="D2227" s="19">
        <v>1.8437500000000001E-5</v>
      </c>
      <c r="E2227" s="2">
        <v>1</v>
      </c>
      <c r="F2227" s="2">
        <v>2.1425947782439201E-2</v>
      </c>
      <c r="G2227" s="2">
        <v>1</v>
      </c>
    </row>
    <row r="2228" spans="1:7" x14ac:dyDescent="0.2">
      <c r="A2228" s="2" t="s">
        <v>37</v>
      </c>
      <c r="B2228" s="14">
        <v>38687</v>
      </c>
      <c r="C2228" s="2">
        <v>-0.11206896550999999</v>
      </c>
      <c r="D2228" s="2">
        <v>1.1008594E-3</v>
      </c>
      <c r="E2228" s="2">
        <v>1</v>
      </c>
      <c r="F2228" s="2">
        <v>2.0393610248760199E-2</v>
      </c>
      <c r="G2228" s="2">
        <v>1</v>
      </c>
    </row>
    <row r="2229" spans="1:7" x14ac:dyDescent="0.2">
      <c r="A2229" s="2" t="s">
        <v>37</v>
      </c>
      <c r="B2229" s="14">
        <v>38718</v>
      </c>
      <c r="C2229" s="2">
        <v>1.3645224169999999E-2</v>
      </c>
      <c r="D2229" s="2">
        <v>4.2209997999999999E-3</v>
      </c>
      <c r="E2229" s="2">
        <v>1</v>
      </c>
      <c r="F2229" s="2">
        <v>1.6509109058762801E-2</v>
      </c>
      <c r="G2229" s="2">
        <v>1</v>
      </c>
    </row>
    <row r="2230" spans="1:7" x14ac:dyDescent="0.2">
      <c r="A2230" s="2" t="s">
        <v>37</v>
      </c>
      <c r="B2230" s="14">
        <v>38749</v>
      </c>
      <c r="C2230" s="2">
        <v>3.8461538463000003E-2</v>
      </c>
      <c r="D2230" s="2">
        <v>1.1072969000000001E-3</v>
      </c>
      <c r="E2230" s="2">
        <v>1</v>
      </c>
      <c r="F2230" s="2">
        <v>1.26275960851986E-2</v>
      </c>
      <c r="G2230" s="2">
        <v>1</v>
      </c>
    </row>
    <row r="2231" spans="1:7" x14ac:dyDescent="0.2">
      <c r="A2231" s="2" t="s">
        <v>37</v>
      </c>
      <c r="B2231" s="14">
        <v>38777</v>
      </c>
      <c r="C2231" s="2">
        <v>3.7037037036000003E-2</v>
      </c>
      <c r="D2231" s="2">
        <v>4.0996875000000001E-4</v>
      </c>
      <c r="E2231" s="2">
        <v>1</v>
      </c>
      <c r="F2231" s="2">
        <v>1.47921510815756E-2</v>
      </c>
      <c r="G2231" s="2">
        <v>1</v>
      </c>
    </row>
    <row r="2232" spans="1:7" x14ac:dyDescent="0.2">
      <c r="A2232" s="2" t="s">
        <v>37</v>
      </c>
      <c r="B2232" s="14">
        <v>38808</v>
      </c>
      <c r="C2232" s="2">
        <v>6.1018718933999998E-3</v>
      </c>
      <c r="D2232" s="2">
        <v>-2.4645468E-3</v>
      </c>
      <c r="E2232" s="2">
        <v>1</v>
      </c>
      <c r="F2232" s="2">
        <v>1.4997909226896E-2</v>
      </c>
      <c r="G2232" s="2">
        <v>1</v>
      </c>
    </row>
    <row r="2233" spans="1:7" x14ac:dyDescent="0.2">
      <c r="A2233" s="2" t="s">
        <v>37</v>
      </c>
      <c r="B2233" s="14">
        <v>38838</v>
      </c>
      <c r="C2233" s="2">
        <v>-5.4036036035999997E-2</v>
      </c>
      <c r="D2233" s="2">
        <v>9.6742186000000003E-4</v>
      </c>
      <c r="E2233" s="2">
        <v>1</v>
      </c>
      <c r="F2233" s="2">
        <v>1.5860437085458701E-2</v>
      </c>
      <c r="G2233" s="2">
        <v>1</v>
      </c>
    </row>
    <row r="2234" spans="1:7" x14ac:dyDescent="0.2">
      <c r="A2234" s="2" t="s">
        <v>37</v>
      </c>
      <c r="B2234" s="14">
        <v>38869</v>
      </c>
      <c r="C2234" s="2">
        <v>-9.5426753787000006E-3</v>
      </c>
      <c r="D2234" s="2">
        <v>1.3934374999999999E-3</v>
      </c>
      <c r="E2234" s="2">
        <v>1</v>
      </c>
      <c r="F2234" s="2">
        <v>1.61081386990874E-2</v>
      </c>
      <c r="G2234" s="2">
        <v>1</v>
      </c>
    </row>
    <row r="2235" spans="1:7" x14ac:dyDescent="0.2">
      <c r="A2235" s="2" t="s">
        <v>37</v>
      </c>
      <c r="B2235" s="14">
        <v>38899</v>
      </c>
      <c r="C2235" s="2">
        <v>-3.4653465345000002E-2</v>
      </c>
      <c r="D2235" s="2">
        <v>2.4428749000000001E-3</v>
      </c>
      <c r="E2235" s="2">
        <v>1</v>
      </c>
      <c r="F2235" s="2">
        <v>1.9075051839674902E-2</v>
      </c>
      <c r="G2235" s="2">
        <v>1</v>
      </c>
    </row>
    <row r="2236" spans="1:7" x14ac:dyDescent="0.2">
      <c r="A2236" s="2" t="s">
        <v>37</v>
      </c>
      <c r="B2236" s="14">
        <v>38930</v>
      </c>
      <c r="C2236" s="2">
        <v>-8.7999999995999993E-3</v>
      </c>
      <c r="D2236" s="2">
        <v>2.7678907000000001E-3</v>
      </c>
      <c r="E2236" s="2">
        <v>1</v>
      </c>
      <c r="F2236" s="2">
        <v>2.15864128230095E-2</v>
      </c>
      <c r="G2236" s="2">
        <v>1</v>
      </c>
    </row>
    <row r="2237" spans="1:7" x14ac:dyDescent="0.2">
      <c r="A2237" s="2" t="s">
        <v>37</v>
      </c>
      <c r="B2237" s="14">
        <v>38961</v>
      </c>
      <c r="C2237" s="2">
        <v>3.9144471347999997E-2</v>
      </c>
      <c r="D2237" s="2">
        <v>1.4147188E-3</v>
      </c>
      <c r="E2237" s="2">
        <v>1</v>
      </c>
      <c r="F2237" s="2">
        <v>2.02319855996601E-2</v>
      </c>
      <c r="G2237" s="2">
        <v>1</v>
      </c>
    </row>
    <row r="2238" spans="1:7" x14ac:dyDescent="0.2">
      <c r="A2238" s="2" t="s">
        <v>37</v>
      </c>
      <c r="B2238" s="14">
        <v>38991</v>
      </c>
      <c r="C2238" s="2">
        <v>3.3331633029000003E-2</v>
      </c>
      <c r="D2238" s="2">
        <v>1.7179531E-3</v>
      </c>
      <c r="E2238" s="2">
        <v>1</v>
      </c>
      <c r="F2238" s="2">
        <v>2.0226193124779499E-2</v>
      </c>
      <c r="G2238" s="2">
        <v>1</v>
      </c>
    </row>
    <row r="2239" spans="1:7" x14ac:dyDescent="0.2">
      <c r="A2239" s="2" t="s">
        <v>37</v>
      </c>
      <c r="B2239" s="14">
        <v>39022</v>
      </c>
      <c r="C2239" s="2">
        <v>0</v>
      </c>
      <c r="D2239" s="2">
        <v>2.3366094E-3</v>
      </c>
      <c r="E2239" s="2">
        <v>1</v>
      </c>
      <c r="F2239" s="2">
        <v>2.09813383421819E-2</v>
      </c>
      <c r="G2239" s="2">
        <v>1</v>
      </c>
    </row>
    <row r="2240" spans="1:7" x14ac:dyDescent="0.2">
      <c r="A2240" s="2" t="s">
        <v>37</v>
      </c>
      <c r="B2240" s="14">
        <v>39052</v>
      </c>
      <c r="C2240" s="2">
        <v>8.3289564058000004E-2</v>
      </c>
      <c r="D2240" s="2">
        <v>8.2196877000000003E-4</v>
      </c>
      <c r="E2240" s="2">
        <v>1</v>
      </c>
      <c r="F2240" s="2">
        <v>2.24968203617853E-2</v>
      </c>
      <c r="G2240" s="2">
        <v>1</v>
      </c>
    </row>
    <row r="2241" spans="1:7" x14ac:dyDescent="0.2">
      <c r="A2241" s="2" t="s">
        <v>37</v>
      </c>
      <c r="B2241" s="14">
        <v>39083</v>
      </c>
      <c r="C2241" s="2">
        <v>1.3986013984E-2</v>
      </c>
      <c r="D2241" s="2">
        <v>4.3479688E-4</v>
      </c>
      <c r="E2241" s="2">
        <v>1</v>
      </c>
      <c r="F2241" s="2">
        <v>2.4857676052041901E-2</v>
      </c>
      <c r="G2241" s="2">
        <v>1</v>
      </c>
    </row>
    <row r="2242" spans="1:7" x14ac:dyDescent="0.2">
      <c r="A2242" s="2" t="s">
        <v>37</v>
      </c>
      <c r="B2242" s="14">
        <v>39114</v>
      </c>
      <c r="C2242" s="2">
        <v>-2.5206896550999999E-2</v>
      </c>
      <c r="D2242" s="2">
        <v>1.0144374999999999E-3</v>
      </c>
      <c r="E2242" s="2">
        <v>1</v>
      </c>
      <c r="F2242" s="2">
        <v>2.6231337914674E-2</v>
      </c>
      <c r="G2242" s="2">
        <v>1</v>
      </c>
    </row>
    <row r="2243" spans="1:7" x14ac:dyDescent="0.2">
      <c r="A2243" s="2" t="s">
        <v>37</v>
      </c>
      <c r="B2243" s="14">
        <v>39142</v>
      </c>
      <c r="C2243" s="2">
        <v>6.4770596765999999E-2</v>
      </c>
      <c r="D2243" s="2">
        <v>0</v>
      </c>
      <c r="E2243" s="2">
        <v>1</v>
      </c>
      <c r="F2243" s="2">
        <v>2.5823375495942501E-2</v>
      </c>
      <c r="G2243" s="2">
        <v>1</v>
      </c>
    </row>
    <row r="2244" spans="1:7" x14ac:dyDescent="0.2">
      <c r="A2244" s="2" t="s">
        <v>37</v>
      </c>
      <c r="B2244" s="14">
        <v>39173</v>
      </c>
      <c r="C2244" s="2">
        <v>0.10623293087000001</v>
      </c>
      <c r="D2244" s="2">
        <v>1.5507813000000001E-3</v>
      </c>
      <c r="E2244" s="2">
        <v>1</v>
      </c>
      <c r="F2244" s="2">
        <v>2.6473061807677601E-2</v>
      </c>
      <c r="G2244" s="2">
        <v>1</v>
      </c>
    </row>
    <row r="2245" spans="1:7" x14ac:dyDescent="0.2">
      <c r="A2245" s="2" t="s">
        <v>37</v>
      </c>
      <c r="B2245" s="14">
        <v>39203</v>
      </c>
      <c r="C2245" s="2">
        <v>-9.1743119264999992E-3</v>
      </c>
      <c r="D2245" s="2">
        <v>-7.2053126999999995E-4</v>
      </c>
      <c r="E2245" s="2">
        <v>1</v>
      </c>
      <c r="F2245" s="2">
        <v>2.85544427006892E-2</v>
      </c>
      <c r="G2245" s="2">
        <v>1</v>
      </c>
    </row>
    <row r="2246" spans="1:7" x14ac:dyDescent="0.2">
      <c r="A2246" s="2" t="s">
        <v>37</v>
      </c>
      <c r="B2246" s="14">
        <v>39234</v>
      </c>
      <c r="C2246" s="2">
        <v>0.1311728395</v>
      </c>
      <c r="D2246" s="2">
        <v>1.0606719000000001E-3</v>
      </c>
      <c r="E2246" s="2">
        <v>1</v>
      </c>
      <c r="F2246" s="2">
        <v>2.8227545947013301E-2</v>
      </c>
      <c r="G2246" s="2">
        <v>1</v>
      </c>
    </row>
    <row r="2247" spans="1:7" x14ac:dyDescent="0.2">
      <c r="A2247" s="2" t="s">
        <v>37</v>
      </c>
      <c r="B2247" s="14">
        <v>39264</v>
      </c>
      <c r="C2247" s="2">
        <v>-8.0757346905000003E-3</v>
      </c>
      <c r="D2247" s="2">
        <v>0</v>
      </c>
      <c r="E2247" s="2">
        <v>1</v>
      </c>
      <c r="F2247" s="2">
        <v>2.9495635707696501E-2</v>
      </c>
      <c r="G2247" s="2">
        <v>1</v>
      </c>
    </row>
    <row r="2248" spans="1:7" x14ac:dyDescent="0.2">
      <c r="A2248" s="2" t="s">
        <v>37</v>
      </c>
      <c r="B2248" s="14">
        <v>39295</v>
      </c>
      <c r="C2248" s="2">
        <v>0</v>
      </c>
      <c r="D2248" s="2">
        <v>1.1270313E-4</v>
      </c>
      <c r="E2248" s="2">
        <v>1</v>
      </c>
      <c r="F2248" s="2">
        <v>2.8361020515957201E-2</v>
      </c>
      <c r="G2248" s="2">
        <v>1</v>
      </c>
    </row>
    <row r="2249" spans="1:7" x14ac:dyDescent="0.2">
      <c r="A2249" s="2" t="s">
        <v>37</v>
      </c>
      <c r="B2249" s="14">
        <v>39326</v>
      </c>
      <c r="C2249" s="2">
        <v>-6.9241379314999999E-3</v>
      </c>
      <c r="D2249" s="19">
        <v>-8.9531250000000008E-6</v>
      </c>
      <c r="E2249" s="2">
        <v>1</v>
      </c>
      <c r="F2249" s="2">
        <v>2.9077482608764402E-2</v>
      </c>
      <c r="G2249" s="2">
        <v>1</v>
      </c>
    </row>
    <row r="2250" spans="1:7" x14ac:dyDescent="0.2">
      <c r="A2250" s="2" t="s">
        <v>37</v>
      </c>
      <c r="B2250" s="14">
        <v>39356</v>
      </c>
      <c r="C2250" s="2">
        <v>-3.8684411811999997E-2</v>
      </c>
      <c r="D2250" s="2">
        <v>0</v>
      </c>
      <c r="E2250" s="2">
        <v>1</v>
      </c>
      <c r="F2250" s="2">
        <v>2.7049264205783598E-2</v>
      </c>
      <c r="G2250" s="2">
        <v>1</v>
      </c>
    </row>
    <row r="2251" spans="1:7" x14ac:dyDescent="0.2">
      <c r="A2251" s="2" t="s">
        <v>37</v>
      </c>
      <c r="B2251" s="14">
        <v>39387</v>
      </c>
      <c r="C2251" s="2">
        <v>-0.13040768706</v>
      </c>
      <c r="D2251" s="2">
        <v>-2.3764845000000001E-3</v>
      </c>
      <c r="E2251" s="2">
        <v>1</v>
      </c>
      <c r="F2251" s="2">
        <v>2.3031501371177401E-2</v>
      </c>
      <c r="G2251" s="2">
        <v>1</v>
      </c>
    </row>
    <row r="2252" spans="1:7" x14ac:dyDescent="0.2">
      <c r="A2252" s="2" t="s">
        <v>37</v>
      </c>
      <c r="B2252" s="14">
        <v>39417</v>
      </c>
      <c r="C2252" s="19">
        <v>-1.6666390365999999E-5</v>
      </c>
      <c r="D2252" s="2">
        <v>-7.8253903999999999E-3</v>
      </c>
      <c r="E2252" s="2">
        <v>1</v>
      </c>
      <c r="F2252" s="2">
        <v>2.0146106269805401E-2</v>
      </c>
      <c r="G2252" s="2">
        <v>1</v>
      </c>
    </row>
    <row r="2253" spans="1:7" x14ac:dyDescent="0.2">
      <c r="A2253" s="2" t="s">
        <v>37</v>
      </c>
      <c r="B2253" s="14">
        <v>39448</v>
      </c>
      <c r="C2253" s="2">
        <v>-0.13845412270999999</v>
      </c>
      <c r="D2253" s="2">
        <v>4.9138749000000002E-3</v>
      </c>
      <c r="E2253" s="2">
        <v>1</v>
      </c>
      <c r="F2253" s="2">
        <v>1.6295103103985398E-2</v>
      </c>
      <c r="G2253" s="2">
        <v>1</v>
      </c>
    </row>
    <row r="2254" spans="1:7" x14ac:dyDescent="0.2">
      <c r="A2254" s="2" t="s">
        <v>37</v>
      </c>
      <c r="B2254" s="14">
        <v>39479</v>
      </c>
      <c r="C2254" s="2">
        <v>4.4446601942000001E-2</v>
      </c>
      <c r="D2254" s="2">
        <v>-1.6976093E-3</v>
      </c>
      <c r="E2254" s="2">
        <v>1</v>
      </c>
      <c r="F2254" s="2">
        <v>1.3099552191947901E-2</v>
      </c>
      <c r="G2254" s="2">
        <v>1</v>
      </c>
    </row>
    <row r="2255" spans="1:7" x14ac:dyDescent="0.2">
      <c r="A2255" s="2" t="s">
        <v>37</v>
      </c>
      <c r="B2255" s="14">
        <v>39508</v>
      </c>
      <c r="C2255" s="2">
        <v>-2.861179795E-2</v>
      </c>
      <c r="D2255" s="2">
        <v>0</v>
      </c>
      <c r="E2255" s="2">
        <v>1</v>
      </c>
      <c r="F2255" s="2">
        <v>1.4301290312500501E-2</v>
      </c>
      <c r="G2255" s="2">
        <v>1</v>
      </c>
    </row>
    <row r="2256" spans="1:7" x14ac:dyDescent="0.2">
      <c r="A2256" s="2" t="s">
        <v>37</v>
      </c>
      <c r="B2256" s="14">
        <v>39539</v>
      </c>
      <c r="C2256" s="2">
        <v>7.1893511081999997E-2</v>
      </c>
      <c r="D2256" s="2">
        <v>-4.3599842999999996E-3</v>
      </c>
      <c r="E2256" s="2">
        <v>1</v>
      </c>
      <c r="F2256" s="2">
        <v>1.3699587703945399E-2</v>
      </c>
      <c r="G2256" s="2">
        <v>1</v>
      </c>
    </row>
    <row r="2257" spans="1:7" x14ac:dyDescent="0.2">
      <c r="A2257" s="2" t="s">
        <v>37</v>
      </c>
      <c r="B2257" s="14">
        <v>39569</v>
      </c>
      <c r="C2257" s="2">
        <v>-0.12727272727</v>
      </c>
      <c r="D2257" s="2">
        <v>-2.2748751E-3</v>
      </c>
      <c r="E2257" s="2">
        <v>1</v>
      </c>
      <c r="F2257" s="2">
        <v>1.67038837982681E-2</v>
      </c>
      <c r="G2257" s="2">
        <v>1</v>
      </c>
    </row>
    <row r="2258" spans="1:7" x14ac:dyDescent="0.2">
      <c r="A2258" s="2" t="s">
        <v>37</v>
      </c>
      <c r="B2258" s="14">
        <v>39600</v>
      </c>
      <c r="C2258" s="2">
        <v>-7.2937500002E-2</v>
      </c>
      <c r="D2258" s="2">
        <v>3.3512343999999999E-3</v>
      </c>
      <c r="E2258" s="2">
        <v>1</v>
      </c>
      <c r="F2258" s="2">
        <v>1.7241882536859699E-2</v>
      </c>
      <c r="G2258" s="2">
        <v>1</v>
      </c>
    </row>
    <row r="2259" spans="1:7" x14ac:dyDescent="0.2">
      <c r="A2259" s="2" t="s">
        <v>37</v>
      </c>
      <c r="B2259" s="14">
        <v>39630</v>
      </c>
      <c r="C2259" s="2">
        <v>-2.9095066348E-2</v>
      </c>
      <c r="D2259" s="2">
        <v>3.7495311999999998E-4</v>
      </c>
      <c r="E2259" s="2">
        <v>1</v>
      </c>
      <c r="F2259" s="2">
        <v>1.50452624395092E-2</v>
      </c>
      <c r="G2259" s="2">
        <v>1</v>
      </c>
    </row>
    <row r="2260" spans="1:7" x14ac:dyDescent="0.2">
      <c r="A2260" s="2" t="s">
        <v>37</v>
      </c>
      <c r="B2260" s="14">
        <v>39661</v>
      </c>
      <c r="C2260" s="2">
        <v>6.9767441861000007E-2</v>
      </c>
      <c r="D2260" s="2">
        <v>1.5625E-4</v>
      </c>
      <c r="E2260" s="2">
        <v>1</v>
      </c>
      <c r="F2260" s="2">
        <v>1.9521468148952201E-2</v>
      </c>
      <c r="G2260" s="2">
        <v>1</v>
      </c>
    </row>
    <row r="2261" spans="1:7" x14ac:dyDescent="0.2">
      <c r="A2261" s="2" t="s">
        <v>37</v>
      </c>
      <c r="B2261" s="14">
        <v>39692</v>
      </c>
      <c r="C2261" s="2">
        <v>-8.6739130435000006E-2</v>
      </c>
      <c r="D2261" s="19">
        <v>9.5718751000000002E-5</v>
      </c>
      <c r="E2261" s="2">
        <v>1</v>
      </c>
      <c r="F2261" s="2">
        <v>2.0216677148093401E-2</v>
      </c>
      <c r="G2261" s="2">
        <v>1</v>
      </c>
    </row>
    <row r="2262" spans="1:7" x14ac:dyDescent="0.2">
      <c r="A2262" s="2" t="s">
        <v>37</v>
      </c>
      <c r="B2262" s="14">
        <v>39722</v>
      </c>
      <c r="C2262" s="2">
        <v>-4.2427170652000003E-2</v>
      </c>
      <c r="D2262" s="2">
        <v>4.0618749000000001E-4</v>
      </c>
      <c r="E2262" s="2">
        <v>1</v>
      </c>
      <c r="F2262" s="2">
        <v>1.8764352460298998E-2</v>
      </c>
      <c r="G2262" s="2">
        <v>1</v>
      </c>
    </row>
    <row r="2263" spans="1:7" x14ac:dyDescent="0.2">
      <c r="A2263" s="2" t="s">
        <v>37</v>
      </c>
      <c r="B2263" s="14">
        <v>39753</v>
      </c>
      <c r="C2263" s="2">
        <v>0.15022124445999999</v>
      </c>
      <c r="D2263" s="2">
        <v>1.015625E-4</v>
      </c>
      <c r="E2263" s="2">
        <v>1</v>
      </c>
      <c r="F2263" s="2">
        <v>1.55731565229324E-2</v>
      </c>
      <c r="G2263" s="2">
        <v>1</v>
      </c>
    </row>
    <row r="2264" spans="1:7" x14ac:dyDescent="0.2">
      <c r="A2264" s="2" t="s">
        <v>37</v>
      </c>
      <c r="B2264" s="14">
        <v>39783</v>
      </c>
      <c r="C2264" s="2">
        <v>0.15192349489000001</v>
      </c>
      <c r="D2264" s="19">
        <v>6.2499998000000004E-6</v>
      </c>
      <c r="E2264" s="2">
        <v>1</v>
      </c>
      <c r="F2264" s="2">
        <v>2.3491954652489499E-2</v>
      </c>
      <c r="G2264" s="2">
        <v>1</v>
      </c>
    </row>
    <row r="2265" spans="1:7" x14ac:dyDescent="0.2">
      <c r="A2265" s="2" t="s">
        <v>38</v>
      </c>
      <c r="B2265" s="14">
        <v>37591</v>
      </c>
      <c r="C2265" s="2">
        <v>1.4925373134000001E-2</v>
      </c>
      <c r="D2265" s="2">
        <v>2.0023714999999999E-3</v>
      </c>
      <c r="E2265" s="2">
        <v>1</v>
      </c>
      <c r="G2265" s="2">
        <v>1</v>
      </c>
    </row>
    <row r="2266" spans="1:7" x14ac:dyDescent="0.2">
      <c r="A2266" s="2" t="s">
        <v>38</v>
      </c>
      <c r="B2266" s="14">
        <v>37622</v>
      </c>
      <c r="C2266" s="2">
        <v>0</v>
      </c>
      <c r="D2266" s="2">
        <v>-3.8452632999999999E-3</v>
      </c>
      <c r="E2266" s="2">
        <v>1</v>
      </c>
      <c r="G2266" s="2">
        <v>1</v>
      </c>
    </row>
    <row r="2267" spans="1:7" x14ac:dyDescent="0.2">
      <c r="A2267" s="2" t="s">
        <v>38</v>
      </c>
      <c r="B2267" s="14">
        <v>37653</v>
      </c>
      <c r="C2267" s="2">
        <v>2.9411764706000001E-2</v>
      </c>
      <c r="D2267" s="2">
        <v>1.0214384000000001E-3</v>
      </c>
      <c r="E2267" s="2">
        <v>1</v>
      </c>
      <c r="G2267" s="2">
        <v>1</v>
      </c>
    </row>
    <row r="2268" spans="1:7" x14ac:dyDescent="0.2">
      <c r="A2268" s="2" t="s">
        <v>38</v>
      </c>
      <c r="B2268" s="14">
        <v>37681</v>
      </c>
      <c r="C2268" s="2">
        <v>-1.7142857144E-2</v>
      </c>
      <c r="D2268" s="2">
        <v>8.2950125000000004E-4</v>
      </c>
      <c r="E2268" s="2">
        <v>1</v>
      </c>
      <c r="G2268" s="2">
        <v>1</v>
      </c>
    </row>
    <row r="2269" spans="1:7" x14ac:dyDescent="0.2">
      <c r="A2269" s="2" t="s">
        <v>38</v>
      </c>
      <c r="B2269" s="14">
        <v>37712</v>
      </c>
      <c r="C2269" s="2">
        <v>0.17151162790999999</v>
      </c>
      <c r="D2269" s="2">
        <v>-4.5597219000000002E-4</v>
      </c>
      <c r="E2269" s="2">
        <v>1</v>
      </c>
      <c r="G2269" s="2">
        <v>1</v>
      </c>
    </row>
    <row r="2270" spans="1:7" x14ac:dyDescent="0.2">
      <c r="A2270" s="2" t="s">
        <v>38</v>
      </c>
      <c r="B2270" s="14">
        <v>37742</v>
      </c>
      <c r="C2270" s="2">
        <v>4.2183622828999998E-2</v>
      </c>
      <c r="D2270" s="2">
        <v>7.2748298000000003E-3</v>
      </c>
      <c r="E2270" s="2">
        <v>1</v>
      </c>
      <c r="G2270" s="2">
        <v>1</v>
      </c>
    </row>
    <row r="2271" spans="1:7" x14ac:dyDescent="0.2">
      <c r="A2271" s="2" t="s">
        <v>38</v>
      </c>
      <c r="B2271" s="14">
        <v>37773</v>
      </c>
      <c r="C2271" s="2">
        <v>-1.4285714285999999E-2</v>
      </c>
      <c r="D2271" s="2">
        <v>2.4404000000000001E-3</v>
      </c>
      <c r="E2271" s="2">
        <v>1</v>
      </c>
      <c r="G2271" s="2">
        <v>1</v>
      </c>
    </row>
    <row r="2272" spans="1:7" x14ac:dyDescent="0.2">
      <c r="A2272" s="2" t="s">
        <v>38</v>
      </c>
      <c r="B2272" s="14">
        <v>37803</v>
      </c>
      <c r="C2272" s="2">
        <v>0.13432947608000001</v>
      </c>
      <c r="D2272" s="2">
        <v>-1.5909061E-3</v>
      </c>
      <c r="E2272" s="2">
        <v>1</v>
      </c>
      <c r="G2272" s="2">
        <v>1</v>
      </c>
    </row>
    <row r="2273" spans="1:7" x14ac:dyDescent="0.2">
      <c r="A2273" s="2" t="s">
        <v>38</v>
      </c>
      <c r="B2273" s="14">
        <v>37834</v>
      </c>
      <c r="C2273" s="2">
        <v>-1.7167381972999999E-2</v>
      </c>
      <c r="D2273" s="2">
        <v>1.0173419E-3</v>
      </c>
      <c r="E2273" s="2">
        <v>1</v>
      </c>
      <c r="F2273" s="2">
        <v>2.7051917608053502E-2</v>
      </c>
      <c r="G2273" s="2">
        <v>1</v>
      </c>
    </row>
    <row r="2274" spans="1:7" x14ac:dyDescent="0.2">
      <c r="A2274" s="2" t="s">
        <v>38</v>
      </c>
      <c r="B2274" s="14">
        <v>37865</v>
      </c>
      <c r="C2274" s="2">
        <v>-7.4235807860999994E-2</v>
      </c>
      <c r="D2274" s="2">
        <v>9.5275690999999997E-4</v>
      </c>
      <c r="E2274" s="2">
        <v>1</v>
      </c>
      <c r="F2274" s="2">
        <v>2.57090818234108E-2</v>
      </c>
      <c r="G2274" s="2">
        <v>1</v>
      </c>
    </row>
    <row r="2275" spans="1:7" x14ac:dyDescent="0.2">
      <c r="A2275" s="2" t="s">
        <v>38</v>
      </c>
      <c r="B2275" s="14">
        <v>37895</v>
      </c>
      <c r="C2275" s="2">
        <v>0.13679245282999999</v>
      </c>
      <c r="D2275" s="2">
        <v>6.7296792999999998E-4</v>
      </c>
      <c r="E2275" s="2">
        <v>1</v>
      </c>
      <c r="F2275" s="2">
        <v>2.4327774178326701E-2</v>
      </c>
      <c r="G2275" s="2">
        <v>1</v>
      </c>
    </row>
    <row r="2276" spans="1:7" x14ac:dyDescent="0.2">
      <c r="A2276" s="2" t="s">
        <v>38</v>
      </c>
      <c r="B2276" s="14">
        <v>37926</v>
      </c>
      <c r="C2276" s="2">
        <v>-9.3360995850000003E-2</v>
      </c>
      <c r="D2276" s="2">
        <v>2.0547629999999998E-3</v>
      </c>
      <c r="E2276" s="2">
        <v>1</v>
      </c>
      <c r="F2276" s="2">
        <v>2.3085356830221299E-2</v>
      </c>
      <c r="G2276" s="2">
        <v>1</v>
      </c>
    </row>
    <row r="2277" spans="1:7" x14ac:dyDescent="0.2">
      <c r="A2277" s="2" t="s">
        <v>38</v>
      </c>
      <c r="B2277" s="14">
        <v>37956</v>
      </c>
      <c r="C2277" s="2">
        <v>2.9748283752000001E-2</v>
      </c>
      <c r="D2277" s="2">
        <v>1.8053902000000001E-3</v>
      </c>
      <c r="E2277" s="2">
        <v>1</v>
      </c>
      <c r="F2277" s="2">
        <v>1.9487047780194802E-2</v>
      </c>
      <c r="G2277" s="2">
        <v>1</v>
      </c>
    </row>
    <row r="2278" spans="1:7" x14ac:dyDescent="0.2">
      <c r="A2278" s="2" t="s">
        <v>38</v>
      </c>
      <c r="B2278" s="14">
        <v>37987</v>
      </c>
      <c r="C2278" s="2">
        <v>-3.1111111109999999E-2</v>
      </c>
      <c r="E2278" s="2">
        <v>1</v>
      </c>
      <c r="F2278" s="2">
        <v>2.0623528605576799E-2</v>
      </c>
      <c r="G2278" s="2">
        <v>1</v>
      </c>
    </row>
    <row r="2279" spans="1:7" x14ac:dyDescent="0.2">
      <c r="A2279" s="2" t="s">
        <v>38</v>
      </c>
      <c r="B2279" s="14">
        <v>38018</v>
      </c>
      <c r="C2279" s="2">
        <v>5.2133027521999997E-2</v>
      </c>
      <c r="E2279" s="2">
        <v>1</v>
      </c>
      <c r="F2279" s="2">
        <v>1.5926582585140601E-2</v>
      </c>
      <c r="G2279" s="2">
        <v>1</v>
      </c>
    </row>
    <row r="2280" spans="1:7" x14ac:dyDescent="0.2">
      <c r="A2280" s="2" t="s">
        <v>38</v>
      </c>
      <c r="B2280" s="14">
        <v>38047</v>
      </c>
      <c r="C2280" s="2">
        <v>-0.17816580559</v>
      </c>
      <c r="D2280" s="2">
        <v>-8.7368209000000005E-4</v>
      </c>
      <c r="E2280" s="2">
        <v>1</v>
      </c>
      <c r="F2280" s="2">
        <v>1.7837381594030598E-2</v>
      </c>
      <c r="G2280" s="2">
        <v>1</v>
      </c>
    </row>
    <row r="2281" spans="1:7" x14ac:dyDescent="0.2">
      <c r="A2281" s="2" t="s">
        <v>38</v>
      </c>
      <c r="B2281" s="14">
        <v>38078</v>
      </c>
      <c r="C2281" s="2">
        <v>-5.5702917772000003E-2</v>
      </c>
      <c r="D2281" s="2">
        <v>-1.1526007E-3</v>
      </c>
      <c r="E2281" s="2">
        <v>1</v>
      </c>
      <c r="F2281" s="2">
        <v>1.5620824408895499E-2</v>
      </c>
      <c r="G2281" s="2">
        <v>1</v>
      </c>
    </row>
    <row r="2282" spans="1:7" x14ac:dyDescent="0.2">
      <c r="A2282" s="2" t="s">
        <v>38</v>
      </c>
      <c r="B2282" s="14">
        <v>38108</v>
      </c>
      <c r="C2282" s="2">
        <v>4.6825754163E-2</v>
      </c>
      <c r="D2282" s="2">
        <v>8.5898127999999995E-4</v>
      </c>
      <c r="E2282" s="2">
        <v>1</v>
      </c>
      <c r="F2282" s="2">
        <v>9.9678231933275196E-3</v>
      </c>
      <c r="G2282" s="2">
        <v>1</v>
      </c>
    </row>
    <row r="2283" spans="1:7" x14ac:dyDescent="0.2">
      <c r="A2283" s="2" t="s">
        <v>38</v>
      </c>
      <c r="B2283" s="14">
        <v>38139</v>
      </c>
      <c r="C2283" s="2">
        <v>3.7634408602999998E-2</v>
      </c>
      <c r="D2283" s="2">
        <v>-4.5588546000000001E-4</v>
      </c>
      <c r="E2283" s="2">
        <v>1</v>
      </c>
      <c r="F2283" s="2">
        <v>1.39269060792053E-2</v>
      </c>
      <c r="G2283" s="2">
        <v>1</v>
      </c>
    </row>
    <row r="2284" spans="1:7" x14ac:dyDescent="0.2">
      <c r="A2284" s="2" t="s">
        <v>38</v>
      </c>
      <c r="B2284" s="14">
        <v>38169</v>
      </c>
      <c r="C2284" s="2">
        <v>-5.1606217617000003E-2</v>
      </c>
      <c r="D2284" s="2">
        <v>-2.1036566999999999E-4</v>
      </c>
      <c r="E2284" s="2">
        <v>1</v>
      </c>
      <c r="F2284" s="2">
        <v>1.40753364500737E-2</v>
      </c>
      <c r="G2284" s="2">
        <v>1</v>
      </c>
    </row>
    <row r="2285" spans="1:7" x14ac:dyDescent="0.2">
      <c r="A2285" s="2" t="s">
        <v>38</v>
      </c>
      <c r="B2285" s="14">
        <v>38200</v>
      </c>
      <c r="C2285" s="2">
        <v>8.5007910746000004E-2</v>
      </c>
      <c r="D2285" s="19">
        <v>-5.8864945000000003E-5</v>
      </c>
      <c r="E2285" s="2">
        <v>1</v>
      </c>
      <c r="F2285" s="2">
        <v>7.8520668803477994E-3</v>
      </c>
      <c r="G2285" s="2">
        <v>1</v>
      </c>
    </row>
    <row r="2286" spans="1:7" x14ac:dyDescent="0.2">
      <c r="A2286" s="2" t="s">
        <v>38</v>
      </c>
      <c r="B2286" s="14">
        <v>38231</v>
      </c>
      <c r="C2286" s="2">
        <v>0.14846416381999999</v>
      </c>
      <c r="D2286" s="2">
        <v>-7.7473278999999997E-4</v>
      </c>
      <c r="E2286" s="2">
        <v>1</v>
      </c>
      <c r="F2286" s="2">
        <v>9.4178855210053196E-3</v>
      </c>
      <c r="G2286" s="2">
        <v>1</v>
      </c>
    </row>
    <row r="2287" spans="1:7" x14ac:dyDescent="0.2">
      <c r="A2287" s="2" t="s">
        <v>38</v>
      </c>
      <c r="B2287" s="14">
        <v>38261</v>
      </c>
      <c r="C2287" s="2">
        <v>2.5131854411E-2</v>
      </c>
      <c r="D2287" s="2">
        <v>-9.4528269000000004E-4</v>
      </c>
      <c r="E2287" s="2">
        <v>1</v>
      </c>
      <c r="F2287" s="2">
        <v>1.86690111727939E-2</v>
      </c>
      <c r="G2287" s="2">
        <v>1</v>
      </c>
    </row>
    <row r="2288" spans="1:7" x14ac:dyDescent="0.2">
      <c r="A2288" s="2" t="s">
        <v>38</v>
      </c>
      <c r="B2288" s="14">
        <v>38292</v>
      </c>
      <c r="C2288" s="2">
        <v>-1.4128728415E-2</v>
      </c>
      <c r="D2288" s="2">
        <v>-3.2278401000000002E-4</v>
      </c>
      <c r="E2288" s="2">
        <v>1</v>
      </c>
      <c r="F2288" s="2">
        <v>2.0971814479609701E-2</v>
      </c>
      <c r="G2288" s="2">
        <v>1</v>
      </c>
    </row>
    <row r="2289" spans="1:7" x14ac:dyDescent="0.2">
      <c r="A2289" s="2" t="s">
        <v>38</v>
      </c>
      <c r="B2289" s="14">
        <v>38322</v>
      </c>
      <c r="C2289" s="2">
        <v>-6.3694267510000001E-3</v>
      </c>
      <c r="D2289" s="2">
        <v>-3.3361963000000001E-3</v>
      </c>
      <c r="E2289" s="2">
        <v>1</v>
      </c>
      <c r="F2289" s="2">
        <v>1.9155689542375901E-2</v>
      </c>
      <c r="G2289" s="2">
        <v>1</v>
      </c>
    </row>
    <row r="2290" spans="1:7" x14ac:dyDescent="0.2">
      <c r="A2290" s="2" t="s">
        <v>38</v>
      </c>
      <c r="B2290" s="14">
        <v>38353</v>
      </c>
      <c r="C2290" s="2">
        <v>5.5128205127E-2</v>
      </c>
      <c r="D2290" s="2">
        <v>-4.1154842000000001E-3</v>
      </c>
      <c r="E2290" s="2">
        <v>1</v>
      </c>
      <c r="F2290" s="2">
        <v>1.7888666002058701E-2</v>
      </c>
      <c r="G2290" s="2">
        <v>1</v>
      </c>
    </row>
    <row r="2291" spans="1:7" x14ac:dyDescent="0.2">
      <c r="A2291" s="2" t="s">
        <v>38</v>
      </c>
      <c r="B2291" s="14">
        <v>38384</v>
      </c>
      <c r="C2291" s="2">
        <v>3.2806804374999998E-2</v>
      </c>
      <c r="D2291" s="19">
        <v>-3.1843257999999999E-5</v>
      </c>
      <c r="E2291" s="2">
        <v>1</v>
      </c>
      <c r="F2291" s="2">
        <v>2.08652925253048E-2</v>
      </c>
      <c r="G2291" s="2">
        <v>1</v>
      </c>
    </row>
    <row r="2292" spans="1:7" x14ac:dyDescent="0.2">
      <c r="A2292" s="2" t="s">
        <v>38</v>
      </c>
      <c r="B2292" s="14">
        <v>38412</v>
      </c>
      <c r="C2292" s="2">
        <v>-3.5529411764999998E-2</v>
      </c>
      <c r="D2292" s="2">
        <v>-1.5752723000000001E-3</v>
      </c>
      <c r="E2292" s="2">
        <v>1</v>
      </c>
      <c r="F2292" s="2">
        <v>1.9266463064268501E-2</v>
      </c>
      <c r="G2292" s="2">
        <v>1</v>
      </c>
    </row>
    <row r="2293" spans="1:7" x14ac:dyDescent="0.2">
      <c r="A2293" s="2" t="s">
        <v>38</v>
      </c>
      <c r="B2293" s="14">
        <v>38443</v>
      </c>
      <c r="C2293" s="2">
        <v>-6.0746523541999997E-2</v>
      </c>
      <c r="D2293" s="2">
        <v>-5.7691260000000005E-4</v>
      </c>
      <c r="E2293" s="2">
        <v>1</v>
      </c>
      <c r="F2293" s="2">
        <v>1.36080353231129E-2</v>
      </c>
      <c r="G2293" s="2">
        <v>1</v>
      </c>
    </row>
    <row r="2294" spans="1:7" x14ac:dyDescent="0.2">
      <c r="A2294" s="2" t="s">
        <v>38</v>
      </c>
      <c r="B2294" s="14">
        <v>38473</v>
      </c>
      <c r="C2294" s="2">
        <v>1.9117079300000001E-3</v>
      </c>
      <c r="D2294" s="2">
        <v>-1.8985368E-3</v>
      </c>
      <c r="E2294" s="2">
        <v>1</v>
      </c>
      <c r="F2294" s="2">
        <v>1.1278592235770201E-2</v>
      </c>
      <c r="G2294" s="2">
        <v>1</v>
      </c>
    </row>
    <row r="2295" spans="1:7" x14ac:dyDescent="0.2">
      <c r="A2295" s="2" t="s">
        <v>38</v>
      </c>
      <c r="B2295" s="14">
        <v>38504</v>
      </c>
      <c r="C2295" s="2">
        <v>2.4529616723000001E-2</v>
      </c>
      <c r="D2295" s="2">
        <v>2.1363525E-3</v>
      </c>
      <c r="E2295" s="2">
        <v>1</v>
      </c>
      <c r="F2295" s="2">
        <v>1.1902549421498701E-2</v>
      </c>
      <c r="G2295" s="2">
        <v>1</v>
      </c>
    </row>
    <row r="2296" spans="1:7" x14ac:dyDescent="0.2">
      <c r="A2296" s="2" t="s">
        <v>38</v>
      </c>
      <c r="B2296" s="14">
        <v>38534</v>
      </c>
      <c r="C2296" s="2">
        <v>5.0945449599999998E-2</v>
      </c>
      <c r="D2296" s="2">
        <v>2.8336779E-3</v>
      </c>
      <c r="E2296" s="2">
        <v>1</v>
      </c>
      <c r="F2296" s="2">
        <v>1.27361391462646E-2</v>
      </c>
      <c r="G2296" s="2">
        <v>1</v>
      </c>
    </row>
    <row r="2297" spans="1:7" x14ac:dyDescent="0.2">
      <c r="A2297" s="2" t="s">
        <v>38</v>
      </c>
      <c r="B2297" s="14">
        <v>38565</v>
      </c>
      <c r="C2297" s="2">
        <v>6.4720730060999999E-3</v>
      </c>
      <c r="D2297" s="2">
        <v>-1.7805227E-4</v>
      </c>
      <c r="E2297" s="2">
        <v>1</v>
      </c>
      <c r="F2297" s="2">
        <v>1.43620158284144E-2</v>
      </c>
      <c r="G2297" s="2">
        <v>1</v>
      </c>
    </row>
    <row r="2298" spans="1:7" x14ac:dyDescent="0.2">
      <c r="A2298" s="2" t="s">
        <v>38</v>
      </c>
      <c r="B2298" s="14">
        <v>38596</v>
      </c>
      <c r="C2298" s="2">
        <v>-7.7615587422999996E-2</v>
      </c>
      <c r="D2298" s="2">
        <v>-1.8781453000000001E-4</v>
      </c>
      <c r="E2298" s="2">
        <v>1</v>
      </c>
      <c r="F2298" s="2">
        <v>1.3531519559340699E-2</v>
      </c>
      <c r="G2298" s="2">
        <v>1</v>
      </c>
    </row>
    <row r="2299" spans="1:7" x14ac:dyDescent="0.2">
      <c r="A2299" s="2" t="s">
        <v>38</v>
      </c>
      <c r="B2299" s="14">
        <v>38626</v>
      </c>
      <c r="C2299" s="2">
        <v>-7.9824316785999994E-2</v>
      </c>
      <c r="D2299" s="2">
        <v>1.1356599999999999E-3</v>
      </c>
      <c r="E2299" s="2">
        <v>1</v>
      </c>
      <c r="F2299" s="2">
        <v>1.22880303930863E-2</v>
      </c>
      <c r="G2299" s="2">
        <v>1</v>
      </c>
    </row>
    <row r="2300" spans="1:7" x14ac:dyDescent="0.2">
      <c r="A2300" s="2" t="s">
        <v>38</v>
      </c>
      <c r="B2300" s="14">
        <v>38657</v>
      </c>
      <c r="C2300" s="2">
        <v>-7.4457417836999995E-2</v>
      </c>
      <c r="D2300" s="2">
        <v>1.8998197999999999E-3</v>
      </c>
      <c r="E2300" s="2">
        <v>1</v>
      </c>
      <c r="F2300" s="2">
        <v>1.2022324886401901E-2</v>
      </c>
      <c r="G2300" s="2">
        <v>1</v>
      </c>
    </row>
    <row r="2301" spans="1:7" x14ac:dyDescent="0.2">
      <c r="A2301" s="2" t="s">
        <v>38</v>
      </c>
      <c r="B2301" s="14">
        <v>38687</v>
      </c>
      <c r="C2301" s="2">
        <v>-7.4896779519999998E-2</v>
      </c>
      <c r="D2301" s="2">
        <v>-4.5258715000000001E-4</v>
      </c>
      <c r="E2301" s="2">
        <v>1</v>
      </c>
      <c r="F2301" s="2">
        <v>1.0068318913255801E-2</v>
      </c>
      <c r="G2301" s="2">
        <v>1</v>
      </c>
    </row>
    <row r="2302" spans="1:7" x14ac:dyDescent="0.2">
      <c r="A2302" s="2" t="s">
        <v>38</v>
      </c>
      <c r="B2302" s="14">
        <v>38718</v>
      </c>
      <c r="C2302" s="2">
        <v>4.1060430242999997E-2</v>
      </c>
      <c r="D2302" s="2">
        <v>1.0110596999999999E-3</v>
      </c>
      <c r="E2302" s="2">
        <v>1</v>
      </c>
      <c r="F2302" s="2">
        <v>7.4481456327126702E-3</v>
      </c>
      <c r="G2302" s="2">
        <v>1</v>
      </c>
    </row>
    <row r="2303" spans="1:7" x14ac:dyDescent="0.2">
      <c r="A2303" s="2" t="s">
        <v>38</v>
      </c>
      <c r="B2303" s="14">
        <v>38749</v>
      </c>
      <c r="C2303" s="2">
        <v>-3.5411129213999998E-2</v>
      </c>
      <c r="D2303" s="2">
        <v>1.2890005E-3</v>
      </c>
      <c r="E2303" s="2">
        <v>1</v>
      </c>
      <c r="F2303" s="2">
        <v>7.0368170594399199E-3</v>
      </c>
      <c r="G2303" s="2">
        <v>1</v>
      </c>
    </row>
    <row r="2304" spans="1:7" x14ac:dyDescent="0.2">
      <c r="A2304" s="2" t="s">
        <v>38</v>
      </c>
      <c r="B2304" s="14">
        <v>38777</v>
      </c>
      <c r="C2304" s="2">
        <v>5.3333333332999999E-2</v>
      </c>
      <c r="D2304" s="2">
        <v>2.2803259E-3</v>
      </c>
      <c r="E2304" s="2">
        <v>1</v>
      </c>
      <c r="F2304" s="2">
        <v>5.8568017039621299E-3</v>
      </c>
      <c r="G2304" s="2">
        <v>1</v>
      </c>
    </row>
    <row r="2305" spans="1:7" x14ac:dyDescent="0.2">
      <c r="A2305" s="2" t="s">
        <v>38</v>
      </c>
      <c r="B2305" s="14">
        <v>38808</v>
      </c>
      <c r="C2305" s="2">
        <v>-2.9535864977999999E-2</v>
      </c>
      <c r="D2305" s="2">
        <v>-1.1499136E-3</v>
      </c>
      <c r="E2305" s="2">
        <v>1</v>
      </c>
      <c r="F2305" s="2">
        <v>9.6197186607180993E-3</v>
      </c>
      <c r="G2305" s="2">
        <v>1</v>
      </c>
    </row>
    <row r="2306" spans="1:7" x14ac:dyDescent="0.2">
      <c r="A2306" s="2" t="s">
        <v>38</v>
      </c>
      <c r="B2306" s="14">
        <v>38838</v>
      </c>
      <c r="C2306" s="2">
        <v>-7.5043478262000002E-2</v>
      </c>
      <c r="D2306" s="2">
        <v>5.9173150999999998E-4</v>
      </c>
      <c r="E2306" s="2">
        <v>1</v>
      </c>
      <c r="F2306" s="2">
        <v>1.1107746830398901E-2</v>
      </c>
      <c r="G2306" s="2">
        <v>1</v>
      </c>
    </row>
    <row r="2307" spans="1:7" x14ac:dyDescent="0.2">
      <c r="A2307" s="2" t="s">
        <v>38</v>
      </c>
      <c r="B2307" s="14">
        <v>38869</v>
      </c>
      <c r="C2307" s="2">
        <v>-7.4445420748999999E-2</v>
      </c>
      <c r="D2307" s="2">
        <v>2.6052776999999999E-4</v>
      </c>
      <c r="E2307" s="2">
        <v>1</v>
      </c>
      <c r="F2307" s="2">
        <v>1.1316267056399799E-2</v>
      </c>
      <c r="G2307" s="2">
        <v>1</v>
      </c>
    </row>
    <row r="2308" spans="1:7" x14ac:dyDescent="0.2">
      <c r="A2308" s="2" t="s">
        <v>38</v>
      </c>
      <c r="B2308" s="14">
        <v>38899</v>
      </c>
      <c r="C2308" s="2">
        <v>-1.0571824957000001E-2</v>
      </c>
      <c r="D2308" s="2">
        <v>1.592375E-3</v>
      </c>
      <c r="E2308" s="2">
        <v>1</v>
      </c>
      <c r="F2308" s="2">
        <v>1.16107529274015E-2</v>
      </c>
      <c r="G2308" s="2">
        <v>1</v>
      </c>
    </row>
    <row r="2309" spans="1:7" x14ac:dyDescent="0.2">
      <c r="A2309" s="2" t="s">
        <v>38</v>
      </c>
      <c r="B2309" s="14">
        <v>38930</v>
      </c>
      <c r="C2309" s="2">
        <v>6.5108695650999998E-2</v>
      </c>
      <c r="D2309" s="2">
        <v>-1.1669829000000001E-3</v>
      </c>
      <c r="E2309" s="2">
        <v>1</v>
      </c>
      <c r="F2309" s="2">
        <v>1.5452439239604199E-2</v>
      </c>
      <c r="G2309" s="2">
        <v>1</v>
      </c>
    </row>
    <row r="2310" spans="1:7" x14ac:dyDescent="0.2">
      <c r="A2310" s="2" t="s">
        <v>38</v>
      </c>
      <c r="B2310" s="14">
        <v>38961</v>
      </c>
      <c r="C2310" s="2">
        <v>-3.0523522808000001E-2</v>
      </c>
      <c r="D2310" s="2">
        <v>-2.9338655E-4</v>
      </c>
      <c r="E2310" s="2">
        <v>1</v>
      </c>
      <c r="F2310" s="2">
        <v>1.83439302065973E-2</v>
      </c>
      <c r="G2310" s="2">
        <v>1</v>
      </c>
    </row>
    <row r="2311" spans="1:7" x14ac:dyDescent="0.2">
      <c r="A2311" s="2" t="s">
        <v>38</v>
      </c>
      <c r="B2311" s="14">
        <v>38991</v>
      </c>
      <c r="C2311" s="2">
        <v>5.2074232359000001E-2</v>
      </c>
      <c r="D2311" s="2">
        <v>5.9954840000000001E-4</v>
      </c>
      <c r="E2311" s="2">
        <v>1</v>
      </c>
      <c r="F2311" s="2">
        <v>1.5951720362991799E-2</v>
      </c>
      <c r="G2311" s="2">
        <v>1</v>
      </c>
    </row>
    <row r="2312" spans="1:7" x14ac:dyDescent="0.2">
      <c r="A2312" s="2" t="s">
        <v>38</v>
      </c>
      <c r="B2312" s="14">
        <v>39022</v>
      </c>
      <c r="C2312" s="2">
        <v>7.2632351501000003E-2</v>
      </c>
      <c r="D2312" s="2">
        <v>-7.5221719000000001E-4</v>
      </c>
      <c r="E2312" s="2">
        <v>1</v>
      </c>
      <c r="F2312" s="2">
        <v>1.8232446059280202E-2</v>
      </c>
      <c r="G2312" s="2">
        <v>1</v>
      </c>
    </row>
    <row r="2313" spans="1:7" x14ac:dyDescent="0.2">
      <c r="A2313" s="2" t="s">
        <v>38</v>
      </c>
      <c r="B2313" s="14">
        <v>39052</v>
      </c>
      <c r="C2313" s="2">
        <v>-1.0367577757E-2</v>
      </c>
      <c r="D2313" s="2">
        <v>-5.7730754E-4</v>
      </c>
      <c r="E2313" s="2">
        <v>1</v>
      </c>
      <c r="F2313" s="2">
        <v>2.2396373715765201E-2</v>
      </c>
      <c r="G2313" s="2">
        <v>1</v>
      </c>
    </row>
    <row r="2314" spans="1:7" x14ac:dyDescent="0.2">
      <c r="A2314" s="2" t="s">
        <v>38</v>
      </c>
      <c r="B2314" s="14">
        <v>39083</v>
      </c>
      <c r="C2314" s="2">
        <v>0.11904761904</v>
      </c>
      <c r="D2314" s="2">
        <v>1.0240847E-3</v>
      </c>
      <c r="E2314" s="2">
        <v>1</v>
      </c>
      <c r="F2314" s="2">
        <v>2.41870495365866E-2</v>
      </c>
      <c r="G2314" s="2">
        <v>1</v>
      </c>
    </row>
    <row r="2315" spans="1:7" x14ac:dyDescent="0.2">
      <c r="A2315" s="2" t="s">
        <v>38</v>
      </c>
      <c r="B2315" s="14">
        <v>39114</v>
      </c>
      <c r="C2315" s="2">
        <v>-2.5531914893999998E-2</v>
      </c>
      <c r="D2315" s="2">
        <v>8.0501102000000004E-4</v>
      </c>
      <c r="E2315" s="2">
        <v>1</v>
      </c>
      <c r="F2315" s="2">
        <v>2.7847847045846801E-2</v>
      </c>
      <c r="G2315" s="2">
        <v>1</v>
      </c>
    </row>
    <row r="2316" spans="1:7" x14ac:dyDescent="0.2">
      <c r="A2316" s="2" t="s">
        <v>38</v>
      </c>
      <c r="B2316" s="14">
        <v>39142</v>
      </c>
      <c r="C2316" s="2">
        <v>8.7248908298E-2</v>
      </c>
      <c r="D2316" s="2">
        <v>1.7633155000000001E-3</v>
      </c>
      <c r="E2316" s="2">
        <v>1</v>
      </c>
      <c r="F2316" s="2">
        <v>2.52779472573368E-2</v>
      </c>
      <c r="G2316" s="2">
        <v>1</v>
      </c>
    </row>
    <row r="2317" spans="1:7" x14ac:dyDescent="0.2">
      <c r="A2317" s="2" t="s">
        <v>38</v>
      </c>
      <c r="B2317" s="14">
        <v>39173</v>
      </c>
      <c r="C2317" s="2">
        <v>-2.9640935016E-2</v>
      </c>
      <c r="D2317" s="2">
        <v>-1.9320025999999999E-3</v>
      </c>
      <c r="E2317" s="2">
        <v>1</v>
      </c>
      <c r="F2317" s="2">
        <v>2.85546514353185E-2</v>
      </c>
      <c r="G2317" s="2">
        <v>1</v>
      </c>
    </row>
    <row r="2318" spans="1:7" x14ac:dyDescent="0.2">
      <c r="A2318" s="2" t="s">
        <v>38</v>
      </c>
      <c r="B2318" s="14">
        <v>39203</v>
      </c>
      <c r="C2318" s="2">
        <v>4.6490951231999998E-2</v>
      </c>
      <c r="D2318" s="2">
        <v>-5.8127617999999999E-3</v>
      </c>
      <c r="E2318" s="2">
        <v>1</v>
      </c>
      <c r="F2318" s="2">
        <v>2.6260465373449698E-2</v>
      </c>
      <c r="G2318" s="2">
        <v>1</v>
      </c>
    </row>
    <row r="2319" spans="1:7" x14ac:dyDescent="0.2">
      <c r="A2319" s="2" t="s">
        <v>38</v>
      </c>
      <c r="B2319" s="14">
        <v>39234</v>
      </c>
      <c r="C2319" s="2">
        <v>3.7653136533000002E-2</v>
      </c>
      <c r="D2319" s="2">
        <v>-1.3717393000000001E-4</v>
      </c>
      <c r="E2319" s="2">
        <v>1</v>
      </c>
      <c r="F2319" s="2">
        <v>2.5328290804872498E-2</v>
      </c>
      <c r="G2319" s="2">
        <v>1</v>
      </c>
    </row>
    <row r="2320" spans="1:7" x14ac:dyDescent="0.2">
      <c r="A2320" s="2" t="s">
        <v>38</v>
      </c>
      <c r="B2320" s="14">
        <v>39264</v>
      </c>
      <c r="C2320" s="2">
        <v>-2.4417670682999999E-2</v>
      </c>
      <c r="D2320" s="2">
        <v>-6.7690173000000001E-3</v>
      </c>
      <c r="E2320" s="2">
        <v>1</v>
      </c>
      <c r="F2320" s="2">
        <v>2.6568803505466702E-2</v>
      </c>
      <c r="G2320" s="2">
        <v>1</v>
      </c>
    </row>
    <row r="2321" spans="1:7" x14ac:dyDescent="0.2">
      <c r="A2321" s="2" t="s">
        <v>38</v>
      </c>
      <c r="B2321" s="14">
        <v>39295</v>
      </c>
      <c r="C2321" s="2">
        <v>-6.8170591138999995E-2</v>
      </c>
      <c r="D2321" s="2">
        <v>1.0083412999999999E-3</v>
      </c>
      <c r="E2321" s="2">
        <v>1</v>
      </c>
      <c r="F2321" s="2">
        <v>2.3249485189382E-2</v>
      </c>
      <c r="G2321" s="2">
        <v>1</v>
      </c>
    </row>
    <row r="2322" spans="1:7" x14ac:dyDescent="0.2">
      <c r="A2322" s="2" t="s">
        <v>38</v>
      </c>
      <c r="B2322" s="14">
        <v>39326</v>
      </c>
      <c r="C2322" s="2">
        <v>-7.0860576076000006E-2</v>
      </c>
      <c r="D2322" s="2">
        <v>-2.0094935E-3</v>
      </c>
      <c r="E2322" s="2">
        <v>1</v>
      </c>
      <c r="F2322" s="2">
        <v>2.22723603618625E-2</v>
      </c>
      <c r="G2322" s="2">
        <v>1</v>
      </c>
    </row>
    <row r="2323" spans="1:7" x14ac:dyDescent="0.2">
      <c r="A2323" s="2" t="s">
        <v>38</v>
      </c>
      <c r="B2323" s="14">
        <v>39356</v>
      </c>
      <c r="C2323" s="2">
        <v>0.14102320272999999</v>
      </c>
      <c r="D2323" s="2">
        <v>-5.3527304000000001E-3</v>
      </c>
      <c r="E2323" s="2">
        <v>1</v>
      </c>
      <c r="F2323" s="2">
        <v>1.7953861792695799E-2</v>
      </c>
      <c r="G2323" s="2">
        <v>1</v>
      </c>
    </row>
    <row r="2324" spans="1:7" x14ac:dyDescent="0.2">
      <c r="A2324" s="2" t="s">
        <v>38</v>
      </c>
      <c r="B2324" s="14">
        <v>39387</v>
      </c>
      <c r="C2324" s="2">
        <v>-0.15800417858999999</v>
      </c>
      <c r="D2324" s="2">
        <v>-1.6330441000000001E-2</v>
      </c>
      <c r="E2324" s="2">
        <v>1</v>
      </c>
      <c r="F2324" s="2">
        <v>2.2761256825446899E-2</v>
      </c>
      <c r="G2324" s="2">
        <v>1</v>
      </c>
    </row>
    <row r="2325" spans="1:7" x14ac:dyDescent="0.2">
      <c r="A2325" s="2" t="s">
        <v>38</v>
      </c>
      <c r="B2325" s="14">
        <v>39417</v>
      </c>
      <c r="C2325" s="2">
        <v>-5.4478503184E-2</v>
      </c>
      <c r="D2325" s="2">
        <v>-5.9741250999999999E-3</v>
      </c>
      <c r="E2325" s="2">
        <v>1</v>
      </c>
      <c r="F2325" s="2">
        <v>1.7501614690279398E-2</v>
      </c>
      <c r="G2325" s="2">
        <v>1</v>
      </c>
    </row>
    <row r="2326" spans="1:7" x14ac:dyDescent="0.2">
      <c r="A2326" s="2" t="s">
        <v>38</v>
      </c>
      <c r="B2326" s="14">
        <v>39448</v>
      </c>
      <c r="C2326" s="2">
        <v>-0.12121339704</v>
      </c>
      <c r="D2326" s="2">
        <v>-1.1281888999999999E-3</v>
      </c>
      <c r="E2326" s="2">
        <v>1</v>
      </c>
      <c r="F2326" s="2">
        <v>1.50267584134741E-2</v>
      </c>
      <c r="G2326" s="2">
        <v>1</v>
      </c>
    </row>
    <row r="2327" spans="1:7" x14ac:dyDescent="0.2">
      <c r="A2327" s="2" t="s">
        <v>38</v>
      </c>
      <c r="B2327" s="14">
        <v>39479</v>
      </c>
      <c r="C2327" s="2">
        <v>0.1022996766</v>
      </c>
      <c r="D2327" s="2">
        <v>-4.8283077999999998E-3</v>
      </c>
      <c r="E2327" s="2">
        <v>1</v>
      </c>
      <c r="F2327" s="2">
        <v>1.2482472250176299E-2</v>
      </c>
      <c r="G2327" s="2">
        <v>1</v>
      </c>
    </row>
    <row r="2328" spans="1:7" x14ac:dyDescent="0.2">
      <c r="A2328" s="2" t="s">
        <v>38</v>
      </c>
      <c r="B2328" s="14">
        <v>39508</v>
      </c>
      <c r="C2328" s="2">
        <v>1.0529060861E-2</v>
      </c>
      <c r="D2328" s="2">
        <v>6.3474848999999997E-4</v>
      </c>
      <c r="E2328" s="2">
        <v>1</v>
      </c>
      <c r="F2328" s="2">
        <v>1.7328694541740099E-2</v>
      </c>
      <c r="G2328" s="2">
        <v>1</v>
      </c>
    </row>
    <row r="2329" spans="1:7" x14ac:dyDescent="0.2">
      <c r="A2329" s="2" t="s">
        <v>38</v>
      </c>
      <c r="B2329" s="14">
        <v>39539</v>
      </c>
      <c r="C2329" s="2">
        <v>-3.9870967743000002E-2</v>
      </c>
      <c r="D2329" s="2">
        <v>6.3028755000000001E-3</v>
      </c>
      <c r="E2329" s="2">
        <v>1</v>
      </c>
      <c r="F2329" s="2">
        <v>1.95691067454879E-2</v>
      </c>
      <c r="G2329" s="2">
        <v>1</v>
      </c>
    </row>
    <row r="2330" spans="1:7" x14ac:dyDescent="0.2">
      <c r="A2330" s="2" t="s">
        <v>38</v>
      </c>
      <c r="B2330" s="14">
        <v>39569</v>
      </c>
      <c r="C2330" s="2">
        <v>-8.7238822608000005E-2</v>
      </c>
      <c r="D2330" s="2">
        <v>-5.5635129000000004E-3</v>
      </c>
      <c r="E2330" s="2">
        <v>1</v>
      </c>
      <c r="F2330" s="2">
        <v>1.4416399241686801E-2</v>
      </c>
      <c r="G2330" s="2">
        <v>1</v>
      </c>
    </row>
    <row r="2331" spans="1:7" x14ac:dyDescent="0.2">
      <c r="A2331" s="2" t="s">
        <v>38</v>
      </c>
      <c r="B2331" s="14">
        <v>39600</v>
      </c>
      <c r="C2331" s="2">
        <v>8.7115960687000008E-3</v>
      </c>
      <c r="D2331" s="2">
        <v>-5.0031766E-3</v>
      </c>
      <c r="E2331" s="2">
        <v>1</v>
      </c>
      <c r="F2331" s="2">
        <v>1.6657893367295101E-2</v>
      </c>
      <c r="G2331" s="2">
        <v>1</v>
      </c>
    </row>
    <row r="2332" spans="1:7" x14ac:dyDescent="0.2">
      <c r="A2332" s="2" t="s">
        <v>38</v>
      </c>
      <c r="B2332" s="14">
        <v>39630</v>
      </c>
      <c r="C2332" s="2">
        <v>-2.5981219326000001E-2</v>
      </c>
      <c r="D2332" s="2">
        <v>2.4688131999999999E-3</v>
      </c>
      <c r="E2332" s="2">
        <v>1</v>
      </c>
      <c r="F2332" s="2">
        <v>1.8597592377775099E-2</v>
      </c>
      <c r="G2332" s="2">
        <v>1</v>
      </c>
    </row>
    <row r="2333" spans="1:7" x14ac:dyDescent="0.2">
      <c r="A2333" s="2" t="s">
        <v>38</v>
      </c>
      <c r="B2333" s="14">
        <v>39661</v>
      </c>
      <c r="C2333" s="2">
        <v>-4.7714769360999998E-2</v>
      </c>
      <c r="D2333" s="2">
        <v>-1.1041134999999999E-4</v>
      </c>
      <c r="E2333" s="2">
        <v>1</v>
      </c>
      <c r="F2333" s="2">
        <v>2.35359699580595E-2</v>
      </c>
      <c r="G2333" s="2">
        <v>1</v>
      </c>
    </row>
    <row r="2334" spans="1:7" x14ac:dyDescent="0.2">
      <c r="A2334" s="2" t="s">
        <v>38</v>
      </c>
      <c r="B2334" s="14">
        <v>39692</v>
      </c>
      <c r="C2334" s="2">
        <v>0.30525774913999998</v>
      </c>
      <c r="D2334" s="2">
        <v>8.5300160999999992E-3</v>
      </c>
      <c r="E2334" s="2">
        <v>1</v>
      </c>
      <c r="F2334" s="2">
        <v>1.9303819473871699E-2</v>
      </c>
      <c r="G2334" s="2">
        <v>1</v>
      </c>
    </row>
    <row r="2335" spans="1:7" x14ac:dyDescent="0.2">
      <c r="A2335" s="2" t="s">
        <v>38</v>
      </c>
      <c r="B2335" s="14">
        <v>39722</v>
      </c>
      <c r="C2335" s="2">
        <v>0.15971017885</v>
      </c>
      <c r="D2335" s="2">
        <v>5.9108781000000001E-3</v>
      </c>
      <c r="E2335" s="2">
        <v>1</v>
      </c>
      <c r="F2335" s="2">
        <v>2.7983384759279199E-2</v>
      </c>
      <c r="G2335" s="2">
        <v>1</v>
      </c>
    </row>
    <row r="2336" spans="1:7" x14ac:dyDescent="0.2">
      <c r="A2336" s="2" t="s">
        <v>38</v>
      </c>
      <c r="B2336" s="14">
        <v>39753</v>
      </c>
      <c r="C2336" s="2">
        <v>-8.0642201834999996E-2</v>
      </c>
      <c r="E2336" s="2">
        <v>1</v>
      </c>
      <c r="F2336" s="2">
        <v>3.34596462373613E-2</v>
      </c>
      <c r="G2336" s="2">
        <v>1</v>
      </c>
    </row>
    <row r="2337" spans="1:7" x14ac:dyDescent="0.2">
      <c r="A2337" s="2" t="s">
        <v>38</v>
      </c>
      <c r="B2337" s="14">
        <v>39783</v>
      </c>
      <c r="C2337" s="2">
        <v>0.10381581578</v>
      </c>
      <c r="E2337" s="2">
        <v>1</v>
      </c>
      <c r="F2337" s="2">
        <v>3.3687416275029497E-2</v>
      </c>
      <c r="G2337" s="2">
        <v>1</v>
      </c>
    </row>
    <row r="2338" spans="1:7" x14ac:dyDescent="0.2">
      <c r="A2338" s="2" t="s">
        <v>39</v>
      </c>
      <c r="B2338" s="14">
        <v>37591</v>
      </c>
      <c r="C2338" s="2">
        <v>1.9617340760000001E-2</v>
      </c>
      <c r="D2338" s="2">
        <v>0</v>
      </c>
      <c r="E2338" s="2">
        <v>1</v>
      </c>
      <c r="G2338" s="2">
        <v>2</v>
      </c>
    </row>
    <row r="2339" spans="1:7" x14ac:dyDescent="0.2">
      <c r="A2339" s="2" t="s">
        <v>39</v>
      </c>
      <c r="B2339" s="14">
        <v>37622</v>
      </c>
      <c r="C2339" s="2">
        <v>1.5439429928000001E-2</v>
      </c>
      <c r="D2339" s="2">
        <v>0</v>
      </c>
      <c r="E2339" s="2">
        <v>1</v>
      </c>
      <c r="G2339" s="2">
        <v>2</v>
      </c>
    </row>
    <row r="2340" spans="1:7" x14ac:dyDescent="0.2">
      <c r="A2340" s="2" t="s">
        <v>39</v>
      </c>
      <c r="B2340" s="14">
        <v>37653</v>
      </c>
      <c r="C2340" s="2">
        <v>1.0526315789E-2</v>
      </c>
      <c r="D2340" s="2">
        <v>0</v>
      </c>
      <c r="E2340" s="2">
        <v>1</v>
      </c>
      <c r="G2340" s="2">
        <v>2</v>
      </c>
    </row>
    <row r="2341" spans="1:7" x14ac:dyDescent="0.2">
      <c r="A2341" s="2" t="s">
        <v>39</v>
      </c>
      <c r="B2341" s="14">
        <v>37681</v>
      </c>
      <c r="C2341" s="2">
        <v>4.6296296296000003E-3</v>
      </c>
      <c r="D2341" s="2">
        <v>0</v>
      </c>
      <c r="E2341" s="2">
        <v>1</v>
      </c>
      <c r="G2341" s="2">
        <v>2</v>
      </c>
    </row>
    <row r="2342" spans="1:7" x14ac:dyDescent="0.2">
      <c r="A2342" s="2" t="s">
        <v>39</v>
      </c>
      <c r="B2342" s="14">
        <v>37712</v>
      </c>
      <c r="D2342" s="2">
        <v>0</v>
      </c>
      <c r="E2342" s="2">
        <v>1</v>
      </c>
      <c r="G2342" s="2">
        <v>2</v>
      </c>
    </row>
    <row r="2343" spans="1:7" x14ac:dyDescent="0.2">
      <c r="A2343" s="2" t="s">
        <v>39</v>
      </c>
      <c r="B2343" s="14">
        <v>37742</v>
      </c>
      <c r="D2343" s="2">
        <v>0</v>
      </c>
      <c r="E2343" s="2">
        <v>1</v>
      </c>
      <c r="G2343" s="2">
        <v>2</v>
      </c>
    </row>
    <row r="2344" spans="1:7" x14ac:dyDescent="0.2">
      <c r="A2344" s="2" t="s">
        <v>39</v>
      </c>
      <c r="B2344" s="14">
        <v>37773</v>
      </c>
      <c r="C2344" s="2">
        <v>8.3323392726000006E-2</v>
      </c>
      <c r="D2344" s="2">
        <v>0</v>
      </c>
      <c r="E2344" s="2">
        <v>1</v>
      </c>
      <c r="G2344" s="2">
        <v>2</v>
      </c>
    </row>
    <row r="2345" spans="1:7" x14ac:dyDescent="0.2">
      <c r="A2345" s="2" t="s">
        <v>39</v>
      </c>
      <c r="B2345" s="14">
        <v>37803</v>
      </c>
      <c r="C2345" s="2">
        <v>2.2471910052E-4</v>
      </c>
      <c r="D2345" s="2">
        <v>0</v>
      </c>
      <c r="E2345" s="2">
        <v>1</v>
      </c>
      <c r="G2345" s="2">
        <v>2</v>
      </c>
    </row>
    <row r="2346" spans="1:7" x14ac:dyDescent="0.2">
      <c r="A2346" s="2" t="s">
        <v>39</v>
      </c>
      <c r="B2346" s="14">
        <v>37834</v>
      </c>
      <c r="C2346" s="2">
        <v>0.11210963828000001</v>
      </c>
      <c r="D2346" s="2">
        <v>0</v>
      </c>
      <c r="E2346" s="2">
        <v>1</v>
      </c>
      <c r="F2346" s="2">
        <v>6.7287702918721196E-3</v>
      </c>
      <c r="G2346" s="2">
        <v>2</v>
      </c>
    </row>
    <row r="2347" spans="1:7" x14ac:dyDescent="0.2">
      <c r="A2347" s="2" t="s">
        <v>39</v>
      </c>
      <c r="B2347" s="14">
        <v>37865</v>
      </c>
      <c r="C2347" s="2">
        <v>0.29292929292999997</v>
      </c>
      <c r="D2347" s="2">
        <v>0</v>
      </c>
      <c r="E2347" s="2">
        <v>1</v>
      </c>
      <c r="F2347" s="2">
        <v>9.6717929016610794E-3</v>
      </c>
      <c r="G2347" s="2">
        <v>2</v>
      </c>
    </row>
    <row r="2348" spans="1:7" x14ac:dyDescent="0.2">
      <c r="A2348" s="2" t="s">
        <v>39</v>
      </c>
      <c r="B2348" s="14">
        <v>37895</v>
      </c>
      <c r="C2348" s="2">
        <v>1.281848394E-2</v>
      </c>
      <c r="D2348" s="2">
        <v>0</v>
      </c>
      <c r="E2348" s="2">
        <v>1</v>
      </c>
      <c r="F2348" s="2">
        <v>1.8535518187069399E-2</v>
      </c>
      <c r="G2348" s="2">
        <v>2</v>
      </c>
    </row>
    <row r="2349" spans="1:7" x14ac:dyDescent="0.2">
      <c r="A2349" s="2" t="s">
        <v>39</v>
      </c>
      <c r="B2349" s="14">
        <v>37926</v>
      </c>
      <c r="C2349" s="2">
        <v>0</v>
      </c>
      <c r="D2349" s="2">
        <v>0</v>
      </c>
      <c r="E2349" s="2">
        <v>1</v>
      </c>
      <c r="F2349" s="2">
        <v>1.87742479492942E-2</v>
      </c>
      <c r="G2349" s="2">
        <v>2</v>
      </c>
    </row>
    <row r="2350" spans="1:7" x14ac:dyDescent="0.2">
      <c r="A2350" s="2" t="s">
        <v>39</v>
      </c>
      <c r="B2350" s="14">
        <v>37956</v>
      </c>
      <c r="C2350" s="2">
        <v>0</v>
      </c>
      <c r="D2350" s="2">
        <v>0</v>
      </c>
      <c r="E2350" s="2">
        <v>1</v>
      </c>
      <c r="F2350" s="2">
        <v>1.8701197598252201E-2</v>
      </c>
      <c r="G2350" s="2">
        <v>2</v>
      </c>
    </row>
    <row r="2351" spans="1:7" x14ac:dyDescent="0.2">
      <c r="A2351" s="2" t="s">
        <v>39</v>
      </c>
      <c r="B2351" s="14">
        <v>37987</v>
      </c>
      <c r="C2351" s="2">
        <v>1.5067406819E-2</v>
      </c>
      <c r="E2351" s="2">
        <v>1</v>
      </c>
      <c r="F2351" s="2">
        <v>1.6260223205960302E-2</v>
      </c>
      <c r="G2351" s="2">
        <v>2</v>
      </c>
    </row>
    <row r="2352" spans="1:7" x14ac:dyDescent="0.2">
      <c r="A2352" s="2" t="s">
        <v>39</v>
      </c>
      <c r="B2352" s="14">
        <v>38018</v>
      </c>
      <c r="C2352" s="2">
        <v>0</v>
      </c>
      <c r="E2352" s="2">
        <v>1</v>
      </c>
      <c r="F2352" s="2">
        <v>1.66553328499628E-2</v>
      </c>
      <c r="G2352" s="2">
        <v>2</v>
      </c>
    </row>
    <row r="2353" spans="1:7" x14ac:dyDescent="0.2">
      <c r="A2353" s="2" t="s">
        <v>39</v>
      </c>
      <c r="B2353" s="14">
        <v>38047</v>
      </c>
      <c r="C2353" s="2">
        <v>0</v>
      </c>
      <c r="D2353" s="2">
        <v>0</v>
      </c>
      <c r="E2353" s="2">
        <v>1</v>
      </c>
      <c r="F2353" s="2">
        <v>1.3427545493637E-2</v>
      </c>
      <c r="G2353" s="2">
        <v>2</v>
      </c>
    </row>
    <row r="2354" spans="1:7" x14ac:dyDescent="0.2">
      <c r="A2354" s="2" t="s">
        <v>39</v>
      </c>
      <c r="B2354" s="14">
        <v>38078</v>
      </c>
      <c r="C2354" s="2">
        <v>1.5624999997999999E-2</v>
      </c>
      <c r="D2354" s="2">
        <v>0</v>
      </c>
      <c r="E2354" s="2">
        <v>1</v>
      </c>
      <c r="F2354" s="2">
        <v>4.9696966030964799E-3</v>
      </c>
      <c r="G2354" s="2">
        <v>2</v>
      </c>
    </row>
    <row r="2355" spans="1:7" x14ac:dyDescent="0.2">
      <c r="A2355" s="2" t="s">
        <v>39</v>
      </c>
      <c r="B2355" s="14">
        <v>38108</v>
      </c>
      <c r="C2355" s="2">
        <v>3.9515166839999998E-2</v>
      </c>
      <c r="D2355" s="2">
        <v>1.2254149000000001E-4</v>
      </c>
      <c r="E2355" s="2">
        <v>1</v>
      </c>
      <c r="F2355" s="2">
        <v>4.9988104975431198E-3</v>
      </c>
      <c r="G2355" s="2">
        <v>2</v>
      </c>
    </row>
    <row r="2356" spans="1:7" x14ac:dyDescent="0.2">
      <c r="A2356" s="2" t="s">
        <v>39</v>
      </c>
      <c r="B2356" s="14">
        <v>38139</v>
      </c>
      <c r="D2356" s="2">
        <v>1.8346823E-4</v>
      </c>
      <c r="E2356" s="2">
        <v>1</v>
      </c>
      <c r="F2356" s="2">
        <v>5.9748804828629104E-3</v>
      </c>
      <c r="G2356" s="2">
        <v>2</v>
      </c>
    </row>
    <row r="2357" spans="1:7" x14ac:dyDescent="0.2">
      <c r="A2357" s="2" t="s">
        <v>39</v>
      </c>
      <c r="B2357" s="14">
        <v>38169</v>
      </c>
      <c r="C2357" s="2">
        <v>9.5121202830000008E-3</v>
      </c>
      <c r="D2357" s="2">
        <v>0</v>
      </c>
      <c r="E2357" s="2">
        <v>1</v>
      </c>
      <c r="G2357" s="2">
        <v>2</v>
      </c>
    </row>
    <row r="2358" spans="1:7" x14ac:dyDescent="0.2">
      <c r="A2358" s="2" t="s">
        <v>39</v>
      </c>
      <c r="B2358" s="14">
        <v>38200</v>
      </c>
      <c r="C2358" s="2">
        <v>3.0395136781999998E-3</v>
      </c>
      <c r="D2358" s="2">
        <v>0</v>
      </c>
      <c r="E2358" s="2">
        <v>1</v>
      </c>
      <c r="F2358" s="2">
        <v>-1.8921470761410399E-3</v>
      </c>
      <c r="G2358" s="2">
        <v>2</v>
      </c>
    </row>
    <row r="2359" spans="1:7" x14ac:dyDescent="0.2">
      <c r="A2359" s="2" t="s">
        <v>39</v>
      </c>
      <c r="B2359" s="14">
        <v>38231</v>
      </c>
      <c r="D2359" s="2">
        <v>0</v>
      </c>
      <c r="E2359" s="2">
        <v>1</v>
      </c>
      <c r="F2359" s="2">
        <v>-1.8517226776359E-3</v>
      </c>
      <c r="G2359" s="2">
        <v>2</v>
      </c>
    </row>
    <row r="2360" spans="1:7" x14ac:dyDescent="0.2">
      <c r="A2360" s="2" t="s">
        <v>39</v>
      </c>
      <c r="B2360" s="14">
        <v>38261</v>
      </c>
      <c r="C2360" s="2">
        <v>1.0719754977E-2</v>
      </c>
      <c r="D2360" s="2">
        <v>0</v>
      </c>
      <c r="E2360" s="2">
        <v>1</v>
      </c>
      <c r="G2360" s="2">
        <v>2</v>
      </c>
    </row>
    <row r="2361" spans="1:7" x14ac:dyDescent="0.2">
      <c r="A2361" s="2" t="s">
        <v>39</v>
      </c>
      <c r="B2361" s="14">
        <v>38292</v>
      </c>
      <c r="C2361" s="2">
        <v>0</v>
      </c>
      <c r="D2361" s="2">
        <v>0</v>
      </c>
      <c r="E2361" s="2">
        <v>1</v>
      </c>
      <c r="F2361" s="2">
        <v>-3.3780599262702299E-3</v>
      </c>
      <c r="G2361" s="2">
        <v>2</v>
      </c>
    </row>
    <row r="2362" spans="1:7" x14ac:dyDescent="0.2">
      <c r="A2362" s="2" t="s">
        <v>39</v>
      </c>
      <c r="B2362" s="14">
        <v>38322</v>
      </c>
      <c r="C2362" s="2">
        <v>0</v>
      </c>
      <c r="D2362" s="2">
        <v>0</v>
      </c>
      <c r="E2362" s="2">
        <v>1</v>
      </c>
      <c r="F2362" s="2">
        <v>-4.5196837415790499E-3</v>
      </c>
      <c r="G2362" s="2">
        <v>2</v>
      </c>
    </row>
    <row r="2363" spans="1:7" x14ac:dyDescent="0.2">
      <c r="A2363" s="2" t="s">
        <v>39</v>
      </c>
      <c r="B2363" s="14">
        <v>38353</v>
      </c>
      <c r="C2363" s="2">
        <v>-3.2203649752999999E-3</v>
      </c>
      <c r="D2363" s="2">
        <v>0</v>
      </c>
      <c r="E2363" s="2">
        <v>1</v>
      </c>
      <c r="F2363" s="2">
        <v>-4.4922876747400496E-3</v>
      </c>
      <c r="G2363" s="2">
        <v>2</v>
      </c>
    </row>
    <row r="2364" spans="1:7" x14ac:dyDescent="0.2">
      <c r="A2364" s="2" t="s">
        <v>39</v>
      </c>
      <c r="B2364" s="14">
        <v>38384</v>
      </c>
      <c r="D2364" s="2">
        <v>0</v>
      </c>
      <c r="E2364" s="2">
        <v>1</v>
      </c>
      <c r="F2364" s="2">
        <v>-4.8451893743946496E-3</v>
      </c>
      <c r="G2364" s="2">
        <v>2</v>
      </c>
    </row>
    <row r="2365" spans="1:7" x14ac:dyDescent="0.2">
      <c r="A2365" s="2" t="s">
        <v>39</v>
      </c>
      <c r="B2365" s="14">
        <v>38412</v>
      </c>
      <c r="C2365" s="2">
        <v>0</v>
      </c>
      <c r="D2365" s="2">
        <v>0</v>
      </c>
      <c r="E2365" s="2">
        <v>1</v>
      </c>
      <c r="G2365" s="2">
        <v>2</v>
      </c>
    </row>
    <row r="2366" spans="1:7" x14ac:dyDescent="0.2">
      <c r="A2366" s="2" t="s">
        <v>39</v>
      </c>
      <c r="B2366" s="14">
        <v>38443</v>
      </c>
      <c r="C2366" s="2">
        <v>0</v>
      </c>
      <c r="D2366" s="19">
        <v>1.8193932E-5</v>
      </c>
      <c r="E2366" s="2">
        <v>1</v>
      </c>
      <c r="F2366" s="2">
        <v>-4.9239957707253902E-3</v>
      </c>
      <c r="G2366" s="2">
        <v>2</v>
      </c>
    </row>
    <row r="2367" spans="1:7" x14ac:dyDescent="0.2">
      <c r="A2367" s="2" t="s">
        <v>39</v>
      </c>
      <c r="B2367" s="14">
        <v>38473</v>
      </c>
      <c r="C2367" s="2">
        <v>2.6796222022000001E-2</v>
      </c>
      <c r="D2367" s="2">
        <v>0</v>
      </c>
      <c r="E2367" s="2">
        <v>1</v>
      </c>
      <c r="F2367" s="2">
        <v>-5.1744399999256799E-3</v>
      </c>
      <c r="G2367" s="2">
        <v>2</v>
      </c>
    </row>
    <row r="2368" spans="1:7" x14ac:dyDescent="0.2">
      <c r="A2368" s="2" t="s">
        <v>39</v>
      </c>
      <c r="B2368" s="14">
        <v>38504</v>
      </c>
      <c r="C2368" s="2">
        <v>0</v>
      </c>
      <c r="D2368" s="2">
        <v>1.5449552999999999E-4</v>
      </c>
      <c r="E2368" s="2">
        <v>1</v>
      </c>
      <c r="F2368" s="2">
        <v>-4.5324523309742898E-3</v>
      </c>
      <c r="G2368" s="2">
        <v>2</v>
      </c>
    </row>
    <row r="2369" spans="1:7" x14ac:dyDescent="0.2">
      <c r="A2369" s="2" t="s">
        <v>39</v>
      </c>
      <c r="B2369" s="14">
        <v>38534</v>
      </c>
      <c r="C2369" s="2">
        <v>8.3772882407999998E-3</v>
      </c>
      <c r="D2369" s="2">
        <v>0</v>
      </c>
      <c r="E2369" s="2">
        <v>1</v>
      </c>
      <c r="F2369" s="2">
        <v>-4.5206361762778202E-3</v>
      </c>
      <c r="G2369" s="2">
        <v>2</v>
      </c>
    </row>
    <row r="2370" spans="1:7" x14ac:dyDescent="0.2">
      <c r="A2370" s="2" t="s">
        <v>39</v>
      </c>
      <c r="B2370" s="14">
        <v>38565</v>
      </c>
      <c r="C2370" s="2">
        <v>-4.6153846153999999E-2</v>
      </c>
      <c r="D2370" s="2">
        <v>0</v>
      </c>
      <c r="E2370" s="2">
        <v>1</v>
      </c>
      <c r="F2370" s="2">
        <v>-4.4431427179929097E-3</v>
      </c>
      <c r="G2370" s="2">
        <v>2</v>
      </c>
    </row>
    <row r="2371" spans="1:7" x14ac:dyDescent="0.2">
      <c r="A2371" s="2" t="s">
        <v>39</v>
      </c>
      <c r="B2371" s="14">
        <v>38596</v>
      </c>
      <c r="C2371" s="2">
        <v>1.2079660462E-2</v>
      </c>
      <c r="D2371" s="2">
        <v>0</v>
      </c>
      <c r="E2371" s="2">
        <v>1</v>
      </c>
      <c r="F2371" s="2">
        <v>-5.4914076768713604E-3</v>
      </c>
      <c r="G2371" s="2">
        <v>2</v>
      </c>
    </row>
    <row r="2372" spans="1:7" x14ac:dyDescent="0.2">
      <c r="A2372" s="2" t="s">
        <v>39</v>
      </c>
      <c r="B2372" s="14">
        <v>38626</v>
      </c>
      <c r="C2372" s="2">
        <v>0</v>
      </c>
      <c r="D2372" s="2">
        <v>0</v>
      </c>
      <c r="E2372" s="2">
        <v>1</v>
      </c>
      <c r="F2372" s="2">
        <v>-5.1526400808692696E-3</v>
      </c>
      <c r="G2372" s="2">
        <v>2</v>
      </c>
    </row>
    <row r="2373" spans="1:7" x14ac:dyDescent="0.2">
      <c r="A2373" s="2" t="s">
        <v>39</v>
      </c>
      <c r="B2373" s="14">
        <v>38657</v>
      </c>
      <c r="C2373" s="2">
        <v>0</v>
      </c>
      <c r="D2373" s="2">
        <v>0</v>
      </c>
      <c r="E2373" s="2">
        <v>1</v>
      </c>
      <c r="F2373" s="2">
        <v>-5.1583928585051198E-3</v>
      </c>
      <c r="G2373" s="2">
        <v>2</v>
      </c>
    </row>
    <row r="2374" spans="1:7" x14ac:dyDescent="0.2">
      <c r="A2374" s="2" t="s">
        <v>39</v>
      </c>
      <c r="B2374" s="14">
        <v>38687</v>
      </c>
      <c r="C2374" s="2">
        <v>1.3900245298E-2</v>
      </c>
      <c r="D2374" s="2">
        <v>0</v>
      </c>
      <c r="E2374" s="2">
        <v>1</v>
      </c>
      <c r="F2374" s="2">
        <v>-5.93255649406521E-3</v>
      </c>
      <c r="G2374" s="2">
        <v>2</v>
      </c>
    </row>
    <row r="2375" spans="1:7" x14ac:dyDescent="0.2">
      <c r="A2375" s="2" t="s">
        <v>39</v>
      </c>
      <c r="B2375" s="14">
        <v>38718</v>
      </c>
      <c r="C2375" s="2">
        <v>0</v>
      </c>
      <c r="D2375" s="2">
        <v>0</v>
      </c>
      <c r="E2375" s="2">
        <v>1</v>
      </c>
      <c r="F2375" s="2">
        <v>-5.5214334525596296E-3</v>
      </c>
      <c r="G2375" s="2">
        <v>2</v>
      </c>
    </row>
    <row r="2376" spans="1:7" x14ac:dyDescent="0.2">
      <c r="A2376" s="2" t="s">
        <v>39</v>
      </c>
      <c r="B2376" s="14">
        <v>38749</v>
      </c>
      <c r="C2376" s="2">
        <v>0</v>
      </c>
      <c r="D2376" s="2">
        <v>0</v>
      </c>
      <c r="E2376" s="2">
        <v>1</v>
      </c>
      <c r="F2376" s="2">
        <v>-5.7644067826788901E-3</v>
      </c>
      <c r="G2376" s="2">
        <v>2</v>
      </c>
    </row>
    <row r="2377" spans="1:7" x14ac:dyDescent="0.2">
      <c r="A2377" s="2" t="s">
        <v>39</v>
      </c>
      <c r="B2377" s="14">
        <v>38777</v>
      </c>
      <c r="C2377" s="2">
        <v>-8.0645161287999992E-3</v>
      </c>
      <c r="D2377" s="2">
        <v>0</v>
      </c>
      <c r="E2377" s="2">
        <v>1</v>
      </c>
      <c r="F2377" s="2">
        <v>-4.44659133463364E-3</v>
      </c>
      <c r="G2377" s="2">
        <v>2</v>
      </c>
    </row>
    <row r="2378" spans="1:7" x14ac:dyDescent="0.2">
      <c r="A2378" s="2" t="s">
        <v>39</v>
      </c>
      <c r="B2378" s="14">
        <v>38808</v>
      </c>
      <c r="C2378" s="2">
        <v>3.0869081303999998E-2</v>
      </c>
      <c r="D2378" s="2">
        <v>0</v>
      </c>
      <c r="E2378" s="2">
        <v>1</v>
      </c>
      <c r="F2378" s="2">
        <v>-5.0062146673565096E-3</v>
      </c>
      <c r="G2378" s="2">
        <v>2</v>
      </c>
    </row>
    <row r="2379" spans="1:7" x14ac:dyDescent="0.2">
      <c r="A2379" s="2" t="s">
        <v>39</v>
      </c>
      <c r="B2379" s="14">
        <v>38838</v>
      </c>
      <c r="C2379" s="2">
        <v>4.8617886176999997E-2</v>
      </c>
      <c r="D2379" s="2">
        <v>0</v>
      </c>
      <c r="E2379" s="2">
        <v>1</v>
      </c>
      <c r="F2379" s="2">
        <v>-4.0756081639332599E-3</v>
      </c>
      <c r="G2379" s="2">
        <v>2</v>
      </c>
    </row>
    <row r="2380" spans="1:7" x14ac:dyDescent="0.2">
      <c r="A2380" s="2" t="s">
        <v>39</v>
      </c>
      <c r="B2380" s="14">
        <v>38869</v>
      </c>
      <c r="C2380" s="2">
        <v>-6.2025120133000003E-4</v>
      </c>
      <c r="D2380" s="2">
        <v>0</v>
      </c>
      <c r="E2380" s="2">
        <v>1</v>
      </c>
      <c r="F2380" s="2">
        <v>-2.7195156829741699E-3</v>
      </c>
      <c r="G2380" s="2">
        <v>2</v>
      </c>
    </row>
    <row r="2381" spans="1:7" x14ac:dyDescent="0.2">
      <c r="A2381" s="2" t="s">
        <v>39</v>
      </c>
      <c r="B2381" s="14">
        <v>38899</v>
      </c>
      <c r="C2381" s="2">
        <v>8.5092971967000008E-3</v>
      </c>
      <c r="D2381" s="2">
        <v>0</v>
      </c>
      <c r="E2381" s="2">
        <v>1</v>
      </c>
      <c r="F2381" s="2">
        <v>-3.1021493656278199E-3</v>
      </c>
      <c r="G2381" s="2">
        <v>2</v>
      </c>
    </row>
    <row r="2382" spans="1:7" x14ac:dyDescent="0.2">
      <c r="A2382" s="2" t="s">
        <v>39</v>
      </c>
      <c r="B2382" s="14">
        <v>38930</v>
      </c>
      <c r="C2382" s="2">
        <v>-1.5625000000999999E-2</v>
      </c>
      <c r="D2382" s="2">
        <v>0</v>
      </c>
      <c r="E2382" s="2">
        <v>1</v>
      </c>
      <c r="F2382" s="2">
        <v>-1.0271818669022601E-3</v>
      </c>
      <c r="G2382" s="2">
        <v>2</v>
      </c>
    </row>
    <row r="2383" spans="1:7" x14ac:dyDescent="0.2">
      <c r="A2383" s="2" t="s">
        <v>39</v>
      </c>
      <c r="B2383" s="14">
        <v>38961</v>
      </c>
      <c r="C2383" s="2">
        <v>-7.1526231495000004E-3</v>
      </c>
      <c r="D2383" s="2">
        <v>0</v>
      </c>
      <c r="E2383" s="2">
        <v>1</v>
      </c>
      <c r="F2383" s="2">
        <v>-1.5389139885152001E-3</v>
      </c>
      <c r="G2383" s="2">
        <v>2</v>
      </c>
    </row>
    <row r="2384" spans="1:7" x14ac:dyDescent="0.2">
      <c r="A2384" s="2" t="s">
        <v>39</v>
      </c>
      <c r="B2384" s="14">
        <v>38991</v>
      </c>
      <c r="C2384" s="2">
        <v>9.1056910569000005E-2</v>
      </c>
      <c r="D2384" s="2">
        <v>-3.5164743E-3</v>
      </c>
      <c r="E2384" s="2">
        <v>1</v>
      </c>
      <c r="F2384" s="2">
        <v>-1.44995990488297E-3</v>
      </c>
      <c r="G2384" s="2">
        <v>2</v>
      </c>
    </row>
    <row r="2385" spans="1:7" x14ac:dyDescent="0.2">
      <c r="A2385" s="2" t="s">
        <v>39</v>
      </c>
      <c r="B2385" s="14">
        <v>39022</v>
      </c>
      <c r="C2385" s="2">
        <v>4.3219076006000001E-2</v>
      </c>
      <c r="D2385" s="2">
        <v>0</v>
      </c>
      <c r="E2385" s="2">
        <v>1</v>
      </c>
      <c r="F2385" s="2">
        <v>3.2169801166908099E-4</v>
      </c>
      <c r="G2385" s="2">
        <v>2</v>
      </c>
    </row>
    <row r="2386" spans="1:7" x14ac:dyDescent="0.2">
      <c r="A2386" s="2" t="s">
        <v>39</v>
      </c>
      <c r="B2386" s="14">
        <v>39052</v>
      </c>
      <c r="C2386" s="2">
        <v>5.8813915957000001E-2</v>
      </c>
      <c r="D2386" s="2">
        <v>0</v>
      </c>
      <c r="E2386" s="2">
        <v>1</v>
      </c>
      <c r="F2386" s="19">
        <v>8.4717556273394598E-5</v>
      </c>
      <c r="G2386" s="2">
        <v>2</v>
      </c>
    </row>
    <row r="2387" spans="1:7" x14ac:dyDescent="0.2">
      <c r="A2387" s="2" t="s">
        <v>39</v>
      </c>
      <c r="B2387" s="14">
        <v>39083</v>
      </c>
      <c r="C2387" s="2">
        <v>-1.3698630146000001E-3</v>
      </c>
      <c r="D2387" s="2">
        <v>0</v>
      </c>
      <c r="E2387" s="2">
        <v>1</v>
      </c>
      <c r="F2387" s="2">
        <v>1.74779986676876E-3</v>
      </c>
      <c r="G2387" s="2">
        <v>2</v>
      </c>
    </row>
    <row r="2388" spans="1:7" x14ac:dyDescent="0.2">
      <c r="A2388" s="2" t="s">
        <v>39</v>
      </c>
      <c r="B2388" s="14">
        <v>39114</v>
      </c>
      <c r="C2388" s="2">
        <v>-5.48696845E-3</v>
      </c>
      <c r="D2388" s="2">
        <v>0</v>
      </c>
      <c r="E2388" s="2">
        <v>1</v>
      </c>
      <c r="F2388" s="2">
        <v>1.46700322618609E-3</v>
      </c>
      <c r="G2388" s="2">
        <v>2</v>
      </c>
    </row>
    <row r="2389" spans="1:7" x14ac:dyDescent="0.2">
      <c r="A2389" s="2" t="s">
        <v>39</v>
      </c>
      <c r="B2389" s="14">
        <v>39142</v>
      </c>
      <c r="C2389" s="2">
        <v>-1.2413793104000001E-2</v>
      </c>
      <c r="D2389" s="2">
        <v>0</v>
      </c>
      <c r="E2389" s="2">
        <v>1</v>
      </c>
      <c r="F2389" s="2">
        <v>1.77888599453113E-3</v>
      </c>
      <c r="G2389" s="2">
        <v>2</v>
      </c>
    </row>
    <row r="2390" spans="1:7" x14ac:dyDescent="0.2">
      <c r="A2390" s="2" t="s">
        <v>39</v>
      </c>
      <c r="B2390" s="14">
        <v>39173</v>
      </c>
      <c r="C2390" s="2">
        <v>2.1578844140000001E-2</v>
      </c>
      <c r="D2390" s="2">
        <v>0</v>
      </c>
      <c r="E2390" s="2">
        <v>1</v>
      </c>
      <c r="F2390" s="2">
        <v>1.66193080711043E-3</v>
      </c>
      <c r="G2390" s="2">
        <v>2</v>
      </c>
    </row>
    <row r="2391" spans="1:7" x14ac:dyDescent="0.2">
      <c r="A2391" s="2" t="s">
        <v>39</v>
      </c>
      <c r="B2391" s="14">
        <v>39203</v>
      </c>
      <c r="C2391" s="2">
        <v>5.5478502072000002E-3</v>
      </c>
      <c r="D2391" s="2">
        <v>0</v>
      </c>
      <c r="E2391" s="2">
        <v>1</v>
      </c>
      <c r="F2391" s="2">
        <v>-3.64318365167612E-4</v>
      </c>
      <c r="G2391" s="2">
        <v>2</v>
      </c>
    </row>
    <row r="2392" spans="1:7" x14ac:dyDescent="0.2">
      <c r="A2392" s="2" t="s">
        <v>39</v>
      </c>
      <c r="B2392" s="14">
        <v>39234</v>
      </c>
      <c r="C2392" s="2">
        <v>1.2852752165E-2</v>
      </c>
      <c r="D2392" s="2">
        <v>0</v>
      </c>
      <c r="E2392" s="2">
        <v>1</v>
      </c>
      <c r="F2392" s="2">
        <v>-1.4868083339711501E-3</v>
      </c>
      <c r="G2392" s="2">
        <v>2</v>
      </c>
    </row>
    <row r="2393" spans="1:7" x14ac:dyDescent="0.2">
      <c r="A2393" s="2" t="s">
        <v>39</v>
      </c>
      <c r="B2393" s="14">
        <v>39264</v>
      </c>
      <c r="D2393" s="2">
        <v>0</v>
      </c>
      <c r="E2393" s="2">
        <v>1</v>
      </c>
      <c r="F2393" s="2">
        <v>-2.8216791733020499E-3</v>
      </c>
      <c r="G2393" s="2">
        <v>2</v>
      </c>
    </row>
    <row r="2394" spans="1:7" x14ac:dyDescent="0.2">
      <c r="A2394" s="2" t="s">
        <v>39</v>
      </c>
      <c r="B2394" s="14">
        <v>39295</v>
      </c>
      <c r="C2394" s="2">
        <v>0</v>
      </c>
      <c r="D2394" s="2">
        <v>0</v>
      </c>
      <c r="E2394" s="2">
        <v>1</v>
      </c>
      <c r="F2394" s="2">
        <v>-6.9495262483824198E-3</v>
      </c>
      <c r="G2394" s="2">
        <v>2</v>
      </c>
    </row>
    <row r="2395" spans="1:7" x14ac:dyDescent="0.2">
      <c r="A2395" s="2" t="s">
        <v>39</v>
      </c>
      <c r="B2395" s="14">
        <v>39326</v>
      </c>
      <c r="D2395" s="2">
        <v>0</v>
      </c>
      <c r="E2395" s="2">
        <v>1</v>
      </c>
      <c r="F2395" s="2">
        <v>-6.8138200971728903E-3</v>
      </c>
      <c r="G2395" s="2">
        <v>2</v>
      </c>
    </row>
    <row r="2396" spans="1:7" x14ac:dyDescent="0.2">
      <c r="A2396" s="2" t="s">
        <v>39</v>
      </c>
      <c r="B2396" s="14">
        <v>39356</v>
      </c>
      <c r="C2396" s="2">
        <v>1.3560743744000001E-2</v>
      </c>
      <c r="D2396" s="2">
        <v>0</v>
      </c>
      <c r="E2396" s="2">
        <v>1</v>
      </c>
      <c r="F2396" s="2">
        <v>-6.41429340158816E-3</v>
      </c>
      <c r="G2396" s="2">
        <v>2</v>
      </c>
    </row>
    <row r="2397" spans="1:7" x14ac:dyDescent="0.2">
      <c r="A2397" s="2" t="s">
        <v>39</v>
      </c>
      <c r="B2397" s="14">
        <v>39387</v>
      </c>
      <c r="C2397" s="2">
        <v>-6.8965517248000003E-3</v>
      </c>
      <c r="D2397" s="2">
        <v>0</v>
      </c>
      <c r="E2397" s="2">
        <v>1</v>
      </c>
      <c r="F2397" s="2">
        <v>-6.8788764430520099E-3</v>
      </c>
      <c r="G2397" s="2">
        <v>2</v>
      </c>
    </row>
    <row r="2398" spans="1:7" x14ac:dyDescent="0.2">
      <c r="A2398" s="2" t="s">
        <v>39</v>
      </c>
      <c r="B2398" s="14">
        <v>39417</v>
      </c>
      <c r="C2398" s="2">
        <v>2.7793693989000001E-3</v>
      </c>
      <c r="D2398" s="2">
        <v>0</v>
      </c>
      <c r="E2398" s="2">
        <v>1</v>
      </c>
      <c r="F2398" s="2">
        <v>-7.2568922123751904E-3</v>
      </c>
      <c r="G2398" s="2">
        <v>2</v>
      </c>
    </row>
    <row r="2399" spans="1:7" x14ac:dyDescent="0.2">
      <c r="A2399" s="2" t="s">
        <v>39</v>
      </c>
      <c r="B2399" s="14">
        <v>39448</v>
      </c>
      <c r="C2399" s="2">
        <v>-0.10563380281</v>
      </c>
      <c r="D2399" s="2">
        <v>0</v>
      </c>
      <c r="E2399" s="2">
        <v>1</v>
      </c>
      <c r="F2399" s="2">
        <v>-7.7037843645826904E-3</v>
      </c>
      <c r="G2399" s="2">
        <v>2</v>
      </c>
    </row>
    <row r="2400" spans="1:7" x14ac:dyDescent="0.2">
      <c r="A2400" s="2" t="s">
        <v>39</v>
      </c>
      <c r="B2400" s="14">
        <v>39479</v>
      </c>
      <c r="C2400" s="2">
        <v>0</v>
      </c>
      <c r="D2400" s="2">
        <v>0</v>
      </c>
      <c r="E2400" s="2">
        <v>1</v>
      </c>
      <c r="F2400" s="2">
        <v>-1.00233038634964E-2</v>
      </c>
      <c r="G2400" s="2">
        <v>2</v>
      </c>
    </row>
    <row r="2401" spans="1:7" x14ac:dyDescent="0.2">
      <c r="A2401" s="2" t="s">
        <v>39</v>
      </c>
      <c r="B2401" s="14">
        <v>39508</v>
      </c>
      <c r="C2401" s="2">
        <v>2.3622047242999999E-2</v>
      </c>
      <c r="D2401" s="2">
        <v>0</v>
      </c>
      <c r="E2401" s="2">
        <v>1</v>
      </c>
      <c r="F2401" s="2">
        <v>-1.00219129384547E-2</v>
      </c>
      <c r="G2401" s="2">
        <v>2</v>
      </c>
    </row>
    <row r="2402" spans="1:7" x14ac:dyDescent="0.2">
      <c r="A2402" s="2" t="s">
        <v>39</v>
      </c>
      <c r="B2402" s="14">
        <v>39539</v>
      </c>
      <c r="D2402" s="2">
        <v>0</v>
      </c>
      <c r="E2402" s="2">
        <v>1</v>
      </c>
      <c r="F2402" s="2">
        <v>-9.3707691324606199E-3</v>
      </c>
      <c r="G2402" s="2">
        <v>2</v>
      </c>
    </row>
    <row r="2403" spans="1:7" x14ac:dyDescent="0.2">
      <c r="A2403" s="2" t="s">
        <v>39</v>
      </c>
      <c r="B2403" s="14">
        <v>39569</v>
      </c>
      <c r="C2403" s="2">
        <v>1.9919818610999999E-2</v>
      </c>
      <c r="D2403" s="2">
        <v>0</v>
      </c>
      <c r="E2403" s="2">
        <v>1</v>
      </c>
      <c r="G2403" s="2">
        <v>2</v>
      </c>
    </row>
    <row r="2404" spans="1:7" x14ac:dyDescent="0.2">
      <c r="A2404" s="2" t="s">
        <v>39</v>
      </c>
      <c r="B2404" s="14">
        <v>39600</v>
      </c>
      <c r="D2404" s="2">
        <v>0</v>
      </c>
      <c r="E2404" s="2">
        <v>1</v>
      </c>
      <c r="F2404" s="2">
        <v>-8.9504571594424803E-3</v>
      </c>
      <c r="G2404" s="2">
        <v>2</v>
      </c>
    </row>
    <row r="2405" spans="1:7" x14ac:dyDescent="0.2">
      <c r="A2405" s="2" t="s">
        <v>39</v>
      </c>
      <c r="B2405" s="14">
        <v>39630</v>
      </c>
      <c r="C2405" s="2">
        <v>1.5625000002000001E-2</v>
      </c>
      <c r="D2405" s="2">
        <v>0</v>
      </c>
      <c r="E2405" s="2">
        <v>1</v>
      </c>
      <c r="G2405" s="2">
        <v>2</v>
      </c>
    </row>
    <row r="2406" spans="1:7" x14ac:dyDescent="0.2">
      <c r="A2406" s="2" t="s">
        <v>39</v>
      </c>
      <c r="B2406" s="14">
        <v>39661</v>
      </c>
      <c r="C2406" s="2">
        <v>0</v>
      </c>
      <c r="D2406" s="2">
        <v>0</v>
      </c>
      <c r="E2406" s="2">
        <v>1</v>
      </c>
      <c r="F2406" s="2">
        <v>-3.2769782448560398E-3</v>
      </c>
      <c r="G2406" s="2">
        <v>2</v>
      </c>
    </row>
    <row r="2407" spans="1:7" x14ac:dyDescent="0.2">
      <c r="A2407" s="2" t="s">
        <v>39</v>
      </c>
      <c r="B2407" s="14">
        <v>39692</v>
      </c>
      <c r="C2407" s="2">
        <v>0</v>
      </c>
      <c r="D2407" s="2">
        <v>0</v>
      </c>
      <c r="E2407" s="2">
        <v>1</v>
      </c>
      <c r="F2407" s="2">
        <v>-3.2769782448560398E-3</v>
      </c>
      <c r="G2407" s="2">
        <v>2</v>
      </c>
    </row>
    <row r="2408" spans="1:7" x14ac:dyDescent="0.2">
      <c r="A2408" s="2" t="s">
        <v>39</v>
      </c>
      <c r="B2408" s="14">
        <v>39722</v>
      </c>
      <c r="C2408" s="2">
        <v>1.40625E-2</v>
      </c>
      <c r="D2408" s="2">
        <v>0</v>
      </c>
      <c r="E2408" s="2">
        <v>1</v>
      </c>
      <c r="F2408" s="2">
        <v>-3.9660052165388102E-3</v>
      </c>
      <c r="G2408" s="2">
        <v>2</v>
      </c>
    </row>
    <row r="2409" spans="1:7" x14ac:dyDescent="0.2">
      <c r="A2409" s="2" t="s">
        <v>39</v>
      </c>
      <c r="B2409" s="14">
        <v>39753</v>
      </c>
      <c r="C2409" s="2">
        <v>-1.5408320495999999E-3</v>
      </c>
      <c r="D2409" s="2">
        <v>0</v>
      </c>
      <c r="E2409" s="2">
        <v>1</v>
      </c>
      <c r="F2409" s="2">
        <v>-3.59100798522104E-3</v>
      </c>
      <c r="G2409" s="2">
        <v>2</v>
      </c>
    </row>
    <row r="2410" spans="1:7" x14ac:dyDescent="0.2">
      <c r="A2410" s="2" t="s">
        <v>39</v>
      </c>
      <c r="B2410" s="14">
        <v>39783</v>
      </c>
      <c r="C2410" s="2">
        <v>-0.15123456790000001</v>
      </c>
      <c r="D2410" s="2">
        <v>0</v>
      </c>
      <c r="E2410" s="2">
        <v>1</v>
      </c>
      <c r="F2410" s="2">
        <v>-4.20776454603701E-3</v>
      </c>
      <c r="G2410" s="2">
        <v>2</v>
      </c>
    </row>
    <row r="2411" spans="1:7" x14ac:dyDescent="0.2">
      <c r="A2411" s="2" t="s">
        <v>40</v>
      </c>
      <c r="B2411" s="14">
        <v>37591</v>
      </c>
      <c r="C2411" s="2">
        <v>3.1189083820000001E-2</v>
      </c>
      <c r="E2411" s="2">
        <v>1</v>
      </c>
      <c r="G2411" s="2">
        <v>2</v>
      </c>
    </row>
    <row r="2412" spans="1:7" x14ac:dyDescent="0.2">
      <c r="A2412" s="2" t="s">
        <v>40</v>
      </c>
      <c r="B2412" s="14">
        <v>37622</v>
      </c>
      <c r="C2412" s="2">
        <v>-1.0869565217000001E-2</v>
      </c>
      <c r="E2412" s="2">
        <v>1</v>
      </c>
      <c r="G2412" s="2">
        <v>2</v>
      </c>
    </row>
    <row r="2413" spans="1:7" x14ac:dyDescent="0.2">
      <c r="A2413" s="2" t="s">
        <v>40</v>
      </c>
      <c r="B2413" s="14">
        <v>37653</v>
      </c>
      <c r="E2413" s="2">
        <v>1</v>
      </c>
      <c r="G2413" s="2">
        <v>2</v>
      </c>
    </row>
    <row r="2414" spans="1:7" x14ac:dyDescent="0.2">
      <c r="A2414" s="2" t="s">
        <v>40</v>
      </c>
      <c r="B2414" s="14">
        <v>37681</v>
      </c>
      <c r="C2414" s="2">
        <v>-1.0989010989E-2</v>
      </c>
      <c r="E2414" s="2">
        <v>1</v>
      </c>
      <c r="G2414" s="2">
        <v>2</v>
      </c>
    </row>
    <row r="2415" spans="1:7" x14ac:dyDescent="0.2">
      <c r="A2415" s="2" t="s">
        <v>40</v>
      </c>
      <c r="B2415" s="14">
        <v>37712</v>
      </c>
      <c r="C2415" s="2">
        <v>6.6666666668000002E-2</v>
      </c>
      <c r="E2415" s="2">
        <v>1</v>
      </c>
      <c r="G2415" s="2">
        <v>2</v>
      </c>
    </row>
    <row r="2416" spans="1:7" x14ac:dyDescent="0.2">
      <c r="A2416" s="2" t="s">
        <v>40</v>
      </c>
      <c r="B2416" s="14">
        <v>37742</v>
      </c>
      <c r="C2416" s="2">
        <v>6.4516129029999994E-2</v>
      </c>
      <c r="E2416" s="2">
        <v>1</v>
      </c>
      <c r="G2416" s="2">
        <v>2</v>
      </c>
    </row>
    <row r="2417" spans="1:7" x14ac:dyDescent="0.2">
      <c r="A2417" s="2" t="s">
        <v>40</v>
      </c>
      <c r="B2417" s="14">
        <v>37773</v>
      </c>
      <c r="C2417" s="2">
        <v>0.11111111110999999</v>
      </c>
      <c r="E2417" s="2">
        <v>1</v>
      </c>
      <c r="G2417" s="2">
        <v>2</v>
      </c>
    </row>
    <row r="2418" spans="1:7" x14ac:dyDescent="0.2">
      <c r="A2418" s="2" t="s">
        <v>40</v>
      </c>
      <c r="B2418" s="14">
        <v>37803</v>
      </c>
      <c r="C2418" s="2">
        <v>0.16300366300999999</v>
      </c>
      <c r="E2418" s="2">
        <v>1</v>
      </c>
      <c r="G2418" s="2">
        <v>2</v>
      </c>
    </row>
    <row r="2419" spans="1:7" x14ac:dyDescent="0.2">
      <c r="A2419" s="2" t="s">
        <v>40</v>
      </c>
      <c r="B2419" s="14">
        <v>37834</v>
      </c>
      <c r="C2419" s="2">
        <v>7.0866141733999993E-2</v>
      </c>
      <c r="E2419" s="2">
        <v>1</v>
      </c>
      <c r="F2419" s="2">
        <v>2.73183884595695E-2</v>
      </c>
      <c r="G2419" s="2">
        <v>2</v>
      </c>
    </row>
    <row r="2420" spans="1:7" x14ac:dyDescent="0.2">
      <c r="A2420" s="2" t="s">
        <v>40</v>
      </c>
      <c r="B2420" s="14">
        <v>37865</v>
      </c>
      <c r="C2420" s="2">
        <v>3.5502958579000002E-2</v>
      </c>
      <c r="E2420" s="2">
        <v>1</v>
      </c>
      <c r="F2420" s="2">
        <v>2.90996886890416E-2</v>
      </c>
      <c r="G2420" s="2">
        <v>2</v>
      </c>
    </row>
    <row r="2421" spans="1:7" x14ac:dyDescent="0.2">
      <c r="A2421" s="2" t="s">
        <v>40</v>
      </c>
      <c r="B2421" s="14">
        <v>37895</v>
      </c>
      <c r="C2421" s="2">
        <v>0.11428571428000001</v>
      </c>
      <c r="E2421" s="2">
        <v>1</v>
      </c>
      <c r="F2421" s="2">
        <v>3.0307714648679401E-2</v>
      </c>
      <c r="G2421" s="2">
        <v>2</v>
      </c>
    </row>
    <row r="2422" spans="1:7" x14ac:dyDescent="0.2">
      <c r="A2422" s="2" t="s">
        <v>40</v>
      </c>
      <c r="B2422" s="14">
        <v>37926</v>
      </c>
      <c r="C2422" s="2">
        <v>-3.8461538461999997E-2</v>
      </c>
      <c r="E2422" s="2">
        <v>1</v>
      </c>
      <c r="F2422" s="2">
        <v>3.14184542314382E-2</v>
      </c>
      <c r="G2422" s="2">
        <v>2</v>
      </c>
    </row>
    <row r="2423" spans="1:7" x14ac:dyDescent="0.2">
      <c r="A2423" s="2" t="s">
        <v>40</v>
      </c>
      <c r="B2423" s="14">
        <v>37956</v>
      </c>
      <c r="C2423" s="2">
        <v>7.2164948455000003E-2</v>
      </c>
      <c r="E2423" s="2">
        <v>1</v>
      </c>
      <c r="F2423" s="2">
        <v>2.8647734233845E-2</v>
      </c>
      <c r="G2423" s="2">
        <v>2</v>
      </c>
    </row>
    <row r="2424" spans="1:7" x14ac:dyDescent="0.2">
      <c r="A2424" s="2" t="s">
        <v>40</v>
      </c>
      <c r="B2424" s="14">
        <v>37987</v>
      </c>
      <c r="C2424" s="2">
        <v>0</v>
      </c>
      <c r="E2424" s="2">
        <v>1</v>
      </c>
      <c r="F2424" s="2">
        <v>2.73178293888937E-2</v>
      </c>
      <c r="G2424" s="2">
        <v>2</v>
      </c>
    </row>
    <row r="2425" spans="1:7" x14ac:dyDescent="0.2">
      <c r="A2425" s="2" t="s">
        <v>40</v>
      </c>
      <c r="B2425" s="14">
        <v>38018</v>
      </c>
      <c r="E2425" s="2">
        <v>1</v>
      </c>
      <c r="F2425" s="2">
        <v>2.2586866087491501E-2</v>
      </c>
      <c r="G2425" s="2">
        <v>2</v>
      </c>
    </row>
    <row r="2426" spans="1:7" x14ac:dyDescent="0.2">
      <c r="A2426" s="2" t="s">
        <v>40</v>
      </c>
      <c r="B2426" s="14">
        <v>38047</v>
      </c>
      <c r="C2426" s="2">
        <v>-1.2500000000999999E-2</v>
      </c>
      <c r="D2426" s="2">
        <v>0</v>
      </c>
      <c r="E2426" s="2">
        <v>1</v>
      </c>
      <c r="G2426" s="2">
        <v>2</v>
      </c>
    </row>
    <row r="2427" spans="1:7" x14ac:dyDescent="0.2">
      <c r="A2427" s="2" t="s">
        <v>40</v>
      </c>
      <c r="B2427" s="14">
        <v>38078</v>
      </c>
      <c r="C2427" s="2">
        <v>-1.2658227847000001E-2</v>
      </c>
      <c r="D2427" s="2">
        <v>0</v>
      </c>
      <c r="E2427" s="2">
        <v>1</v>
      </c>
      <c r="F2427" s="2">
        <v>1.9184618798454001E-2</v>
      </c>
      <c r="G2427" s="2">
        <v>2</v>
      </c>
    </row>
    <row r="2428" spans="1:7" x14ac:dyDescent="0.2">
      <c r="A2428" s="2" t="s">
        <v>40</v>
      </c>
      <c r="B2428" s="14">
        <v>38108</v>
      </c>
      <c r="C2428" s="2">
        <v>3.6745406824000001E-2</v>
      </c>
      <c r="D2428" s="2">
        <v>0</v>
      </c>
      <c r="E2428" s="2">
        <v>1</v>
      </c>
      <c r="F2428" s="2">
        <v>1.56142868325606E-2</v>
      </c>
      <c r="G2428" s="2">
        <v>2</v>
      </c>
    </row>
    <row r="2429" spans="1:7" x14ac:dyDescent="0.2">
      <c r="A2429" s="2" t="s">
        <v>40</v>
      </c>
      <c r="B2429" s="14">
        <v>38139</v>
      </c>
      <c r="C2429" s="2">
        <v>1.2658227847999999E-2</v>
      </c>
      <c r="D2429" s="2">
        <v>0</v>
      </c>
      <c r="E2429" s="2">
        <v>1</v>
      </c>
      <c r="F2429" s="2">
        <v>1.7757868190319302E-2</v>
      </c>
      <c r="G2429" s="2">
        <v>2</v>
      </c>
    </row>
    <row r="2430" spans="1:7" x14ac:dyDescent="0.2">
      <c r="A2430" s="2" t="s">
        <v>40</v>
      </c>
      <c r="B2430" s="14">
        <v>38169</v>
      </c>
      <c r="C2430" s="2">
        <v>0.13207547169</v>
      </c>
      <c r="D2430" s="2">
        <v>0</v>
      </c>
      <c r="E2430" s="2">
        <v>1</v>
      </c>
      <c r="F2430" s="2">
        <v>1.59586467702829E-2</v>
      </c>
      <c r="G2430" s="2">
        <v>2</v>
      </c>
    </row>
    <row r="2431" spans="1:7" x14ac:dyDescent="0.2">
      <c r="A2431" s="2" t="s">
        <v>40</v>
      </c>
      <c r="B2431" s="14">
        <v>38200</v>
      </c>
      <c r="C2431" s="2">
        <v>0.27777777778000001</v>
      </c>
      <c r="D2431" s="2">
        <v>0</v>
      </c>
      <c r="E2431" s="2">
        <v>1</v>
      </c>
      <c r="F2431" s="2">
        <v>1.0498799135867499E-2</v>
      </c>
      <c r="G2431" s="2">
        <v>2</v>
      </c>
    </row>
    <row r="2432" spans="1:7" x14ac:dyDescent="0.2">
      <c r="A2432" s="2" t="s">
        <v>40</v>
      </c>
      <c r="B2432" s="14">
        <v>38231</v>
      </c>
      <c r="C2432" s="2">
        <v>4.8243001786000002E-2</v>
      </c>
      <c r="D2432" s="2">
        <v>0</v>
      </c>
      <c r="E2432" s="2">
        <v>1</v>
      </c>
      <c r="F2432" s="2">
        <v>1.8645268415343599E-2</v>
      </c>
      <c r="G2432" s="2">
        <v>2</v>
      </c>
    </row>
    <row r="2433" spans="1:7" x14ac:dyDescent="0.2">
      <c r="A2433" s="2" t="s">
        <v>40</v>
      </c>
      <c r="B2433" s="14">
        <v>38261</v>
      </c>
      <c r="C2433" s="2">
        <v>-8.3333333332000006E-2</v>
      </c>
      <c r="D2433" s="2">
        <v>2.8263814999999998E-4</v>
      </c>
      <c r="E2433" s="2">
        <v>1</v>
      </c>
      <c r="F2433" s="2">
        <v>2.0299453752812099E-2</v>
      </c>
      <c r="G2433" s="2">
        <v>2</v>
      </c>
    </row>
    <row r="2434" spans="1:7" x14ac:dyDescent="0.2">
      <c r="A2434" s="2" t="s">
        <v>40</v>
      </c>
      <c r="B2434" s="14">
        <v>38292</v>
      </c>
      <c r="C2434" s="2">
        <v>0</v>
      </c>
      <c r="D2434" s="2">
        <v>0</v>
      </c>
      <c r="E2434" s="2">
        <v>1</v>
      </c>
      <c r="F2434" s="2">
        <v>1.8584646296882602E-2</v>
      </c>
      <c r="G2434" s="2">
        <v>2</v>
      </c>
    </row>
    <row r="2435" spans="1:7" x14ac:dyDescent="0.2">
      <c r="A2435" s="2" t="s">
        <v>40</v>
      </c>
      <c r="B2435" s="14">
        <v>38322</v>
      </c>
      <c r="C2435" s="2">
        <v>0</v>
      </c>
      <c r="D2435" s="2">
        <v>0</v>
      </c>
      <c r="E2435" s="2">
        <v>1</v>
      </c>
      <c r="F2435" s="2">
        <v>1.74779744227044E-2</v>
      </c>
      <c r="G2435" s="2">
        <v>2</v>
      </c>
    </row>
    <row r="2436" spans="1:7" x14ac:dyDescent="0.2">
      <c r="A2436" s="2" t="s">
        <v>40</v>
      </c>
      <c r="B2436" s="14">
        <v>38353</v>
      </c>
      <c r="C2436" s="2">
        <v>4.5662100438000003E-3</v>
      </c>
      <c r="D2436" s="2">
        <v>0</v>
      </c>
      <c r="E2436" s="2">
        <v>1</v>
      </c>
      <c r="F2436" s="2">
        <v>1.7127554370841701E-2</v>
      </c>
      <c r="G2436" s="2">
        <v>2</v>
      </c>
    </row>
    <row r="2437" spans="1:7" x14ac:dyDescent="0.2">
      <c r="A2437" s="2" t="s">
        <v>40</v>
      </c>
      <c r="B2437" s="14">
        <v>38384</v>
      </c>
      <c r="C2437" s="2">
        <v>0</v>
      </c>
      <c r="D2437" s="2">
        <v>0</v>
      </c>
      <c r="E2437" s="2">
        <v>1</v>
      </c>
      <c r="F2437" s="2">
        <v>1.3430282017217399E-2</v>
      </c>
      <c r="G2437" s="2">
        <v>2</v>
      </c>
    </row>
    <row r="2438" spans="1:7" x14ac:dyDescent="0.2">
      <c r="A2438" s="2" t="s">
        <v>40</v>
      </c>
      <c r="B2438" s="14">
        <v>38412</v>
      </c>
      <c r="C2438" s="2">
        <v>9.0909090923000004E-3</v>
      </c>
      <c r="D2438" s="2">
        <v>0</v>
      </c>
      <c r="E2438" s="2">
        <v>1</v>
      </c>
      <c r="F2438" s="2">
        <v>5.3334383125027002E-3</v>
      </c>
      <c r="G2438" s="2">
        <v>2</v>
      </c>
    </row>
    <row r="2439" spans="1:7" x14ac:dyDescent="0.2">
      <c r="A2439" s="2" t="s">
        <v>40</v>
      </c>
      <c r="B2439" s="14">
        <v>38443</v>
      </c>
      <c r="C2439" s="2">
        <v>-8.2906209464E-2</v>
      </c>
      <c r="D2439" s="2">
        <v>5.0654218000000001E-2</v>
      </c>
      <c r="E2439" s="2">
        <v>1</v>
      </c>
      <c r="F2439" s="2">
        <v>4.1670918011912604E-3</v>
      </c>
      <c r="G2439" s="2">
        <v>2</v>
      </c>
    </row>
    <row r="2440" spans="1:7" x14ac:dyDescent="0.2">
      <c r="A2440" s="2" t="s">
        <v>40</v>
      </c>
      <c r="B2440" s="14">
        <v>38473</v>
      </c>
      <c r="C2440" s="2">
        <v>-2.0398167328E-2</v>
      </c>
      <c r="D2440" s="2">
        <v>7.0364522999999998E-4</v>
      </c>
      <c r="E2440" s="2">
        <v>1</v>
      </c>
      <c r="F2440" s="2">
        <v>4.2588389313383303E-3</v>
      </c>
      <c r="G2440" s="2">
        <v>2</v>
      </c>
    </row>
    <row r="2441" spans="1:7" x14ac:dyDescent="0.2">
      <c r="A2441" s="2" t="s">
        <v>40</v>
      </c>
      <c r="B2441" s="14">
        <v>38504</v>
      </c>
      <c r="C2441" s="2">
        <v>5.1818841347999996E-3</v>
      </c>
      <c r="D2441" s="2">
        <v>0</v>
      </c>
      <c r="E2441" s="2">
        <v>1</v>
      </c>
      <c r="F2441" s="2">
        <v>3.73554696445278E-3</v>
      </c>
      <c r="G2441" s="2">
        <v>2</v>
      </c>
    </row>
    <row r="2442" spans="1:7" x14ac:dyDescent="0.2">
      <c r="A2442" s="2" t="s">
        <v>40</v>
      </c>
      <c r="B2442" s="14">
        <v>38534</v>
      </c>
      <c r="C2442" s="2">
        <v>-4.1666666667000002E-2</v>
      </c>
      <c r="D2442" s="2">
        <v>0</v>
      </c>
      <c r="E2442" s="2">
        <v>1</v>
      </c>
      <c r="F2442" s="2">
        <v>3.8872951538516001E-3</v>
      </c>
      <c r="G2442" s="2">
        <v>2</v>
      </c>
    </row>
    <row r="2443" spans="1:7" x14ac:dyDescent="0.2">
      <c r="A2443" s="2" t="s">
        <v>40</v>
      </c>
      <c r="B2443" s="14">
        <v>38565</v>
      </c>
      <c r="C2443" s="2">
        <v>-3.2608695652000003E-2</v>
      </c>
      <c r="D2443" s="2">
        <v>-2.3113408000000001E-3</v>
      </c>
      <c r="E2443" s="2">
        <v>1</v>
      </c>
      <c r="F2443" s="2">
        <v>-2.2009450101021701E-3</v>
      </c>
      <c r="G2443" s="2">
        <v>2</v>
      </c>
    </row>
    <row r="2444" spans="1:7" x14ac:dyDescent="0.2">
      <c r="A2444" s="2" t="s">
        <v>40</v>
      </c>
      <c r="B2444" s="14">
        <v>38596</v>
      </c>
      <c r="C2444" s="2">
        <v>-9.5804800211999996E-2</v>
      </c>
      <c r="D2444" s="2">
        <v>0</v>
      </c>
      <c r="E2444" s="2">
        <v>1</v>
      </c>
      <c r="F2444" s="2">
        <v>-4.0813635222956704E-3</v>
      </c>
      <c r="G2444" s="2">
        <v>2</v>
      </c>
    </row>
    <row r="2445" spans="1:7" x14ac:dyDescent="0.2">
      <c r="A2445" s="2" t="s">
        <v>40</v>
      </c>
      <c r="B2445" s="14">
        <v>38626</v>
      </c>
      <c r="C2445" s="2">
        <v>-5.6250000001E-2</v>
      </c>
      <c r="D2445" s="2">
        <v>0</v>
      </c>
      <c r="E2445" s="2">
        <v>1</v>
      </c>
      <c r="F2445" s="2">
        <v>-6.8590635102673296E-3</v>
      </c>
      <c r="G2445" s="2">
        <v>2</v>
      </c>
    </row>
    <row r="2446" spans="1:7" x14ac:dyDescent="0.2">
      <c r="A2446" s="2" t="s">
        <v>40</v>
      </c>
      <c r="B2446" s="14">
        <v>38657</v>
      </c>
      <c r="C2446" s="2">
        <v>-3.9735099337E-2</v>
      </c>
      <c r="D2446" s="2">
        <v>0</v>
      </c>
      <c r="E2446" s="2">
        <v>1</v>
      </c>
      <c r="F2446" s="2">
        <v>-6.00954046662097E-3</v>
      </c>
      <c r="G2446" s="2">
        <v>2</v>
      </c>
    </row>
    <row r="2447" spans="1:7" x14ac:dyDescent="0.2">
      <c r="A2447" s="2" t="s">
        <v>40</v>
      </c>
      <c r="B2447" s="14">
        <v>38687</v>
      </c>
      <c r="C2447" s="2">
        <v>-4.801462905E-2</v>
      </c>
      <c r="D2447" s="2">
        <v>0</v>
      </c>
      <c r="E2447" s="2">
        <v>1</v>
      </c>
      <c r="F2447" s="2">
        <v>-6.4904350798447204E-3</v>
      </c>
      <c r="G2447" s="2">
        <v>2</v>
      </c>
    </row>
    <row r="2448" spans="1:7" x14ac:dyDescent="0.2">
      <c r="A2448" s="2" t="s">
        <v>40</v>
      </c>
      <c r="B2448" s="14">
        <v>38718</v>
      </c>
      <c r="C2448" s="2">
        <v>-2.1912408759E-2</v>
      </c>
      <c r="D2448" s="2">
        <v>0</v>
      </c>
      <c r="E2448" s="2">
        <v>1</v>
      </c>
      <c r="F2448" s="2">
        <v>-7.9149944524017808E-3</v>
      </c>
      <c r="G2448" s="2">
        <v>2</v>
      </c>
    </row>
    <row r="2449" spans="1:7" x14ac:dyDescent="0.2">
      <c r="A2449" s="2" t="s">
        <v>40</v>
      </c>
      <c r="B2449" s="14">
        <v>38749</v>
      </c>
      <c r="C2449" s="2">
        <v>4.4791713307999997E-2</v>
      </c>
      <c r="D2449" s="2">
        <v>0</v>
      </c>
      <c r="E2449" s="2">
        <v>1</v>
      </c>
      <c r="F2449" s="2">
        <v>-7.3281537864275399E-3</v>
      </c>
      <c r="G2449" s="2">
        <v>2</v>
      </c>
    </row>
    <row r="2450" spans="1:7" x14ac:dyDescent="0.2">
      <c r="A2450" s="2" t="s">
        <v>40</v>
      </c>
      <c r="B2450" s="14">
        <v>38777</v>
      </c>
      <c r="C2450" s="2">
        <v>0.14285714285000001</v>
      </c>
      <c r="D2450" s="2">
        <v>1.1004497999999999E-3</v>
      </c>
      <c r="E2450" s="2">
        <v>1</v>
      </c>
      <c r="F2450" s="2">
        <v>-5.0730657240365103E-3</v>
      </c>
      <c r="G2450" s="2">
        <v>2</v>
      </c>
    </row>
    <row r="2451" spans="1:7" x14ac:dyDescent="0.2">
      <c r="A2451" s="2" t="s">
        <v>40</v>
      </c>
      <c r="B2451" s="14">
        <v>38808</v>
      </c>
      <c r="C2451" s="2">
        <v>-2.5000000001E-2</v>
      </c>
      <c r="D2451" s="2">
        <v>0</v>
      </c>
      <c r="E2451" s="2">
        <v>1</v>
      </c>
      <c r="F2451" s="2">
        <v>1.9720572878755799E-3</v>
      </c>
      <c r="G2451" s="2">
        <v>2</v>
      </c>
    </row>
    <row r="2452" spans="1:7" x14ac:dyDescent="0.2">
      <c r="A2452" s="2" t="s">
        <v>40</v>
      </c>
      <c r="B2452" s="14">
        <v>38838</v>
      </c>
      <c r="C2452" s="2">
        <v>-4.596059198E-2</v>
      </c>
      <c r="D2452" s="2">
        <v>0</v>
      </c>
      <c r="E2452" s="2">
        <v>1</v>
      </c>
      <c r="F2452" s="2">
        <v>2.87535094195662E-3</v>
      </c>
      <c r="G2452" s="2">
        <v>2</v>
      </c>
    </row>
    <row r="2453" spans="1:7" x14ac:dyDescent="0.2">
      <c r="A2453" s="2" t="s">
        <v>40</v>
      </c>
      <c r="B2453" s="14">
        <v>38869</v>
      </c>
      <c r="C2453" s="2">
        <v>-4.8546456149000002E-2</v>
      </c>
      <c r="D2453" s="2">
        <v>0</v>
      </c>
      <c r="E2453" s="2">
        <v>1</v>
      </c>
      <c r="F2453" s="2">
        <v>2.88940340313509E-3</v>
      </c>
      <c r="G2453" s="2">
        <v>2</v>
      </c>
    </row>
    <row r="2454" spans="1:7" x14ac:dyDescent="0.2">
      <c r="A2454" s="2" t="s">
        <v>40</v>
      </c>
      <c r="B2454" s="14">
        <v>38899</v>
      </c>
      <c r="C2454" s="2">
        <v>-9.5588235295000004E-2</v>
      </c>
      <c r="D2454" s="2">
        <v>0</v>
      </c>
      <c r="E2454" s="2">
        <v>1</v>
      </c>
      <c r="F2454" s="2">
        <v>3.0064459627185298E-3</v>
      </c>
      <c r="G2454" s="2">
        <v>2</v>
      </c>
    </row>
    <row r="2455" spans="1:7" x14ac:dyDescent="0.2">
      <c r="A2455" s="2" t="s">
        <v>40</v>
      </c>
      <c r="B2455" s="14">
        <v>38930</v>
      </c>
      <c r="C2455" s="2">
        <v>0.17886178861999999</v>
      </c>
      <c r="D2455" s="2">
        <v>0</v>
      </c>
      <c r="E2455" s="2">
        <v>1</v>
      </c>
      <c r="F2455" s="2">
        <v>1.6980102038448901E-2</v>
      </c>
      <c r="G2455" s="2">
        <v>2</v>
      </c>
    </row>
    <row r="2456" spans="1:7" x14ac:dyDescent="0.2">
      <c r="A2456" s="2" t="s">
        <v>40</v>
      </c>
      <c r="B2456" s="14">
        <v>38961</v>
      </c>
      <c r="C2456" s="2">
        <v>6.8493150684E-3</v>
      </c>
      <c r="D2456" s="2">
        <v>0</v>
      </c>
      <c r="E2456" s="2">
        <v>1</v>
      </c>
      <c r="F2456" s="2">
        <v>2.09108676939481E-2</v>
      </c>
      <c r="G2456" s="2">
        <v>2</v>
      </c>
    </row>
    <row r="2457" spans="1:7" x14ac:dyDescent="0.2">
      <c r="A2457" s="2" t="s">
        <v>40</v>
      </c>
      <c r="B2457" s="14">
        <v>38991</v>
      </c>
      <c r="C2457" s="2">
        <v>6.8965517238999997E-3</v>
      </c>
      <c r="D2457" s="19">
        <v>2.4104253E-5</v>
      </c>
      <c r="E2457" s="2">
        <v>1</v>
      </c>
      <c r="F2457" s="2">
        <v>1.6900480418475802E-2</v>
      </c>
      <c r="G2457" s="2">
        <v>2</v>
      </c>
    </row>
    <row r="2458" spans="1:7" x14ac:dyDescent="0.2">
      <c r="A2458" s="2" t="s">
        <v>40</v>
      </c>
      <c r="B2458" s="14">
        <v>39022</v>
      </c>
      <c r="C2458" s="2">
        <v>-6.8493150692999997E-3</v>
      </c>
      <c r="D2458" s="2">
        <v>0</v>
      </c>
      <c r="E2458" s="2">
        <v>1</v>
      </c>
      <c r="F2458" s="2">
        <v>1.7771502642520799E-2</v>
      </c>
      <c r="G2458" s="2">
        <v>2</v>
      </c>
    </row>
    <row r="2459" spans="1:7" x14ac:dyDescent="0.2">
      <c r="A2459" s="2" t="s">
        <v>40</v>
      </c>
      <c r="B2459" s="14">
        <v>39052</v>
      </c>
      <c r="C2459" s="2">
        <v>-4.7644487622000003E-3</v>
      </c>
      <c r="D2459" s="2">
        <v>1.2442478E-3</v>
      </c>
      <c r="E2459" s="2">
        <v>1</v>
      </c>
      <c r="F2459" s="2">
        <v>1.8896796517420399E-2</v>
      </c>
      <c r="G2459" s="2">
        <v>2</v>
      </c>
    </row>
    <row r="2460" spans="1:7" x14ac:dyDescent="0.2">
      <c r="A2460" s="2" t="s">
        <v>40</v>
      </c>
      <c r="B2460" s="14">
        <v>39083</v>
      </c>
      <c r="C2460" s="2">
        <v>4.6755059316999997E-2</v>
      </c>
      <c r="D2460" s="19">
        <v>8.9594220999999994E-5</v>
      </c>
      <c r="E2460" s="2">
        <v>1</v>
      </c>
      <c r="F2460" s="2">
        <v>2.0155534017531101E-2</v>
      </c>
      <c r="G2460" s="2">
        <v>2</v>
      </c>
    </row>
    <row r="2461" spans="1:7" x14ac:dyDescent="0.2">
      <c r="A2461" s="2" t="s">
        <v>40</v>
      </c>
      <c r="B2461" s="14">
        <v>39114</v>
      </c>
      <c r="C2461" s="2">
        <v>6.6666666668000002E-2</v>
      </c>
      <c r="D2461" s="2">
        <v>0</v>
      </c>
      <c r="E2461" s="2">
        <v>1</v>
      </c>
      <c r="F2461" s="2">
        <v>2.4161882556554E-2</v>
      </c>
      <c r="G2461" s="2">
        <v>2</v>
      </c>
    </row>
    <row r="2462" spans="1:7" x14ac:dyDescent="0.2">
      <c r="A2462" s="2" t="s">
        <v>40</v>
      </c>
      <c r="B2462" s="14">
        <v>39142</v>
      </c>
      <c r="C2462" s="2">
        <v>-1.2500000000999999E-2</v>
      </c>
      <c r="D2462" s="2">
        <v>0</v>
      </c>
      <c r="E2462" s="2">
        <v>1</v>
      </c>
      <c r="F2462" s="2">
        <v>2.0791656242769799E-2</v>
      </c>
      <c r="G2462" s="2">
        <v>2</v>
      </c>
    </row>
    <row r="2463" spans="1:7" x14ac:dyDescent="0.2">
      <c r="A2463" s="2" t="s">
        <v>40</v>
      </c>
      <c r="B2463" s="14">
        <v>39173</v>
      </c>
      <c r="C2463" s="2">
        <v>9.1057574520000004E-2</v>
      </c>
      <c r="D2463" s="2">
        <v>0</v>
      </c>
      <c r="E2463" s="2">
        <v>1</v>
      </c>
      <c r="F2463" s="2">
        <v>2.00720675284565E-2</v>
      </c>
      <c r="G2463" s="2">
        <v>2</v>
      </c>
    </row>
    <row r="2464" spans="1:7" x14ac:dyDescent="0.2">
      <c r="A2464" s="2" t="s">
        <v>40</v>
      </c>
      <c r="B2464" s="14">
        <v>39203</v>
      </c>
      <c r="C2464" s="2">
        <v>6.5868263472999997E-2</v>
      </c>
      <c r="D2464" s="2">
        <v>0</v>
      </c>
      <c r="E2464" s="2">
        <v>1</v>
      </c>
      <c r="F2464" s="2">
        <v>2.24405399767846E-2</v>
      </c>
      <c r="G2464" s="2">
        <v>2</v>
      </c>
    </row>
    <row r="2465" spans="1:7" x14ac:dyDescent="0.2">
      <c r="A2465" s="2" t="s">
        <v>40</v>
      </c>
      <c r="B2465" s="14">
        <v>39234</v>
      </c>
      <c r="C2465" s="2">
        <v>-5.5205559529000001E-3</v>
      </c>
      <c r="D2465" s="2">
        <v>0</v>
      </c>
      <c r="E2465" s="2">
        <v>1</v>
      </c>
      <c r="F2465" s="2">
        <v>2.43699471548166E-2</v>
      </c>
      <c r="G2465" s="2">
        <v>2</v>
      </c>
    </row>
    <row r="2466" spans="1:7" x14ac:dyDescent="0.2">
      <c r="A2466" s="2" t="s">
        <v>40</v>
      </c>
      <c r="B2466" s="14">
        <v>39264</v>
      </c>
      <c r="C2466" s="2">
        <v>-4.5454545452999998E-2</v>
      </c>
      <c r="D2466" s="2">
        <v>0</v>
      </c>
      <c r="E2466" s="2">
        <v>1</v>
      </c>
      <c r="F2466" s="2">
        <v>2.4317707437096901E-2</v>
      </c>
      <c r="G2466" s="2">
        <v>2</v>
      </c>
    </row>
    <row r="2467" spans="1:7" x14ac:dyDescent="0.2">
      <c r="A2467" s="2" t="s">
        <v>40</v>
      </c>
      <c r="B2467" s="14">
        <v>39295</v>
      </c>
      <c r="C2467" s="2">
        <v>-1.1904761905E-2</v>
      </c>
      <c r="D2467" s="2">
        <v>0</v>
      </c>
      <c r="E2467" s="2">
        <v>1</v>
      </c>
      <c r="F2467" s="2">
        <v>2.1041931935621299E-2</v>
      </c>
      <c r="G2467" s="2">
        <v>2</v>
      </c>
    </row>
    <row r="2468" spans="1:7" x14ac:dyDescent="0.2">
      <c r="A2468" s="2" t="s">
        <v>40</v>
      </c>
      <c r="B2468" s="14">
        <v>39326</v>
      </c>
      <c r="C2468" s="2">
        <v>2.4242424241999998E-3</v>
      </c>
      <c r="D2468" s="2">
        <v>0</v>
      </c>
      <c r="E2468" s="2">
        <v>1</v>
      </c>
      <c r="F2468" s="2">
        <v>1.84234983405781E-2</v>
      </c>
      <c r="G2468" s="2">
        <v>2</v>
      </c>
    </row>
    <row r="2469" spans="1:7" x14ac:dyDescent="0.2">
      <c r="A2469" s="2" t="s">
        <v>40</v>
      </c>
      <c r="B2469" s="14">
        <v>39356</v>
      </c>
      <c r="C2469" s="2">
        <v>-1.4510278114E-2</v>
      </c>
      <c r="D2469" s="2">
        <v>0</v>
      </c>
      <c r="E2469" s="2">
        <v>1</v>
      </c>
      <c r="F2469" s="2">
        <v>1.8865034553838901E-2</v>
      </c>
      <c r="G2469" s="2">
        <v>2</v>
      </c>
    </row>
    <row r="2470" spans="1:7" x14ac:dyDescent="0.2">
      <c r="A2470" s="2" t="s">
        <v>40</v>
      </c>
      <c r="B2470" s="14">
        <v>39387</v>
      </c>
      <c r="C2470" s="2">
        <v>-3.0674846626000001E-2</v>
      </c>
      <c r="D2470" s="2">
        <v>0</v>
      </c>
      <c r="E2470" s="2">
        <v>1</v>
      </c>
      <c r="F2470" s="2">
        <v>1.5864958194203999E-2</v>
      </c>
      <c r="G2470" s="2">
        <v>2</v>
      </c>
    </row>
    <row r="2471" spans="1:7" x14ac:dyDescent="0.2">
      <c r="A2471" s="2" t="s">
        <v>40</v>
      </c>
      <c r="B2471" s="14">
        <v>39417</v>
      </c>
      <c r="C2471" s="2">
        <v>-5.6918970120000002E-2</v>
      </c>
      <c r="D2471" s="2">
        <v>0</v>
      </c>
      <c r="E2471" s="2">
        <v>1</v>
      </c>
      <c r="F2471" s="2">
        <v>1.31769401781523E-2</v>
      </c>
      <c r="G2471" s="2">
        <v>2</v>
      </c>
    </row>
    <row r="2472" spans="1:7" x14ac:dyDescent="0.2">
      <c r="A2472" s="2" t="s">
        <v>40</v>
      </c>
      <c r="B2472" s="14">
        <v>39448</v>
      </c>
      <c r="C2472" s="2">
        <v>-0.25482432433000002</v>
      </c>
      <c r="D2472" s="19">
        <v>8.8035988000000003E-5</v>
      </c>
      <c r="E2472" s="2">
        <v>1</v>
      </c>
      <c r="F2472" s="2">
        <v>1.19201346540581E-2</v>
      </c>
      <c r="G2472" s="2">
        <v>2</v>
      </c>
    </row>
    <row r="2473" spans="1:7" x14ac:dyDescent="0.2">
      <c r="A2473" s="2" t="s">
        <v>40</v>
      </c>
      <c r="B2473" s="14">
        <v>39479</v>
      </c>
      <c r="C2473" s="2">
        <v>-2.5932575289999999E-3</v>
      </c>
      <c r="D2473" s="2">
        <v>1.8082063E-3</v>
      </c>
      <c r="E2473" s="2">
        <v>1</v>
      </c>
      <c r="F2473" s="2">
        <v>7.2915397404728502E-3</v>
      </c>
      <c r="G2473" s="2">
        <v>2</v>
      </c>
    </row>
    <row r="2474" spans="1:7" x14ac:dyDescent="0.2">
      <c r="A2474" s="2" t="s">
        <v>40</v>
      </c>
      <c r="B2474" s="14">
        <v>39508</v>
      </c>
      <c r="C2474" s="2">
        <v>-2.0000000000999999E-2</v>
      </c>
      <c r="D2474" s="19">
        <v>2.8365193000000002E-5</v>
      </c>
      <c r="E2474" s="2">
        <v>1</v>
      </c>
      <c r="F2474" s="2">
        <v>7.4950787482462797E-3</v>
      </c>
      <c r="G2474" s="2">
        <v>2</v>
      </c>
    </row>
    <row r="2475" spans="1:7" x14ac:dyDescent="0.2">
      <c r="A2475" s="2" t="s">
        <v>40</v>
      </c>
      <c r="B2475" s="14">
        <v>39539</v>
      </c>
      <c r="D2475" s="2">
        <v>0</v>
      </c>
      <c r="E2475" s="2">
        <v>1</v>
      </c>
      <c r="F2475" s="2">
        <v>6.8921213815588403E-3</v>
      </c>
      <c r="G2475" s="2">
        <v>2</v>
      </c>
    </row>
    <row r="2476" spans="1:7" x14ac:dyDescent="0.2">
      <c r="A2476" s="2" t="s">
        <v>40</v>
      </c>
      <c r="B2476" s="14">
        <v>39569</v>
      </c>
      <c r="C2476" s="2">
        <v>-3.2518796992999997E-2</v>
      </c>
      <c r="D2476" s="19">
        <v>8.8035988000000003E-5</v>
      </c>
      <c r="E2476" s="2">
        <v>1</v>
      </c>
      <c r="G2476" s="2">
        <v>2</v>
      </c>
    </row>
    <row r="2477" spans="1:7" x14ac:dyDescent="0.2">
      <c r="A2477" s="2" t="s">
        <v>40</v>
      </c>
      <c r="B2477" s="14">
        <v>39600</v>
      </c>
      <c r="C2477" s="2">
        <v>-0.10627550029000001</v>
      </c>
      <c r="D2477" s="2">
        <v>0</v>
      </c>
      <c r="E2477" s="2">
        <v>1</v>
      </c>
      <c r="F2477" s="2">
        <v>7.1466125591192796E-3</v>
      </c>
      <c r="G2477" s="2">
        <v>2</v>
      </c>
    </row>
    <row r="2478" spans="1:7" x14ac:dyDescent="0.2">
      <c r="A2478" s="2" t="s">
        <v>40</v>
      </c>
      <c r="B2478" s="14">
        <v>39630</v>
      </c>
      <c r="C2478" s="2">
        <v>-2.1739130435999999E-2</v>
      </c>
      <c r="D2478" s="2">
        <v>1.071868E-2</v>
      </c>
      <c r="E2478" s="2">
        <v>1</v>
      </c>
      <c r="F2478" s="2">
        <v>5.9978581202256498E-3</v>
      </c>
      <c r="G2478" s="2">
        <v>2</v>
      </c>
    </row>
    <row r="2479" spans="1:7" x14ac:dyDescent="0.2">
      <c r="A2479" s="2" t="s">
        <v>40</v>
      </c>
      <c r="B2479" s="14">
        <v>39661</v>
      </c>
      <c r="C2479" s="2">
        <v>1.5801354401999999E-2</v>
      </c>
      <c r="D2479" s="2">
        <v>0</v>
      </c>
      <c r="E2479" s="2">
        <v>1</v>
      </c>
      <c r="F2479" s="2">
        <v>1.23432912685626E-2</v>
      </c>
      <c r="G2479" s="2">
        <v>2</v>
      </c>
    </row>
    <row r="2480" spans="1:7" x14ac:dyDescent="0.2">
      <c r="A2480" s="2" t="s">
        <v>40</v>
      </c>
      <c r="B2480" s="14">
        <v>39692</v>
      </c>
      <c r="C2480" s="2">
        <v>-9.7574732092999994E-2</v>
      </c>
      <c r="D2480" s="2">
        <v>0</v>
      </c>
      <c r="E2480" s="2">
        <v>1</v>
      </c>
      <c r="F2480" s="2">
        <v>1.28739938891892E-2</v>
      </c>
      <c r="G2480" s="2">
        <v>2</v>
      </c>
    </row>
    <row r="2481" spans="1:7" x14ac:dyDescent="0.2">
      <c r="A2481" s="2" t="s">
        <v>40</v>
      </c>
      <c r="B2481" s="14">
        <v>39722</v>
      </c>
      <c r="C2481" s="2">
        <v>-9.9999999999E-2</v>
      </c>
      <c r="D2481" s="2">
        <v>0</v>
      </c>
      <c r="E2481" s="2">
        <v>1</v>
      </c>
      <c r="F2481" s="2">
        <v>1.0889878509671699E-2</v>
      </c>
      <c r="G2481" s="2">
        <v>2</v>
      </c>
    </row>
    <row r="2482" spans="1:7" x14ac:dyDescent="0.2">
      <c r="A2482" s="2" t="s">
        <v>40</v>
      </c>
      <c r="B2482" s="14">
        <v>39753</v>
      </c>
      <c r="C2482" s="2">
        <v>8.3333333334000004E-2</v>
      </c>
      <c r="D2482" s="2">
        <v>0</v>
      </c>
      <c r="E2482" s="2">
        <v>1</v>
      </c>
      <c r="F2482" s="2">
        <v>8.2337906247918098E-3</v>
      </c>
      <c r="G2482" s="2">
        <v>2</v>
      </c>
    </row>
    <row r="2483" spans="1:7" x14ac:dyDescent="0.2">
      <c r="A2483" s="2" t="s">
        <v>40</v>
      </c>
      <c r="B2483" s="14">
        <v>39783</v>
      </c>
      <c r="C2483" s="2">
        <v>2.3990890686000001E-2</v>
      </c>
      <c r="D2483" s="19">
        <v>-7.4830590000000001E-5</v>
      </c>
      <c r="E2483" s="2">
        <v>1</v>
      </c>
      <c r="F2483" s="2">
        <v>1.16234143265293E-2</v>
      </c>
      <c r="G2483" s="2">
        <v>2</v>
      </c>
    </row>
    <row r="2484" spans="1:7" x14ac:dyDescent="0.2">
      <c r="A2484" s="2" t="s">
        <v>41</v>
      </c>
      <c r="B2484" s="14">
        <v>37591</v>
      </c>
      <c r="C2484" s="2">
        <v>0</v>
      </c>
      <c r="D2484" s="19">
        <v>1.5913241000000001E-5</v>
      </c>
      <c r="E2484" s="2">
        <v>1</v>
      </c>
      <c r="G2484" s="2">
        <v>2</v>
      </c>
    </row>
    <row r="2485" spans="1:7" x14ac:dyDescent="0.2">
      <c r="A2485" s="2" t="s">
        <v>41</v>
      </c>
      <c r="B2485" s="14">
        <v>37622</v>
      </c>
      <c r="C2485" s="2">
        <v>3.5891842545000001E-3</v>
      </c>
      <c r="D2485" s="2">
        <v>2.3557077000000001E-4</v>
      </c>
      <c r="E2485" s="2">
        <v>1</v>
      </c>
      <c r="G2485" s="2">
        <v>2</v>
      </c>
    </row>
    <row r="2486" spans="1:7" x14ac:dyDescent="0.2">
      <c r="A2486" s="2" t="s">
        <v>41</v>
      </c>
      <c r="B2486" s="14">
        <v>37653</v>
      </c>
      <c r="C2486" s="19">
        <v>-4.7102561438999997E-5</v>
      </c>
      <c r="D2486" s="19">
        <v>1.1689498E-5</v>
      </c>
      <c r="E2486" s="2">
        <v>1</v>
      </c>
      <c r="G2486" s="2">
        <v>2</v>
      </c>
    </row>
    <row r="2487" spans="1:7" x14ac:dyDescent="0.2">
      <c r="A2487" s="2" t="s">
        <v>41</v>
      </c>
      <c r="B2487" s="14">
        <v>37681</v>
      </c>
      <c r="C2487" s="2">
        <v>0</v>
      </c>
      <c r="D2487" s="2">
        <v>0</v>
      </c>
      <c r="E2487" s="2">
        <v>1</v>
      </c>
      <c r="G2487" s="2">
        <v>2</v>
      </c>
    </row>
    <row r="2488" spans="1:7" x14ac:dyDescent="0.2">
      <c r="A2488" s="2" t="s">
        <v>41</v>
      </c>
      <c r="B2488" s="14">
        <v>37712</v>
      </c>
      <c r="C2488" s="2">
        <v>5.0072377639E-2</v>
      </c>
      <c r="D2488" s="2">
        <v>0</v>
      </c>
      <c r="E2488" s="2">
        <v>1</v>
      </c>
      <c r="G2488" s="2">
        <v>2</v>
      </c>
    </row>
    <row r="2489" spans="1:7" x14ac:dyDescent="0.2">
      <c r="A2489" s="2" t="s">
        <v>41</v>
      </c>
      <c r="B2489" s="14">
        <v>37742</v>
      </c>
      <c r="C2489" s="2">
        <v>3.8636363634999997E-2</v>
      </c>
      <c r="D2489" s="2">
        <v>0</v>
      </c>
      <c r="E2489" s="2">
        <v>1</v>
      </c>
      <c r="G2489" s="2">
        <v>2</v>
      </c>
    </row>
    <row r="2490" spans="1:7" x14ac:dyDescent="0.2">
      <c r="A2490" s="2" t="s">
        <v>41</v>
      </c>
      <c r="B2490" s="14">
        <v>37773</v>
      </c>
      <c r="C2490" s="2">
        <v>3.0634573304000001E-2</v>
      </c>
      <c r="D2490" s="2">
        <v>0</v>
      </c>
      <c r="E2490" s="2">
        <v>1</v>
      </c>
      <c r="G2490" s="2">
        <v>2</v>
      </c>
    </row>
    <row r="2491" spans="1:7" x14ac:dyDescent="0.2">
      <c r="A2491" s="2" t="s">
        <v>41</v>
      </c>
      <c r="B2491" s="14">
        <v>37803</v>
      </c>
      <c r="C2491" s="2">
        <v>5.6312164932000003E-2</v>
      </c>
      <c r="D2491" s="19">
        <v>3.7214611000000002E-6</v>
      </c>
      <c r="E2491" s="2">
        <v>1</v>
      </c>
      <c r="G2491" s="2">
        <v>2</v>
      </c>
    </row>
    <row r="2492" spans="1:7" x14ac:dyDescent="0.2">
      <c r="A2492" s="2" t="s">
        <v>41</v>
      </c>
      <c r="B2492" s="14">
        <v>37834</v>
      </c>
      <c r="C2492" s="2">
        <v>0.10889114872</v>
      </c>
      <c r="D2492" s="19">
        <v>6.9406392E-6</v>
      </c>
      <c r="E2492" s="2">
        <v>1</v>
      </c>
      <c r="F2492" s="2">
        <v>2.9674829774082999E-2</v>
      </c>
      <c r="G2492" s="2">
        <v>2</v>
      </c>
    </row>
    <row r="2493" spans="1:7" x14ac:dyDescent="0.2">
      <c r="A2493" s="2" t="s">
        <v>41</v>
      </c>
      <c r="B2493" s="14">
        <v>37865</v>
      </c>
      <c r="C2493" s="2">
        <v>1.8181487287E-2</v>
      </c>
      <c r="D2493" s="19">
        <v>5.0936073000000001E-5</v>
      </c>
      <c r="E2493" s="2">
        <v>1</v>
      </c>
      <c r="F2493" s="2">
        <v>3.28262819300352E-2</v>
      </c>
      <c r="G2493" s="2">
        <v>2</v>
      </c>
    </row>
    <row r="2494" spans="1:7" x14ac:dyDescent="0.2">
      <c r="A2494" s="2" t="s">
        <v>41</v>
      </c>
      <c r="B2494" s="14">
        <v>37895</v>
      </c>
      <c r="C2494" s="2">
        <v>3.7663756070999997E-2</v>
      </c>
      <c r="D2494" s="2">
        <v>1.5709361E-3</v>
      </c>
      <c r="E2494" s="2">
        <v>1</v>
      </c>
      <c r="F2494" s="2">
        <v>3.3275217446759403E-2</v>
      </c>
      <c r="G2494" s="2">
        <v>2</v>
      </c>
    </row>
    <row r="2495" spans="1:7" x14ac:dyDescent="0.2">
      <c r="A2495" s="2" t="s">
        <v>41</v>
      </c>
      <c r="B2495" s="14">
        <v>37926</v>
      </c>
      <c r="C2495" s="2">
        <v>1.7241379309999999E-2</v>
      </c>
      <c r="D2495" s="2">
        <v>1.3029679999999999E-4</v>
      </c>
      <c r="E2495" s="2">
        <v>1</v>
      </c>
      <c r="F2495" s="2">
        <v>3.2799625484415999E-2</v>
      </c>
      <c r="G2495" s="2">
        <v>2</v>
      </c>
    </row>
    <row r="2496" spans="1:7" x14ac:dyDescent="0.2">
      <c r="A2496" s="2" t="s">
        <v>41</v>
      </c>
      <c r="B2496" s="14">
        <v>37956</v>
      </c>
      <c r="C2496" s="2">
        <v>8.4745762706E-3</v>
      </c>
      <c r="D2496" s="2">
        <v>1.5172146E-3</v>
      </c>
      <c r="E2496" s="2">
        <v>1</v>
      </c>
      <c r="F2496" s="2">
        <v>3.2118635705185999E-2</v>
      </c>
      <c r="G2496" s="2">
        <v>2</v>
      </c>
    </row>
    <row r="2497" spans="1:7" x14ac:dyDescent="0.2">
      <c r="A2497" s="2" t="s">
        <v>41</v>
      </c>
      <c r="B2497" s="14">
        <v>37987</v>
      </c>
      <c r="C2497" s="2">
        <v>0</v>
      </c>
      <c r="E2497" s="2">
        <v>1</v>
      </c>
      <c r="F2497" s="2">
        <v>3.1446451821186598E-2</v>
      </c>
      <c r="G2497" s="2">
        <v>2</v>
      </c>
    </row>
    <row r="2498" spans="1:7" x14ac:dyDescent="0.2">
      <c r="A2498" s="2" t="s">
        <v>41</v>
      </c>
      <c r="B2498" s="14">
        <v>38018</v>
      </c>
      <c r="C2498" s="2">
        <v>1.8521636648E-3</v>
      </c>
      <c r="E2498" s="2">
        <v>1</v>
      </c>
      <c r="F2498" s="2">
        <v>2.9829387216879801E-2</v>
      </c>
      <c r="G2498" s="2">
        <v>2</v>
      </c>
    </row>
    <row r="2499" spans="1:7" x14ac:dyDescent="0.2">
      <c r="A2499" s="2" t="s">
        <v>41</v>
      </c>
      <c r="B2499" s="14">
        <v>38047</v>
      </c>
      <c r="C2499" s="2">
        <v>8.4033613456999997E-3</v>
      </c>
      <c r="D2499" s="2">
        <v>2.5015981999999999E-4</v>
      </c>
      <c r="E2499" s="2">
        <v>1</v>
      </c>
      <c r="F2499" s="2">
        <v>2.67296820103094E-2</v>
      </c>
      <c r="G2499" s="2">
        <v>2</v>
      </c>
    </row>
    <row r="2500" spans="1:7" x14ac:dyDescent="0.2">
      <c r="A2500" s="2" t="s">
        <v>41</v>
      </c>
      <c r="B2500" s="14">
        <v>38078</v>
      </c>
      <c r="C2500" s="2">
        <v>-4.7242016363000003E-2</v>
      </c>
      <c r="D2500" s="2">
        <v>0</v>
      </c>
      <c r="E2500" s="2">
        <v>1</v>
      </c>
      <c r="F2500" s="2">
        <v>2.6415769790279101E-2</v>
      </c>
      <c r="G2500" s="2">
        <v>2</v>
      </c>
    </row>
    <row r="2501" spans="1:7" x14ac:dyDescent="0.2">
      <c r="A2501" s="2" t="s">
        <v>41</v>
      </c>
      <c r="B2501" s="14">
        <v>38108</v>
      </c>
      <c r="C2501" s="2">
        <v>0</v>
      </c>
      <c r="D2501" s="19">
        <v>4.8424658999999999E-5</v>
      </c>
      <c r="E2501" s="2">
        <v>1</v>
      </c>
      <c r="F2501" s="2">
        <v>2.4205551628953E-2</v>
      </c>
      <c r="G2501" s="2">
        <v>2</v>
      </c>
    </row>
    <row r="2502" spans="1:7" x14ac:dyDescent="0.2">
      <c r="A2502" s="2" t="s">
        <v>41</v>
      </c>
      <c r="B2502" s="14">
        <v>38139</v>
      </c>
      <c r="C2502" s="2">
        <v>0</v>
      </c>
      <c r="D2502" s="2">
        <v>-4.1456621999999999E-4</v>
      </c>
      <c r="E2502" s="2">
        <v>1</v>
      </c>
      <c r="F2502" s="2">
        <v>2.3711515228714501E-2</v>
      </c>
      <c r="G2502" s="2">
        <v>2</v>
      </c>
    </row>
    <row r="2503" spans="1:7" x14ac:dyDescent="0.2">
      <c r="A2503" s="2" t="s">
        <v>41</v>
      </c>
      <c r="B2503" s="14">
        <v>38169</v>
      </c>
      <c r="C2503" s="2">
        <v>-5.0131926122999999E-2</v>
      </c>
      <c r="D2503" s="2">
        <v>1.8264841000000001E-4</v>
      </c>
      <c r="E2503" s="2">
        <v>1</v>
      </c>
      <c r="F2503" s="2">
        <v>2.3471433930205499E-2</v>
      </c>
      <c r="G2503" s="2">
        <v>2</v>
      </c>
    </row>
    <row r="2504" spans="1:7" x14ac:dyDescent="0.2">
      <c r="A2504" s="2" t="s">
        <v>41</v>
      </c>
      <c r="B2504" s="14">
        <v>38200</v>
      </c>
      <c r="C2504" s="2">
        <v>1.4814814815000001E-2</v>
      </c>
      <c r="D2504" s="2">
        <v>0</v>
      </c>
      <c r="E2504" s="2">
        <v>1</v>
      </c>
      <c r="F2504" s="2">
        <v>1.49004946311725E-2</v>
      </c>
      <c r="G2504" s="2">
        <v>2</v>
      </c>
    </row>
    <row r="2505" spans="1:7" x14ac:dyDescent="0.2">
      <c r="A2505" s="2" t="s">
        <v>41</v>
      </c>
      <c r="B2505" s="14">
        <v>38231</v>
      </c>
      <c r="C2505" s="2">
        <v>4.01459854E-2</v>
      </c>
      <c r="D2505" s="2">
        <v>0</v>
      </c>
      <c r="E2505" s="2">
        <v>1</v>
      </c>
      <c r="F2505" s="2">
        <v>1.49632655798328E-2</v>
      </c>
      <c r="G2505" s="2">
        <v>2</v>
      </c>
    </row>
    <row r="2506" spans="1:7" x14ac:dyDescent="0.2">
      <c r="A2506" s="2" t="s">
        <v>41</v>
      </c>
      <c r="B2506" s="14">
        <v>38261</v>
      </c>
      <c r="C2506" s="2">
        <v>3.7726005754000001E-2</v>
      </c>
      <c r="D2506" s="2">
        <v>0</v>
      </c>
      <c r="E2506" s="2">
        <v>1</v>
      </c>
      <c r="F2506" s="2">
        <v>1.5829540057552299E-2</v>
      </c>
      <c r="G2506" s="2">
        <v>2</v>
      </c>
    </row>
    <row r="2507" spans="1:7" x14ac:dyDescent="0.2">
      <c r="A2507" s="2" t="s">
        <v>41</v>
      </c>
      <c r="B2507" s="14">
        <v>38292</v>
      </c>
      <c r="C2507" s="2">
        <v>0</v>
      </c>
      <c r="D2507" s="2">
        <v>0</v>
      </c>
      <c r="E2507" s="2">
        <v>1</v>
      </c>
      <c r="F2507" s="2">
        <v>1.8206008985168401E-2</v>
      </c>
      <c r="G2507" s="2">
        <v>2</v>
      </c>
    </row>
    <row r="2508" spans="1:7" x14ac:dyDescent="0.2">
      <c r="A2508" s="2" t="s">
        <v>41</v>
      </c>
      <c r="B2508" s="14">
        <v>38322</v>
      </c>
      <c r="C2508" s="2">
        <v>0</v>
      </c>
      <c r="D2508" s="2">
        <v>0</v>
      </c>
      <c r="E2508" s="2">
        <v>1</v>
      </c>
      <c r="F2508" s="2">
        <v>1.8198786735842899E-2</v>
      </c>
      <c r="G2508" s="2">
        <v>2</v>
      </c>
    </row>
    <row r="2509" spans="1:7" x14ac:dyDescent="0.2">
      <c r="A2509" s="2" t="s">
        <v>41</v>
      </c>
      <c r="B2509" s="14">
        <v>38353</v>
      </c>
      <c r="C2509" s="2">
        <v>2.5488530155E-3</v>
      </c>
      <c r="D2509" s="19">
        <v>8.5479448999999994E-5</v>
      </c>
      <c r="E2509" s="2">
        <v>1</v>
      </c>
      <c r="F2509" s="2">
        <v>1.8196967201741202E-2</v>
      </c>
      <c r="G2509" s="2">
        <v>2</v>
      </c>
    </row>
    <row r="2510" spans="1:7" x14ac:dyDescent="0.2">
      <c r="A2510" s="2" t="s">
        <v>41</v>
      </c>
      <c r="B2510" s="14">
        <v>38384</v>
      </c>
      <c r="C2510" s="2">
        <v>-0.14389830508000001</v>
      </c>
      <c r="D2510" s="2">
        <v>0</v>
      </c>
      <c r="E2510" s="2">
        <v>1</v>
      </c>
      <c r="F2510" s="2">
        <v>1.9719068632559199E-2</v>
      </c>
      <c r="G2510" s="2">
        <v>2</v>
      </c>
    </row>
    <row r="2511" spans="1:7" x14ac:dyDescent="0.2">
      <c r="A2511" s="2" t="s">
        <v>41</v>
      </c>
      <c r="B2511" s="14">
        <v>38412</v>
      </c>
      <c r="C2511" s="2">
        <v>0.14828746781999999</v>
      </c>
      <c r="D2511" s="19">
        <v>-4.8812783999999997E-5</v>
      </c>
      <c r="E2511" s="2">
        <v>1</v>
      </c>
      <c r="F2511" s="2">
        <v>1.5911382334575501E-2</v>
      </c>
      <c r="G2511" s="2">
        <v>2</v>
      </c>
    </row>
    <row r="2512" spans="1:7" x14ac:dyDescent="0.2">
      <c r="A2512" s="2" t="s">
        <v>41</v>
      </c>
      <c r="B2512" s="14">
        <v>38443</v>
      </c>
      <c r="C2512" s="2">
        <v>6.8965517238999997E-3</v>
      </c>
      <c r="D2512" s="2">
        <v>0</v>
      </c>
      <c r="E2512" s="2">
        <v>1</v>
      </c>
      <c r="F2512" s="2">
        <v>1.9061394358487999E-2</v>
      </c>
      <c r="G2512" s="2">
        <v>2</v>
      </c>
    </row>
    <row r="2513" spans="1:7" x14ac:dyDescent="0.2">
      <c r="A2513" s="2" t="s">
        <v>41</v>
      </c>
      <c r="B2513" s="14">
        <v>38473</v>
      </c>
      <c r="C2513" s="2">
        <v>2.3333743822E-2</v>
      </c>
      <c r="D2513" s="2">
        <v>1.1415525E-4</v>
      </c>
      <c r="E2513" s="2">
        <v>1</v>
      </c>
      <c r="F2513" s="2">
        <v>1.8153190198026799E-2</v>
      </c>
      <c r="G2513" s="2">
        <v>2</v>
      </c>
    </row>
    <row r="2514" spans="1:7" x14ac:dyDescent="0.2">
      <c r="A2514" s="2" t="s">
        <v>41</v>
      </c>
      <c r="B2514" s="14">
        <v>38504</v>
      </c>
      <c r="C2514" s="2">
        <v>3.3898305086000002E-2</v>
      </c>
      <c r="D2514" s="2">
        <v>7.3356164000000002E-4</v>
      </c>
      <c r="E2514" s="2">
        <v>1</v>
      </c>
      <c r="F2514" s="2">
        <v>1.87784373745471E-2</v>
      </c>
      <c r="G2514" s="2">
        <v>2</v>
      </c>
    </row>
    <row r="2515" spans="1:7" x14ac:dyDescent="0.2">
      <c r="A2515" s="2" t="s">
        <v>41</v>
      </c>
      <c r="B2515" s="14">
        <v>38534</v>
      </c>
      <c r="C2515" s="2">
        <v>2.7946736809000001E-3</v>
      </c>
      <c r="D2515" s="19">
        <v>9.1324200000000006E-6</v>
      </c>
      <c r="E2515" s="2">
        <v>1</v>
      </c>
      <c r="F2515" s="2">
        <v>1.9689650786917E-2</v>
      </c>
      <c r="G2515" s="2">
        <v>2</v>
      </c>
    </row>
    <row r="2516" spans="1:7" x14ac:dyDescent="0.2">
      <c r="A2516" s="2" t="s">
        <v>41</v>
      </c>
      <c r="B2516" s="14">
        <v>38565</v>
      </c>
      <c r="C2516" s="2">
        <v>0</v>
      </c>
      <c r="D2516" s="2">
        <v>0</v>
      </c>
      <c r="E2516" s="2">
        <v>1</v>
      </c>
      <c r="F2516" s="2">
        <v>2.1781004302819498E-2</v>
      </c>
      <c r="G2516" s="2">
        <v>2</v>
      </c>
    </row>
    <row r="2517" spans="1:7" x14ac:dyDescent="0.2">
      <c r="A2517" s="2" t="s">
        <v>41</v>
      </c>
      <c r="B2517" s="14">
        <v>38596</v>
      </c>
      <c r="D2517" s="2">
        <v>0</v>
      </c>
      <c r="E2517" s="2">
        <v>1</v>
      </c>
      <c r="F2517" s="2">
        <v>2.5940635638465499E-2</v>
      </c>
      <c r="G2517" s="2">
        <v>2</v>
      </c>
    </row>
    <row r="2518" spans="1:7" x14ac:dyDescent="0.2">
      <c r="A2518" s="2" t="s">
        <v>41</v>
      </c>
      <c r="B2518" s="14">
        <v>38626</v>
      </c>
      <c r="C2518" s="2">
        <v>-2.9452947047E-3</v>
      </c>
      <c r="D2518" s="2">
        <v>0</v>
      </c>
      <c r="E2518" s="2">
        <v>1</v>
      </c>
      <c r="G2518" s="2">
        <v>2</v>
      </c>
    </row>
    <row r="2519" spans="1:7" x14ac:dyDescent="0.2">
      <c r="A2519" s="2" t="s">
        <v>41</v>
      </c>
      <c r="B2519" s="14">
        <v>38657</v>
      </c>
      <c r="C2519" s="2">
        <v>-4.5342126959000001E-2</v>
      </c>
      <c r="D2519" s="2">
        <v>0</v>
      </c>
      <c r="E2519" s="2">
        <v>1</v>
      </c>
      <c r="F2519" s="2">
        <v>2.1422204609650299E-2</v>
      </c>
      <c r="G2519" s="2">
        <v>2</v>
      </c>
    </row>
    <row r="2520" spans="1:7" x14ac:dyDescent="0.2">
      <c r="A2520" s="2" t="s">
        <v>41</v>
      </c>
      <c r="B2520" s="14">
        <v>38687</v>
      </c>
      <c r="C2520" s="2">
        <v>-6.7357512953000007E-2</v>
      </c>
      <c r="D2520" s="2">
        <v>0</v>
      </c>
      <c r="E2520" s="2">
        <v>1</v>
      </c>
      <c r="F2520" s="2">
        <v>1.9577858846867E-2</v>
      </c>
      <c r="G2520" s="2">
        <v>2</v>
      </c>
    </row>
    <row r="2521" spans="1:7" x14ac:dyDescent="0.2">
      <c r="A2521" s="2" t="s">
        <v>41</v>
      </c>
      <c r="B2521" s="14">
        <v>38718</v>
      </c>
      <c r="C2521" s="2">
        <v>3.1580902851000001E-3</v>
      </c>
      <c r="D2521" s="2">
        <v>0</v>
      </c>
      <c r="E2521" s="2">
        <v>1</v>
      </c>
      <c r="F2521" s="2">
        <v>1.6870758244329698E-2</v>
      </c>
      <c r="G2521" s="2">
        <v>2</v>
      </c>
    </row>
    <row r="2522" spans="1:7" x14ac:dyDescent="0.2">
      <c r="A2522" s="2" t="s">
        <v>41</v>
      </c>
      <c r="B2522" s="14">
        <v>38749</v>
      </c>
      <c r="C2522" s="2">
        <v>9.2592592591000007E-3</v>
      </c>
      <c r="D2522" s="2">
        <v>0</v>
      </c>
      <c r="E2522" s="2">
        <v>1</v>
      </c>
      <c r="F2522" s="2">
        <v>1.6881363632165799E-2</v>
      </c>
      <c r="G2522" s="2">
        <v>2</v>
      </c>
    </row>
    <row r="2523" spans="1:7" x14ac:dyDescent="0.2">
      <c r="A2523" s="2" t="s">
        <v>41</v>
      </c>
      <c r="B2523" s="14">
        <v>38777</v>
      </c>
      <c r="C2523" s="2">
        <v>0</v>
      </c>
      <c r="D2523" s="2">
        <v>0</v>
      </c>
      <c r="E2523" s="2">
        <v>1</v>
      </c>
      <c r="F2523" s="2">
        <v>1.68052155664947E-2</v>
      </c>
      <c r="G2523" s="2">
        <v>2</v>
      </c>
    </row>
    <row r="2524" spans="1:7" x14ac:dyDescent="0.2">
      <c r="A2524" s="2" t="s">
        <v>41</v>
      </c>
      <c r="B2524" s="14">
        <v>38808</v>
      </c>
      <c r="C2524" s="2">
        <v>6.6760003209999997E-3</v>
      </c>
      <c r="D2524" s="2">
        <v>0</v>
      </c>
      <c r="E2524" s="2">
        <v>1</v>
      </c>
      <c r="F2524" s="2">
        <v>1.63317023425677E-2</v>
      </c>
      <c r="G2524" s="2">
        <v>2</v>
      </c>
    </row>
    <row r="2525" spans="1:7" x14ac:dyDescent="0.2">
      <c r="A2525" s="2" t="s">
        <v>41</v>
      </c>
      <c r="B2525" s="14">
        <v>38838</v>
      </c>
      <c r="C2525" s="2">
        <v>-5.1565377532000002E-2</v>
      </c>
      <c r="D2525" s="2">
        <v>5.4876711E-3</v>
      </c>
      <c r="E2525" s="2">
        <v>1</v>
      </c>
      <c r="F2525" s="2">
        <v>1.6617888590146901E-2</v>
      </c>
      <c r="G2525" s="2">
        <v>2</v>
      </c>
    </row>
    <row r="2526" spans="1:7" x14ac:dyDescent="0.2">
      <c r="A2526" s="2" t="s">
        <v>41</v>
      </c>
      <c r="B2526" s="14">
        <v>38869</v>
      </c>
      <c r="D2526" s="2">
        <v>0</v>
      </c>
      <c r="E2526" s="2">
        <v>1</v>
      </c>
      <c r="F2526" s="2">
        <v>1.65933764497182E-2</v>
      </c>
      <c r="G2526" s="2">
        <v>2</v>
      </c>
    </row>
    <row r="2527" spans="1:7" x14ac:dyDescent="0.2">
      <c r="A2527" s="2" t="s">
        <v>41</v>
      </c>
      <c r="B2527" s="14">
        <v>38899</v>
      </c>
      <c r="C2527" s="2">
        <v>3.8834951456000001E-2</v>
      </c>
      <c r="D2527" s="2">
        <v>0</v>
      </c>
      <c r="E2527" s="2">
        <v>1</v>
      </c>
      <c r="G2527" s="2">
        <v>2</v>
      </c>
    </row>
    <row r="2528" spans="1:7" x14ac:dyDescent="0.2">
      <c r="A2528" s="2" t="s">
        <v>41</v>
      </c>
      <c r="B2528" s="14">
        <v>38930</v>
      </c>
      <c r="C2528" s="2">
        <v>-8.1192574535999998E-2</v>
      </c>
      <c r="D2528" s="2">
        <v>0</v>
      </c>
      <c r="E2528" s="2">
        <v>1</v>
      </c>
      <c r="F2528" s="2">
        <v>2.2960389153360999E-2</v>
      </c>
      <c r="G2528" s="2">
        <v>2</v>
      </c>
    </row>
    <row r="2529" spans="1:7" x14ac:dyDescent="0.2">
      <c r="A2529" s="2" t="s">
        <v>41</v>
      </c>
      <c r="B2529" s="14">
        <v>38961</v>
      </c>
      <c r="C2529" s="2">
        <v>2.0408163266E-2</v>
      </c>
      <c r="D2529" s="2">
        <v>4.1461185999999998E-4</v>
      </c>
      <c r="E2529" s="2">
        <v>1</v>
      </c>
      <c r="F2529" s="2">
        <v>2.0659871788575201E-2</v>
      </c>
      <c r="G2529" s="2">
        <v>2</v>
      </c>
    </row>
    <row r="2530" spans="1:7" x14ac:dyDescent="0.2">
      <c r="A2530" s="2" t="s">
        <v>41</v>
      </c>
      <c r="B2530" s="14">
        <v>38991</v>
      </c>
      <c r="C2530" s="2">
        <v>-1.6258530710999999E-2</v>
      </c>
      <c r="D2530" s="2">
        <v>0</v>
      </c>
      <c r="E2530" s="2">
        <v>1</v>
      </c>
      <c r="F2530" s="2">
        <v>2.1200498249528601E-2</v>
      </c>
      <c r="G2530" s="2">
        <v>2</v>
      </c>
    </row>
    <row r="2531" spans="1:7" x14ac:dyDescent="0.2">
      <c r="A2531" s="2" t="s">
        <v>41</v>
      </c>
      <c r="B2531" s="14">
        <v>39022</v>
      </c>
      <c r="C2531" s="2">
        <v>-2.0403999224000001E-4</v>
      </c>
      <c r="D2531" s="2">
        <v>0</v>
      </c>
      <c r="E2531" s="2">
        <v>1</v>
      </c>
      <c r="F2531" s="2">
        <v>2.05792642567749E-2</v>
      </c>
      <c r="G2531" s="2">
        <v>2</v>
      </c>
    </row>
    <row r="2532" spans="1:7" x14ac:dyDescent="0.2">
      <c r="A2532" s="2" t="s">
        <v>41</v>
      </c>
      <c r="B2532" s="14">
        <v>39052</v>
      </c>
      <c r="C2532" s="2">
        <v>2.0408163266E-2</v>
      </c>
      <c r="D2532" s="2">
        <v>0</v>
      </c>
      <c r="E2532" s="2">
        <v>1</v>
      </c>
      <c r="F2532" s="2">
        <v>2.2045637382317101E-2</v>
      </c>
      <c r="G2532" s="2">
        <v>2</v>
      </c>
    </row>
    <row r="2533" spans="1:7" x14ac:dyDescent="0.2">
      <c r="A2533" s="2" t="s">
        <v>41</v>
      </c>
      <c r="B2533" s="14">
        <v>39083</v>
      </c>
      <c r="C2533" s="2">
        <v>7.3865917301999998E-2</v>
      </c>
      <c r="D2533" s="2">
        <v>0</v>
      </c>
      <c r="E2533" s="2">
        <v>1</v>
      </c>
      <c r="F2533" s="2">
        <v>2.2529644639897602E-2</v>
      </c>
      <c r="G2533" s="2">
        <v>2</v>
      </c>
    </row>
    <row r="2534" spans="1:7" x14ac:dyDescent="0.2">
      <c r="A2534" s="2" t="s">
        <v>41</v>
      </c>
      <c r="B2534" s="14">
        <v>39114</v>
      </c>
      <c r="C2534" s="2">
        <v>2.8037383177000001E-2</v>
      </c>
      <c r="D2534" s="2">
        <v>0</v>
      </c>
      <c r="E2534" s="2">
        <v>1</v>
      </c>
      <c r="F2534" s="2">
        <v>2.35186187722474E-2</v>
      </c>
      <c r="G2534" s="2">
        <v>2</v>
      </c>
    </row>
    <row r="2535" spans="1:7" x14ac:dyDescent="0.2">
      <c r="A2535" s="2" t="s">
        <v>41</v>
      </c>
      <c r="B2535" s="14">
        <v>39142</v>
      </c>
      <c r="C2535" s="2">
        <v>1.8181818182999999E-2</v>
      </c>
      <c r="D2535" s="2">
        <v>0</v>
      </c>
      <c r="E2535" s="2">
        <v>1</v>
      </c>
      <c r="F2535" s="2">
        <v>2.6624791129669801E-2</v>
      </c>
      <c r="G2535" s="2">
        <v>2</v>
      </c>
    </row>
    <row r="2536" spans="1:7" x14ac:dyDescent="0.2">
      <c r="A2536" s="2" t="s">
        <v>41</v>
      </c>
      <c r="B2536" s="14">
        <v>39173</v>
      </c>
      <c r="C2536" s="2">
        <v>3.5714285714000003E-2</v>
      </c>
      <c r="D2536" s="2">
        <v>0</v>
      </c>
      <c r="E2536" s="2">
        <v>1</v>
      </c>
      <c r="F2536" s="2">
        <v>2.6523256371153499E-2</v>
      </c>
      <c r="G2536" s="2">
        <v>2</v>
      </c>
    </row>
    <row r="2537" spans="1:7" x14ac:dyDescent="0.2">
      <c r="A2537" s="2" t="s">
        <v>41</v>
      </c>
      <c r="B2537" s="14">
        <v>39203</v>
      </c>
      <c r="C2537" s="2">
        <v>6.6620038468999998E-2</v>
      </c>
      <c r="D2537" s="2">
        <v>0</v>
      </c>
      <c r="E2537" s="2">
        <v>1</v>
      </c>
      <c r="F2537" s="2">
        <v>2.7995468838891001E-2</v>
      </c>
      <c r="G2537" s="2">
        <v>2</v>
      </c>
    </row>
    <row r="2538" spans="1:7" x14ac:dyDescent="0.2">
      <c r="A2538" s="2" t="s">
        <v>41</v>
      </c>
      <c r="B2538" s="14">
        <v>39234</v>
      </c>
      <c r="C2538" s="2">
        <v>1.6393442623999999E-2</v>
      </c>
      <c r="D2538" s="2">
        <v>0</v>
      </c>
      <c r="E2538" s="2">
        <v>1</v>
      </c>
      <c r="F2538" s="2">
        <v>2.97499551080267E-2</v>
      </c>
      <c r="G2538" s="2">
        <v>2</v>
      </c>
    </row>
    <row r="2539" spans="1:7" x14ac:dyDescent="0.2">
      <c r="A2539" s="2" t="s">
        <v>41</v>
      </c>
      <c r="B2539" s="14">
        <v>39264</v>
      </c>
      <c r="C2539" s="2">
        <v>5.1648020869999998E-2</v>
      </c>
      <c r="D2539" s="2">
        <v>0</v>
      </c>
      <c r="E2539" s="2">
        <v>1</v>
      </c>
      <c r="F2539" s="2">
        <v>2.9560393525694301E-2</v>
      </c>
      <c r="G2539" s="2">
        <v>2</v>
      </c>
    </row>
    <row r="2540" spans="1:7" x14ac:dyDescent="0.2">
      <c r="A2540" s="2" t="s">
        <v>41</v>
      </c>
      <c r="B2540" s="14">
        <v>39295</v>
      </c>
      <c r="C2540" s="2">
        <v>-4.2292307692E-2</v>
      </c>
      <c r="D2540" s="2">
        <v>0</v>
      </c>
      <c r="E2540" s="2">
        <v>1</v>
      </c>
      <c r="F2540" s="2">
        <v>3.2276514645084901E-2</v>
      </c>
      <c r="G2540" s="2">
        <v>2</v>
      </c>
    </row>
    <row r="2541" spans="1:7" x14ac:dyDescent="0.2">
      <c r="A2541" s="2" t="s">
        <v>41</v>
      </c>
      <c r="B2541" s="14">
        <v>39326</v>
      </c>
      <c r="C2541" s="2">
        <v>4.4159933173000002E-2</v>
      </c>
      <c r="D2541" s="2">
        <v>0</v>
      </c>
      <c r="E2541" s="2">
        <v>1</v>
      </c>
      <c r="F2541" s="2">
        <v>3.0194149326981602E-2</v>
      </c>
      <c r="G2541" s="2">
        <v>2</v>
      </c>
    </row>
    <row r="2542" spans="1:7" x14ac:dyDescent="0.2">
      <c r="A2542" s="2" t="s">
        <v>41</v>
      </c>
      <c r="B2542" s="14">
        <v>39356</v>
      </c>
      <c r="C2542" s="2">
        <v>-1.2298046781000001E-2</v>
      </c>
      <c r="D2542" s="2">
        <v>0</v>
      </c>
      <c r="E2542" s="2">
        <v>1</v>
      </c>
      <c r="F2542" s="2">
        <v>3.0856828160151801E-2</v>
      </c>
      <c r="G2542" s="2">
        <v>2</v>
      </c>
    </row>
    <row r="2543" spans="1:7" x14ac:dyDescent="0.2">
      <c r="A2543" s="2" t="s">
        <v>41</v>
      </c>
      <c r="B2543" s="14">
        <v>39387</v>
      </c>
      <c r="C2543" s="2">
        <v>-7.8124999991000003E-3</v>
      </c>
      <c r="D2543" s="2">
        <v>0</v>
      </c>
      <c r="E2543" s="2">
        <v>1</v>
      </c>
      <c r="F2543" s="2">
        <v>2.94970508441431E-2</v>
      </c>
      <c r="G2543" s="2">
        <v>2</v>
      </c>
    </row>
    <row r="2544" spans="1:7" x14ac:dyDescent="0.2">
      <c r="A2544" s="2" t="s">
        <v>41</v>
      </c>
      <c r="B2544" s="14">
        <v>39417</v>
      </c>
      <c r="C2544" s="2">
        <v>0</v>
      </c>
      <c r="D2544" s="2">
        <v>0</v>
      </c>
      <c r="E2544" s="2">
        <v>1</v>
      </c>
      <c r="F2544" s="2">
        <v>2.7375638478315201E-2</v>
      </c>
      <c r="G2544" s="2">
        <v>2</v>
      </c>
    </row>
    <row r="2545" spans="1:7" x14ac:dyDescent="0.2">
      <c r="A2545" s="2" t="s">
        <v>41</v>
      </c>
      <c r="B2545" s="14">
        <v>39448</v>
      </c>
      <c r="C2545" s="2">
        <v>7.7907903869E-4</v>
      </c>
      <c r="D2545" s="2">
        <v>0</v>
      </c>
      <c r="E2545" s="2">
        <v>1</v>
      </c>
      <c r="F2545" s="2">
        <v>2.6915645407714999E-2</v>
      </c>
      <c r="G2545" s="2">
        <v>2</v>
      </c>
    </row>
    <row r="2546" spans="1:7" x14ac:dyDescent="0.2">
      <c r="A2546" s="2" t="s">
        <v>41</v>
      </c>
      <c r="B2546" s="14">
        <v>39479</v>
      </c>
      <c r="C2546" s="2">
        <v>-6.0758654438E-2</v>
      </c>
      <c r="D2546" s="2">
        <v>0</v>
      </c>
      <c r="E2546" s="2">
        <v>1</v>
      </c>
      <c r="F2546" s="2">
        <v>2.5383828115046699E-2</v>
      </c>
      <c r="G2546" s="2">
        <v>2</v>
      </c>
    </row>
    <row r="2547" spans="1:7" x14ac:dyDescent="0.2">
      <c r="A2547" s="2" t="s">
        <v>41</v>
      </c>
      <c r="B2547" s="14">
        <v>39508</v>
      </c>
      <c r="C2547" s="2">
        <v>0</v>
      </c>
      <c r="D2547" s="2">
        <v>0</v>
      </c>
      <c r="E2547" s="2">
        <v>1</v>
      </c>
      <c r="F2547" s="2">
        <v>2.51222472177406E-2</v>
      </c>
      <c r="G2547" s="2">
        <v>2</v>
      </c>
    </row>
    <row r="2548" spans="1:7" x14ac:dyDescent="0.2">
      <c r="A2548" s="2" t="s">
        <v>41</v>
      </c>
      <c r="B2548" s="14">
        <v>39539</v>
      </c>
      <c r="C2548" s="2">
        <v>-1.2597889003000001E-2</v>
      </c>
      <c r="D2548" s="2">
        <v>0</v>
      </c>
      <c r="E2548" s="2">
        <v>1</v>
      </c>
      <c r="F2548" s="2">
        <v>2.3845894660755901E-2</v>
      </c>
      <c r="G2548" s="2">
        <v>2</v>
      </c>
    </row>
    <row r="2549" spans="1:7" x14ac:dyDescent="0.2">
      <c r="A2549" s="2" t="s">
        <v>41</v>
      </c>
      <c r="B2549" s="14">
        <v>39569</v>
      </c>
      <c r="C2549" s="2">
        <v>-3.4655172413999999E-2</v>
      </c>
      <c r="D2549" s="2">
        <v>0</v>
      </c>
      <c r="E2549" s="2">
        <v>1</v>
      </c>
      <c r="F2549" s="2">
        <v>2.3882320127116399E-2</v>
      </c>
      <c r="G2549" s="2">
        <v>2</v>
      </c>
    </row>
    <row r="2550" spans="1:7" x14ac:dyDescent="0.2">
      <c r="A2550" s="2" t="s">
        <v>41</v>
      </c>
      <c r="B2550" s="14">
        <v>39600</v>
      </c>
      <c r="C2550" s="2">
        <v>1.6074298946E-4</v>
      </c>
      <c r="D2550" s="2">
        <v>0</v>
      </c>
      <c r="E2550" s="2">
        <v>1</v>
      </c>
      <c r="F2550" s="2">
        <v>2.3104909810199199E-2</v>
      </c>
      <c r="G2550" s="2">
        <v>2</v>
      </c>
    </row>
    <row r="2551" spans="1:7" x14ac:dyDescent="0.2">
      <c r="A2551" s="2" t="s">
        <v>41</v>
      </c>
      <c r="B2551" s="14">
        <v>39630</v>
      </c>
      <c r="D2551" s="2">
        <v>0</v>
      </c>
      <c r="E2551" s="2">
        <v>1</v>
      </c>
      <c r="F2551" s="2">
        <v>2.30974070349616E-2</v>
      </c>
      <c r="G2551" s="2">
        <v>2</v>
      </c>
    </row>
    <row r="2552" spans="1:7" x14ac:dyDescent="0.2">
      <c r="A2552" s="2" t="s">
        <v>41</v>
      </c>
      <c r="B2552" s="14">
        <v>39661</v>
      </c>
      <c r="D2552" s="2">
        <v>0</v>
      </c>
      <c r="E2552" s="2">
        <v>1</v>
      </c>
      <c r="G2552" s="2">
        <v>2</v>
      </c>
    </row>
    <row r="2553" spans="1:7" x14ac:dyDescent="0.2">
      <c r="A2553" s="2" t="s">
        <v>41</v>
      </c>
      <c r="B2553" s="14">
        <v>39692</v>
      </c>
      <c r="C2553" s="2">
        <v>3.5842936268E-3</v>
      </c>
      <c r="D2553" s="2">
        <v>0</v>
      </c>
      <c r="E2553" s="2">
        <v>1</v>
      </c>
      <c r="G2553" s="2">
        <v>2</v>
      </c>
    </row>
    <row r="2554" spans="1:7" x14ac:dyDescent="0.2">
      <c r="A2554" s="2" t="s">
        <v>41</v>
      </c>
      <c r="B2554" s="14">
        <v>39722</v>
      </c>
      <c r="C2554" s="2">
        <v>0</v>
      </c>
      <c r="D2554" s="2">
        <v>0</v>
      </c>
      <c r="E2554" s="2">
        <v>1</v>
      </c>
      <c r="F2554" s="2">
        <v>2.2097130349616599E-2</v>
      </c>
      <c r="G2554" s="2">
        <v>2</v>
      </c>
    </row>
    <row r="2555" spans="1:7" x14ac:dyDescent="0.2">
      <c r="A2555" s="2" t="s">
        <v>41</v>
      </c>
      <c r="B2555" s="14">
        <v>39753</v>
      </c>
      <c r="C2555" s="2">
        <v>-0.10392659366</v>
      </c>
      <c r="D2555" s="2">
        <v>0</v>
      </c>
      <c r="E2555" s="2">
        <v>1</v>
      </c>
      <c r="F2555" s="2">
        <v>2.2476189737278E-2</v>
      </c>
      <c r="G2555" s="2">
        <v>2</v>
      </c>
    </row>
    <row r="2556" spans="1:7" x14ac:dyDescent="0.2">
      <c r="A2556" s="2" t="s">
        <v>41</v>
      </c>
      <c r="B2556" s="14">
        <v>39783</v>
      </c>
      <c r="C2556" s="2">
        <v>0</v>
      </c>
      <c r="D2556" s="2">
        <v>-1.0502282999999999E-3</v>
      </c>
      <c r="E2556" s="2">
        <v>1</v>
      </c>
      <c r="F2556" s="2">
        <v>2.1006779791805898E-2</v>
      </c>
      <c r="G2556" s="2">
        <v>2</v>
      </c>
    </row>
    <row r="2557" spans="1:7" x14ac:dyDescent="0.2">
      <c r="A2557" s="2" t="s">
        <v>42</v>
      </c>
      <c r="B2557" s="14">
        <v>37591</v>
      </c>
      <c r="C2557" s="2">
        <v>5.4054054052999997E-2</v>
      </c>
      <c r="E2557" s="2">
        <v>1</v>
      </c>
      <c r="G2557" s="2">
        <v>2</v>
      </c>
    </row>
    <row r="2558" spans="1:7" x14ac:dyDescent="0.2">
      <c r="A2558" s="2" t="s">
        <v>42</v>
      </c>
      <c r="B2558" s="14">
        <v>37622</v>
      </c>
      <c r="C2558" s="2">
        <v>-2.5641025642E-2</v>
      </c>
      <c r="E2558" s="2">
        <v>1</v>
      </c>
      <c r="G2558" s="2">
        <v>2</v>
      </c>
    </row>
    <row r="2559" spans="1:7" x14ac:dyDescent="0.2">
      <c r="A2559" s="2" t="s">
        <v>42</v>
      </c>
      <c r="B2559" s="14">
        <v>37653</v>
      </c>
      <c r="C2559" s="2">
        <v>-5.2105263157000002E-2</v>
      </c>
      <c r="E2559" s="2">
        <v>1</v>
      </c>
      <c r="G2559" s="2">
        <v>2</v>
      </c>
    </row>
    <row r="2560" spans="1:7" x14ac:dyDescent="0.2">
      <c r="A2560" s="2" t="s">
        <v>42</v>
      </c>
      <c r="B2560" s="14">
        <v>37681</v>
      </c>
      <c r="C2560" s="2">
        <v>-8.3842309828000006E-2</v>
      </c>
      <c r="E2560" s="2">
        <v>1</v>
      </c>
      <c r="G2560" s="2">
        <v>2</v>
      </c>
    </row>
    <row r="2561" spans="1:7" x14ac:dyDescent="0.2">
      <c r="A2561" s="2" t="s">
        <v>42</v>
      </c>
      <c r="B2561" s="14">
        <v>37712</v>
      </c>
      <c r="C2561" s="2">
        <v>0.21212121212000001</v>
      </c>
      <c r="E2561" s="2">
        <v>1</v>
      </c>
      <c r="G2561" s="2">
        <v>2</v>
      </c>
    </row>
    <row r="2562" spans="1:7" x14ac:dyDescent="0.2">
      <c r="A2562" s="2" t="s">
        <v>42</v>
      </c>
      <c r="B2562" s="14">
        <v>37742</v>
      </c>
      <c r="C2562" s="2">
        <v>0.2</v>
      </c>
      <c r="E2562" s="2">
        <v>1</v>
      </c>
      <c r="G2562" s="2">
        <v>2</v>
      </c>
    </row>
    <row r="2563" spans="1:7" x14ac:dyDescent="0.2">
      <c r="A2563" s="2" t="s">
        <v>42</v>
      </c>
      <c r="B2563" s="14">
        <v>37773</v>
      </c>
      <c r="C2563" s="2">
        <v>-0.10416666666</v>
      </c>
      <c r="E2563" s="2">
        <v>1</v>
      </c>
      <c r="G2563" s="2">
        <v>2</v>
      </c>
    </row>
    <row r="2564" spans="1:7" x14ac:dyDescent="0.2">
      <c r="A2564" s="2" t="s">
        <v>42</v>
      </c>
      <c r="B2564" s="14">
        <v>37803</v>
      </c>
      <c r="C2564" s="2">
        <v>0.16279069767000001</v>
      </c>
      <c r="E2564" s="2">
        <v>1</v>
      </c>
      <c r="G2564" s="2">
        <v>2</v>
      </c>
    </row>
    <row r="2565" spans="1:7" x14ac:dyDescent="0.2">
      <c r="A2565" s="2" t="s">
        <v>42</v>
      </c>
      <c r="B2565" s="14">
        <v>37834</v>
      </c>
      <c r="C2565" s="2">
        <v>0</v>
      </c>
      <c r="E2565" s="2">
        <v>1</v>
      </c>
      <c r="F2565" s="2">
        <v>5.5456283848382103E-2</v>
      </c>
      <c r="G2565" s="2">
        <v>2</v>
      </c>
    </row>
    <row r="2566" spans="1:7" x14ac:dyDescent="0.2">
      <c r="A2566" s="2" t="s">
        <v>42</v>
      </c>
      <c r="B2566" s="14">
        <v>37865</v>
      </c>
      <c r="C2566" s="2">
        <v>0.1</v>
      </c>
      <c r="E2566" s="2">
        <v>1</v>
      </c>
      <c r="F2566" s="2">
        <v>5.67348558497019E-2</v>
      </c>
      <c r="G2566" s="2">
        <v>2</v>
      </c>
    </row>
    <row r="2567" spans="1:7" x14ac:dyDescent="0.2">
      <c r="A2567" s="2" t="s">
        <v>42</v>
      </c>
      <c r="B2567" s="14">
        <v>37895</v>
      </c>
      <c r="C2567" s="2">
        <v>9.0909090910000004E-2</v>
      </c>
      <c r="E2567" s="2">
        <v>1</v>
      </c>
      <c r="F2567" s="2">
        <v>6.1754103009977399E-2</v>
      </c>
      <c r="G2567" s="2">
        <v>2</v>
      </c>
    </row>
    <row r="2568" spans="1:7" x14ac:dyDescent="0.2">
      <c r="A2568" s="2" t="s">
        <v>42</v>
      </c>
      <c r="B2568" s="14">
        <v>37926</v>
      </c>
      <c r="C2568" s="2">
        <v>0.13333333333</v>
      </c>
      <c r="E2568" s="2">
        <v>1</v>
      </c>
      <c r="F2568" s="2">
        <v>5.7881475708279499E-2</v>
      </c>
      <c r="G2568" s="2">
        <v>2</v>
      </c>
    </row>
    <row r="2569" spans="1:7" x14ac:dyDescent="0.2">
      <c r="A2569" s="2" t="s">
        <v>42</v>
      </c>
      <c r="B2569" s="14">
        <v>37956</v>
      </c>
      <c r="C2569" s="2">
        <v>1.4705882353000001E-2</v>
      </c>
      <c r="E2569" s="2">
        <v>1</v>
      </c>
      <c r="F2569" s="2">
        <v>5.5744362303757199E-2</v>
      </c>
      <c r="G2569" s="2">
        <v>2</v>
      </c>
    </row>
    <row r="2570" spans="1:7" x14ac:dyDescent="0.2">
      <c r="A2570" s="2" t="s">
        <v>42</v>
      </c>
      <c r="B2570" s="14">
        <v>37987</v>
      </c>
      <c r="C2570" s="2">
        <v>0</v>
      </c>
      <c r="E2570" s="2">
        <v>1</v>
      </c>
      <c r="F2570" s="2">
        <v>5.9039597399903797E-2</v>
      </c>
      <c r="G2570" s="2">
        <v>2</v>
      </c>
    </row>
    <row r="2571" spans="1:7" x14ac:dyDescent="0.2">
      <c r="A2571" s="2" t="s">
        <v>42</v>
      </c>
      <c r="B2571" s="14">
        <v>38018</v>
      </c>
      <c r="C2571" s="2">
        <v>-0.13043478259999999</v>
      </c>
      <c r="E2571" s="2">
        <v>1</v>
      </c>
      <c r="F2571" s="2">
        <v>5.4276479642791801E-2</v>
      </c>
      <c r="G2571" s="2">
        <v>2</v>
      </c>
    </row>
    <row r="2572" spans="1:7" x14ac:dyDescent="0.2">
      <c r="A2572" s="2" t="s">
        <v>42</v>
      </c>
      <c r="B2572" s="14">
        <v>38047</v>
      </c>
      <c r="C2572" s="2">
        <v>0.10999999999</v>
      </c>
      <c r="E2572" s="2">
        <v>1</v>
      </c>
      <c r="F2572" s="2">
        <v>5.09519213162151E-2</v>
      </c>
      <c r="G2572" s="2">
        <v>2</v>
      </c>
    </row>
    <row r="2573" spans="1:7" x14ac:dyDescent="0.2">
      <c r="A2573" s="2" t="s">
        <v>42</v>
      </c>
      <c r="B2573" s="14">
        <v>38078</v>
      </c>
      <c r="C2573" s="2">
        <v>6.0060060058999996E-3</v>
      </c>
      <c r="E2573" s="2">
        <v>1</v>
      </c>
      <c r="F2573" s="2">
        <v>5.0965944220536401E-2</v>
      </c>
      <c r="G2573" s="2">
        <v>2</v>
      </c>
    </row>
    <row r="2574" spans="1:7" x14ac:dyDescent="0.2">
      <c r="A2574" s="2" t="s">
        <v>42</v>
      </c>
      <c r="B2574" s="14">
        <v>38108</v>
      </c>
      <c r="C2574" s="2">
        <v>-4.7761194030000002E-2</v>
      </c>
      <c r="E2574" s="2">
        <v>1</v>
      </c>
      <c r="F2574" s="2">
        <v>4.8348370596021199E-2</v>
      </c>
      <c r="G2574" s="2">
        <v>2</v>
      </c>
    </row>
    <row r="2575" spans="1:7" x14ac:dyDescent="0.2">
      <c r="A2575" s="2" t="s">
        <v>42</v>
      </c>
      <c r="B2575" s="14">
        <v>38139</v>
      </c>
      <c r="C2575" s="2">
        <v>5.0156739811000002E-2</v>
      </c>
      <c r="E2575" s="2">
        <v>1</v>
      </c>
      <c r="F2575" s="2">
        <v>4.3053593195764801E-2</v>
      </c>
      <c r="G2575" s="2">
        <v>2</v>
      </c>
    </row>
    <row r="2576" spans="1:7" x14ac:dyDescent="0.2">
      <c r="A2576" s="2" t="s">
        <v>42</v>
      </c>
      <c r="B2576" s="14">
        <v>38169</v>
      </c>
      <c r="C2576" s="2">
        <v>4.4776119402999998E-2</v>
      </c>
      <c r="E2576" s="2">
        <v>1</v>
      </c>
      <c r="F2576" s="2">
        <v>4.3780583770329298E-2</v>
      </c>
      <c r="G2576" s="2">
        <v>2</v>
      </c>
    </row>
    <row r="2577" spans="1:7" x14ac:dyDescent="0.2">
      <c r="A2577" s="2" t="s">
        <v>42</v>
      </c>
      <c r="B2577" s="14">
        <v>38200</v>
      </c>
      <c r="C2577" s="2">
        <v>-6.8571428572000007E-2</v>
      </c>
      <c r="E2577" s="2">
        <v>1</v>
      </c>
      <c r="F2577" s="2">
        <v>3.08780959233621E-2</v>
      </c>
      <c r="G2577" s="2">
        <v>2</v>
      </c>
    </row>
    <row r="2578" spans="1:7" x14ac:dyDescent="0.2">
      <c r="A2578" s="2" t="s">
        <v>42</v>
      </c>
      <c r="B2578" s="14">
        <v>38231</v>
      </c>
      <c r="C2578" s="2">
        <v>7.3619631902999999E-2</v>
      </c>
      <c r="E2578" s="2">
        <v>1</v>
      </c>
      <c r="F2578" s="2">
        <v>3.2843124927810802E-2</v>
      </c>
      <c r="G2578" s="2">
        <v>2</v>
      </c>
    </row>
    <row r="2579" spans="1:7" x14ac:dyDescent="0.2">
      <c r="A2579" s="2" t="s">
        <v>42</v>
      </c>
      <c r="B2579" s="14">
        <v>38261</v>
      </c>
      <c r="C2579" s="2">
        <v>0</v>
      </c>
      <c r="E2579" s="2">
        <v>1</v>
      </c>
      <c r="F2579" s="2">
        <v>3.1768567127959502E-2</v>
      </c>
      <c r="G2579" s="2">
        <v>2</v>
      </c>
    </row>
    <row r="2580" spans="1:7" x14ac:dyDescent="0.2">
      <c r="A2580" s="2" t="s">
        <v>42</v>
      </c>
      <c r="B2580" s="14">
        <v>38292</v>
      </c>
      <c r="C2580" s="2">
        <v>7.7142857142000004E-2</v>
      </c>
      <c r="E2580" s="2">
        <v>1</v>
      </c>
      <c r="F2580" s="2">
        <v>3.1484067312531699E-2</v>
      </c>
      <c r="G2580" s="2">
        <v>2</v>
      </c>
    </row>
    <row r="2581" spans="1:7" x14ac:dyDescent="0.2">
      <c r="A2581" s="2" t="s">
        <v>42</v>
      </c>
      <c r="B2581" s="14">
        <v>38322</v>
      </c>
      <c r="C2581" s="2">
        <v>7.4270557028000006E-2</v>
      </c>
      <c r="E2581" s="2">
        <v>1</v>
      </c>
      <c r="F2581" s="2">
        <v>3.4902203299967002E-2</v>
      </c>
      <c r="G2581" s="2">
        <v>2</v>
      </c>
    </row>
    <row r="2582" spans="1:7" x14ac:dyDescent="0.2">
      <c r="A2582" s="2" t="s">
        <v>42</v>
      </c>
      <c r="B2582" s="14">
        <v>38353</v>
      </c>
      <c r="C2582" s="2">
        <v>-1.2345679012E-2</v>
      </c>
      <c r="E2582" s="2">
        <v>1</v>
      </c>
      <c r="F2582" s="2">
        <v>3.5508973528855903E-2</v>
      </c>
      <c r="G2582" s="2">
        <v>2</v>
      </c>
    </row>
    <row r="2583" spans="1:7" x14ac:dyDescent="0.2">
      <c r="A2583" s="2" t="s">
        <v>42</v>
      </c>
      <c r="B2583" s="14">
        <v>38384</v>
      </c>
      <c r="C2583" s="2">
        <v>-1.2500000000000001E-2</v>
      </c>
      <c r="E2583" s="2">
        <v>1</v>
      </c>
      <c r="F2583" s="2">
        <v>3.3880884352181603E-2</v>
      </c>
      <c r="G2583" s="2">
        <v>2</v>
      </c>
    </row>
    <row r="2584" spans="1:7" x14ac:dyDescent="0.2">
      <c r="A2584" s="2" t="s">
        <v>42</v>
      </c>
      <c r="B2584" s="14">
        <v>38412</v>
      </c>
      <c r="C2584" s="2">
        <v>-0.10101265822</v>
      </c>
      <c r="E2584" s="2">
        <v>1</v>
      </c>
      <c r="F2584" s="2">
        <v>3.5270689561734E-2</v>
      </c>
      <c r="G2584" s="2">
        <v>2</v>
      </c>
    </row>
    <row r="2585" spans="1:7" x14ac:dyDescent="0.2">
      <c r="A2585" s="2" t="s">
        <v>42</v>
      </c>
      <c r="B2585" s="14">
        <v>38443</v>
      </c>
      <c r="C2585" s="2">
        <v>4.1960011264000001E-2</v>
      </c>
      <c r="E2585" s="2">
        <v>1</v>
      </c>
      <c r="F2585" s="2">
        <v>3.0398516863605E-2</v>
      </c>
      <c r="G2585" s="2">
        <v>2</v>
      </c>
    </row>
    <row r="2586" spans="1:7" x14ac:dyDescent="0.2">
      <c r="A2586" s="2" t="s">
        <v>42</v>
      </c>
      <c r="B2586" s="14">
        <v>38473</v>
      </c>
      <c r="C2586" s="2">
        <v>5.4054054052999997E-2</v>
      </c>
      <c r="E2586" s="2">
        <v>1</v>
      </c>
      <c r="F2586" s="2">
        <v>3.1546387577277298E-2</v>
      </c>
      <c r="G2586" s="2">
        <v>2</v>
      </c>
    </row>
    <row r="2587" spans="1:7" x14ac:dyDescent="0.2">
      <c r="A2587" s="2" t="s">
        <v>42</v>
      </c>
      <c r="B2587" s="14">
        <v>38504</v>
      </c>
      <c r="C2587" s="2">
        <v>6.4102564102000006E-2</v>
      </c>
      <c r="E2587" s="2">
        <v>1</v>
      </c>
      <c r="F2587" s="2">
        <v>3.0752729756239799E-2</v>
      </c>
      <c r="G2587" s="2">
        <v>2</v>
      </c>
    </row>
    <row r="2588" spans="1:7" x14ac:dyDescent="0.2">
      <c r="A2588" s="2" t="s">
        <v>42</v>
      </c>
      <c r="B2588" s="14">
        <v>38534</v>
      </c>
      <c r="C2588" s="2">
        <v>0.15662650602</v>
      </c>
      <c r="E2588" s="2">
        <v>1</v>
      </c>
      <c r="F2588" s="2">
        <v>3.0287437836094399E-2</v>
      </c>
      <c r="G2588" s="2">
        <v>2</v>
      </c>
    </row>
    <row r="2589" spans="1:7" x14ac:dyDescent="0.2">
      <c r="A2589" s="2" t="s">
        <v>42</v>
      </c>
      <c r="B2589" s="14">
        <v>38565</v>
      </c>
      <c r="C2589" s="2">
        <v>-6.2500000001000006E-2</v>
      </c>
      <c r="E2589" s="2">
        <v>1</v>
      </c>
      <c r="F2589" s="2">
        <v>2.4697494897510899E-2</v>
      </c>
      <c r="G2589" s="2">
        <v>2</v>
      </c>
    </row>
    <row r="2590" spans="1:7" x14ac:dyDescent="0.2">
      <c r="A2590" s="2" t="s">
        <v>42</v>
      </c>
      <c r="B2590" s="14">
        <v>38596</v>
      </c>
      <c r="C2590" s="2">
        <v>-4.4444444445000002E-2</v>
      </c>
      <c r="E2590" s="2">
        <v>1</v>
      </c>
      <c r="F2590" s="2">
        <v>2.33504740100627E-2</v>
      </c>
      <c r="G2590" s="2">
        <v>2</v>
      </c>
    </row>
    <row r="2591" spans="1:7" x14ac:dyDescent="0.2">
      <c r="A2591" s="2" t="s">
        <v>42</v>
      </c>
      <c r="B2591" s="14">
        <v>38626</v>
      </c>
      <c r="C2591" s="2">
        <v>1.5511627906999999E-2</v>
      </c>
      <c r="E2591" s="2">
        <v>1</v>
      </c>
      <c r="F2591" s="2">
        <v>2.50901294566576E-2</v>
      </c>
      <c r="G2591" s="2">
        <v>2</v>
      </c>
    </row>
    <row r="2592" spans="1:7" x14ac:dyDescent="0.2">
      <c r="A2592" s="2" t="s">
        <v>42</v>
      </c>
      <c r="B2592" s="14">
        <v>38657</v>
      </c>
      <c r="C2592" s="2">
        <v>-8.3976458195000006E-2</v>
      </c>
      <c r="E2592" s="2">
        <v>1</v>
      </c>
      <c r="F2592" s="2">
        <v>2.4279276913892301E-2</v>
      </c>
      <c r="G2592" s="2">
        <v>2</v>
      </c>
    </row>
    <row r="2593" spans="1:7" x14ac:dyDescent="0.2">
      <c r="A2593" s="2" t="s">
        <v>42</v>
      </c>
      <c r="B2593" s="14">
        <v>38687</v>
      </c>
      <c r="C2593" s="2">
        <v>-8.7499999999999994E-2</v>
      </c>
      <c r="E2593" s="2">
        <v>1</v>
      </c>
      <c r="F2593" s="2">
        <v>2.0482296739027399E-2</v>
      </c>
      <c r="G2593" s="2">
        <v>2</v>
      </c>
    </row>
    <row r="2594" spans="1:7" x14ac:dyDescent="0.2">
      <c r="A2594" s="2" t="s">
        <v>42</v>
      </c>
      <c r="B2594" s="14">
        <v>38718</v>
      </c>
      <c r="C2594" s="2">
        <v>5.4794520547E-2</v>
      </c>
      <c r="E2594" s="2">
        <v>1</v>
      </c>
      <c r="F2594" s="2">
        <v>1.6454757592446599E-2</v>
      </c>
      <c r="G2594" s="2">
        <v>2</v>
      </c>
    </row>
    <row r="2595" spans="1:7" x14ac:dyDescent="0.2">
      <c r="A2595" s="2" t="s">
        <v>42</v>
      </c>
      <c r="B2595" s="14">
        <v>38749</v>
      </c>
      <c r="C2595" s="2">
        <v>3.8961038960999998E-2</v>
      </c>
      <c r="D2595" s="2">
        <v>0</v>
      </c>
      <c r="E2595" s="2">
        <v>1</v>
      </c>
      <c r="F2595" s="2">
        <v>1.3485138670589E-2</v>
      </c>
      <c r="G2595" s="2">
        <v>2</v>
      </c>
    </row>
    <row r="2596" spans="1:7" x14ac:dyDescent="0.2">
      <c r="A2596" s="2" t="s">
        <v>42</v>
      </c>
      <c r="B2596" s="14">
        <v>38777</v>
      </c>
      <c r="C2596" s="2">
        <v>0.15</v>
      </c>
      <c r="D2596" s="2">
        <v>0</v>
      </c>
      <c r="E2596" s="2">
        <v>1</v>
      </c>
      <c r="F2596" s="2">
        <v>1.6299494887588799E-2</v>
      </c>
      <c r="G2596" s="2">
        <v>2</v>
      </c>
    </row>
    <row r="2597" spans="1:7" x14ac:dyDescent="0.2">
      <c r="A2597" s="2" t="s">
        <v>42</v>
      </c>
      <c r="B2597" s="14">
        <v>38808</v>
      </c>
      <c r="C2597" s="2">
        <v>-7.5869565216999998E-3</v>
      </c>
      <c r="D2597" s="2">
        <v>0</v>
      </c>
      <c r="E2597" s="2">
        <v>1</v>
      </c>
      <c r="F2597" s="2">
        <v>2.1629593022784801E-2</v>
      </c>
      <c r="G2597" s="2">
        <v>2</v>
      </c>
    </row>
    <row r="2598" spans="1:7" x14ac:dyDescent="0.2">
      <c r="A2598" s="2" t="s">
        <v>42</v>
      </c>
      <c r="B2598" s="14">
        <v>38838</v>
      </c>
      <c r="C2598" s="2">
        <v>-1.0011524651E-2</v>
      </c>
      <c r="D2598" s="2">
        <v>0</v>
      </c>
      <c r="E2598" s="2">
        <v>1</v>
      </c>
      <c r="F2598" s="2">
        <v>2.0976890744641E-2</v>
      </c>
      <c r="G2598" s="2">
        <v>2</v>
      </c>
    </row>
    <row r="2599" spans="1:7" x14ac:dyDescent="0.2">
      <c r="A2599" s="2" t="s">
        <v>42</v>
      </c>
      <c r="B2599" s="14">
        <v>38869</v>
      </c>
      <c r="C2599" s="2">
        <v>-5.6818181818000003E-2</v>
      </c>
      <c r="D2599" s="2">
        <v>0</v>
      </c>
      <c r="E2599" s="2">
        <v>1</v>
      </c>
      <c r="F2599" s="2">
        <v>2.3187383966200601E-2</v>
      </c>
      <c r="G2599" s="2">
        <v>2</v>
      </c>
    </row>
    <row r="2600" spans="1:7" x14ac:dyDescent="0.2">
      <c r="A2600" s="2" t="s">
        <v>42</v>
      </c>
      <c r="B2600" s="14">
        <v>38899</v>
      </c>
      <c r="C2600" s="2">
        <v>-3.6144578314000003E-2</v>
      </c>
      <c r="D2600" s="2">
        <v>0</v>
      </c>
      <c r="E2600" s="2">
        <v>1</v>
      </c>
      <c r="F2600" s="2">
        <v>2.42603293360419E-2</v>
      </c>
      <c r="G2600" s="2">
        <v>2</v>
      </c>
    </row>
    <row r="2601" spans="1:7" x14ac:dyDescent="0.2">
      <c r="A2601" s="2" t="s">
        <v>42</v>
      </c>
      <c r="B2601" s="14">
        <v>38930</v>
      </c>
      <c r="C2601" s="2">
        <v>5.0000000001000001E-2</v>
      </c>
      <c r="D2601" s="2">
        <v>0</v>
      </c>
      <c r="E2601" s="2">
        <v>1</v>
      </c>
      <c r="F2601" s="2">
        <v>2.6228710176895501E-2</v>
      </c>
      <c r="G2601" s="2">
        <v>2</v>
      </c>
    </row>
    <row r="2602" spans="1:7" x14ac:dyDescent="0.2">
      <c r="A2602" s="2" t="s">
        <v>42</v>
      </c>
      <c r="B2602" s="14">
        <v>38961</v>
      </c>
      <c r="C2602" s="2">
        <v>3.5714285714000003E-2</v>
      </c>
      <c r="D2602" s="2">
        <v>0</v>
      </c>
      <c r="E2602" s="2">
        <v>1</v>
      </c>
      <c r="F2602" s="2">
        <v>2.6462339984414801E-2</v>
      </c>
      <c r="G2602" s="2">
        <v>2</v>
      </c>
    </row>
    <row r="2603" spans="1:7" x14ac:dyDescent="0.2">
      <c r="A2603" s="2" t="s">
        <v>42</v>
      </c>
      <c r="B2603" s="14">
        <v>38991</v>
      </c>
      <c r="C2603" s="2">
        <v>0.17731100567999999</v>
      </c>
      <c r="D2603" s="2">
        <v>0</v>
      </c>
      <c r="E2603" s="2">
        <v>1</v>
      </c>
      <c r="F2603" s="2">
        <v>2.3054559310325799E-2</v>
      </c>
      <c r="G2603" s="2">
        <v>2</v>
      </c>
    </row>
    <row r="2604" spans="1:7" x14ac:dyDescent="0.2">
      <c r="A2604" s="2" t="s">
        <v>42</v>
      </c>
      <c r="B2604" s="14">
        <v>39022</v>
      </c>
      <c r="C2604" s="2">
        <v>3.9603960394999999E-2</v>
      </c>
      <c r="D2604" s="2">
        <v>0</v>
      </c>
      <c r="E2604" s="2">
        <v>1</v>
      </c>
      <c r="F2604" s="2">
        <v>2.83734590467364E-2</v>
      </c>
      <c r="G2604" s="2">
        <v>2</v>
      </c>
    </row>
    <row r="2605" spans="1:7" x14ac:dyDescent="0.2">
      <c r="A2605" s="2" t="s">
        <v>42</v>
      </c>
      <c r="B2605" s="14">
        <v>39052</v>
      </c>
      <c r="C2605" s="2">
        <v>-9.5238095236999994E-3</v>
      </c>
      <c r="D2605" s="2">
        <v>0</v>
      </c>
      <c r="E2605" s="2">
        <v>1</v>
      </c>
      <c r="F2605" s="2">
        <v>2.9587080247006899E-2</v>
      </c>
      <c r="G2605" s="2">
        <v>2</v>
      </c>
    </row>
    <row r="2606" spans="1:7" x14ac:dyDescent="0.2">
      <c r="A2606" s="2" t="s">
        <v>42</v>
      </c>
      <c r="B2606" s="14">
        <v>39083</v>
      </c>
      <c r="C2606" s="2">
        <v>0.10576923077</v>
      </c>
      <c r="D2606" s="2">
        <v>0</v>
      </c>
      <c r="E2606" s="2">
        <v>1</v>
      </c>
      <c r="F2606" s="2">
        <v>3.08295047484064E-2</v>
      </c>
      <c r="G2606" s="2">
        <v>2</v>
      </c>
    </row>
    <row r="2607" spans="1:7" x14ac:dyDescent="0.2">
      <c r="A2607" s="2" t="s">
        <v>42</v>
      </c>
      <c r="B2607" s="14">
        <v>39114</v>
      </c>
      <c r="C2607" s="2">
        <v>0.11304347826</v>
      </c>
      <c r="D2607" s="2">
        <v>0</v>
      </c>
      <c r="E2607" s="2">
        <v>1</v>
      </c>
      <c r="F2607" s="2">
        <v>3.4751835849835502E-2</v>
      </c>
      <c r="G2607" s="2">
        <v>2</v>
      </c>
    </row>
    <row r="2608" spans="1:7" x14ac:dyDescent="0.2">
      <c r="A2608" s="2" t="s">
        <v>42</v>
      </c>
      <c r="B2608" s="14">
        <v>39142</v>
      </c>
      <c r="C2608" s="2">
        <v>0</v>
      </c>
      <c r="D2608" s="2">
        <v>0</v>
      </c>
      <c r="E2608" s="2">
        <v>1</v>
      </c>
      <c r="F2608" s="2">
        <v>3.6445670189750597E-2</v>
      </c>
      <c r="G2608" s="2">
        <v>2</v>
      </c>
    </row>
    <row r="2609" spans="1:7" x14ac:dyDescent="0.2">
      <c r="A2609" s="2" t="s">
        <v>42</v>
      </c>
      <c r="B2609" s="14">
        <v>39173</v>
      </c>
      <c r="C2609" s="2">
        <v>0.1328125</v>
      </c>
      <c r="D2609" s="2">
        <v>0</v>
      </c>
      <c r="E2609" s="2">
        <v>1</v>
      </c>
      <c r="F2609" s="2">
        <v>3.5245606495119597E-2</v>
      </c>
      <c r="G2609" s="2">
        <v>2</v>
      </c>
    </row>
    <row r="2610" spans="1:7" x14ac:dyDescent="0.2">
      <c r="A2610" s="2" t="s">
        <v>42</v>
      </c>
      <c r="B2610" s="14">
        <v>39203</v>
      </c>
      <c r="C2610" s="2">
        <v>-1.3813639096E-2</v>
      </c>
      <c r="D2610" s="2">
        <v>0</v>
      </c>
      <c r="E2610" s="2">
        <v>1</v>
      </c>
      <c r="F2610" s="2">
        <v>3.3844587757469499E-2</v>
      </c>
      <c r="G2610" s="2">
        <v>2</v>
      </c>
    </row>
    <row r="2611" spans="1:7" x14ac:dyDescent="0.2">
      <c r="A2611" s="2" t="s">
        <v>42</v>
      </c>
      <c r="B2611" s="14">
        <v>39234</v>
      </c>
      <c r="C2611" s="2">
        <v>2.1428571428E-2</v>
      </c>
      <c r="D2611" s="2">
        <v>0</v>
      </c>
      <c r="E2611" s="2">
        <v>1</v>
      </c>
      <c r="F2611" s="2">
        <v>3.2294142779454103E-2</v>
      </c>
      <c r="G2611" s="2">
        <v>2</v>
      </c>
    </row>
    <row r="2612" spans="1:7" x14ac:dyDescent="0.2">
      <c r="A2612" s="2" t="s">
        <v>42</v>
      </c>
      <c r="B2612" s="14">
        <v>39264</v>
      </c>
      <c r="C2612" s="2">
        <v>-1.1435088168999999E-2</v>
      </c>
      <c r="D2612" s="2">
        <v>0</v>
      </c>
      <c r="E2612" s="2">
        <v>1</v>
      </c>
      <c r="F2612" s="2">
        <v>3.3040583575369799E-2</v>
      </c>
      <c r="G2612" s="2">
        <v>2</v>
      </c>
    </row>
    <row r="2613" spans="1:7" x14ac:dyDescent="0.2">
      <c r="A2613" s="2" t="s">
        <v>42</v>
      </c>
      <c r="B2613" s="14">
        <v>39295</v>
      </c>
      <c r="C2613" s="2">
        <v>0</v>
      </c>
      <c r="D2613" s="2">
        <v>0</v>
      </c>
      <c r="E2613" s="2">
        <v>1</v>
      </c>
      <c r="F2613" s="2">
        <v>2.4533924946235901E-2</v>
      </c>
      <c r="G2613" s="2">
        <v>2</v>
      </c>
    </row>
    <row r="2614" spans="1:7" x14ac:dyDescent="0.2">
      <c r="A2614" s="2" t="s">
        <v>42</v>
      </c>
      <c r="B2614" s="14">
        <v>39326</v>
      </c>
      <c r="C2614" s="2">
        <v>-1.4285714285999999E-2</v>
      </c>
      <c r="D2614" s="2">
        <v>0</v>
      </c>
      <c r="E2614" s="2">
        <v>1</v>
      </c>
      <c r="F2614" s="2">
        <v>2.1342458905725999E-2</v>
      </c>
      <c r="G2614" s="2">
        <v>2</v>
      </c>
    </row>
    <row r="2615" spans="1:7" x14ac:dyDescent="0.2">
      <c r="A2615" s="2" t="s">
        <v>42</v>
      </c>
      <c r="B2615" s="14">
        <v>39356</v>
      </c>
      <c r="C2615" s="2">
        <v>0</v>
      </c>
      <c r="D2615" s="2">
        <v>0</v>
      </c>
      <c r="E2615" s="2">
        <v>1</v>
      </c>
      <c r="F2615" s="2">
        <v>2.09936416978161E-2</v>
      </c>
      <c r="G2615" s="2">
        <v>2</v>
      </c>
    </row>
    <row r="2616" spans="1:7" x14ac:dyDescent="0.2">
      <c r="A2616" s="2" t="s">
        <v>42</v>
      </c>
      <c r="B2616" s="14">
        <v>39387</v>
      </c>
      <c r="C2616" s="2">
        <v>-7.7491984456999993E-2</v>
      </c>
      <c r="D2616" s="2">
        <v>0</v>
      </c>
      <c r="E2616" s="2">
        <v>1</v>
      </c>
      <c r="F2616" s="2">
        <v>1.69067932348075E-2</v>
      </c>
      <c r="G2616" s="2">
        <v>2</v>
      </c>
    </row>
    <row r="2617" spans="1:7" x14ac:dyDescent="0.2">
      <c r="A2617" s="2" t="s">
        <v>42</v>
      </c>
      <c r="B2617" s="14">
        <v>39417</v>
      </c>
      <c r="C2617" s="2">
        <v>-4.7619047619000002E-2</v>
      </c>
      <c r="D2617" s="2">
        <v>0</v>
      </c>
      <c r="E2617" s="2">
        <v>1</v>
      </c>
      <c r="F2617" s="2">
        <v>1.53258241687816E-2</v>
      </c>
      <c r="G2617" s="2">
        <v>2</v>
      </c>
    </row>
    <row r="2618" spans="1:7" x14ac:dyDescent="0.2">
      <c r="A2618" s="2" t="s">
        <v>42</v>
      </c>
      <c r="B2618" s="14">
        <v>39448</v>
      </c>
      <c r="C2618" s="2">
        <v>-0.12499999999</v>
      </c>
      <c r="D2618" s="2">
        <v>4.1817998999999998E-3</v>
      </c>
      <c r="E2618" s="2">
        <v>1</v>
      </c>
      <c r="F2618" s="2">
        <v>1.35242817601928E-2</v>
      </c>
      <c r="G2618" s="2">
        <v>2</v>
      </c>
    </row>
    <row r="2619" spans="1:7" x14ac:dyDescent="0.2">
      <c r="A2619" s="2" t="s">
        <v>42</v>
      </c>
      <c r="B2619" s="14">
        <v>39479</v>
      </c>
      <c r="C2619" s="2">
        <v>4.7619047618000003E-2</v>
      </c>
      <c r="D2619" s="2">
        <v>6.1260647999999999E-3</v>
      </c>
      <c r="E2619" s="2">
        <v>1</v>
      </c>
      <c r="F2619" s="2">
        <v>1.0647194345775299E-2</v>
      </c>
      <c r="G2619" s="2">
        <v>2</v>
      </c>
    </row>
    <row r="2620" spans="1:7" x14ac:dyDescent="0.2">
      <c r="A2620" s="2" t="s">
        <v>42</v>
      </c>
      <c r="B2620" s="14">
        <v>39508</v>
      </c>
      <c r="C2620" s="2">
        <v>0</v>
      </c>
      <c r="D2620" s="2">
        <v>4.9466262999999996E-3</v>
      </c>
      <c r="E2620" s="2">
        <v>1</v>
      </c>
      <c r="F2620" s="2">
        <v>1.16794151408192E-2</v>
      </c>
      <c r="G2620" s="2">
        <v>2</v>
      </c>
    </row>
    <row r="2621" spans="1:7" x14ac:dyDescent="0.2">
      <c r="A2621" s="2" t="s">
        <v>42</v>
      </c>
      <c r="B2621" s="14">
        <v>39539</v>
      </c>
      <c r="C2621" s="2">
        <v>0.12819526170000001</v>
      </c>
      <c r="D2621" s="2">
        <v>3.2019374E-4</v>
      </c>
      <c r="E2621" s="2">
        <v>1</v>
      </c>
      <c r="F2621" s="2">
        <v>1.2188815144562401E-2</v>
      </c>
      <c r="G2621" s="2">
        <v>2</v>
      </c>
    </row>
    <row r="2622" spans="1:7" x14ac:dyDescent="0.2">
      <c r="A2622" s="2" t="s">
        <v>42</v>
      </c>
      <c r="B2622" s="14">
        <v>39569</v>
      </c>
      <c r="C2622" s="2">
        <v>0</v>
      </c>
      <c r="D2622" s="2">
        <v>-1.663883E-4</v>
      </c>
      <c r="E2622" s="2">
        <v>1</v>
      </c>
      <c r="F2622" s="2">
        <v>1.5711491546472899E-2</v>
      </c>
      <c r="G2622" s="2">
        <v>2</v>
      </c>
    </row>
    <row r="2623" spans="1:7" x14ac:dyDescent="0.2">
      <c r="A2623" s="2" t="s">
        <v>42</v>
      </c>
      <c r="B2623" s="14">
        <v>39600</v>
      </c>
      <c r="C2623" s="2">
        <v>-4.2833333334000002E-2</v>
      </c>
      <c r="D2623" s="2">
        <v>0</v>
      </c>
      <c r="E2623" s="2">
        <v>1</v>
      </c>
      <c r="F2623" s="2">
        <v>1.7961939231737899E-2</v>
      </c>
      <c r="G2623" s="2">
        <v>2</v>
      </c>
    </row>
    <row r="2624" spans="1:7" x14ac:dyDescent="0.2">
      <c r="A2624" s="2" t="s">
        <v>42</v>
      </c>
      <c r="B2624" s="14">
        <v>39630</v>
      </c>
      <c r="C2624" s="2">
        <v>-5.2411966567E-2</v>
      </c>
      <c r="D2624" s="2">
        <v>0</v>
      </c>
      <c r="E2624" s="2">
        <v>1</v>
      </c>
      <c r="F2624" s="2">
        <v>1.8203119623245799E-2</v>
      </c>
      <c r="G2624" s="2">
        <v>2</v>
      </c>
    </row>
    <row r="2625" spans="1:7" x14ac:dyDescent="0.2">
      <c r="A2625" s="2" t="s">
        <v>42</v>
      </c>
      <c r="B2625" s="14">
        <v>39661</v>
      </c>
      <c r="C2625" s="2">
        <v>0</v>
      </c>
      <c r="D2625" s="2">
        <v>0</v>
      </c>
      <c r="E2625" s="2">
        <v>1</v>
      </c>
      <c r="F2625" s="2">
        <v>2.0029870317651001E-2</v>
      </c>
      <c r="G2625" s="2">
        <v>2</v>
      </c>
    </row>
    <row r="2626" spans="1:7" x14ac:dyDescent="0.2">
      <c r="A2626" s="2" t="s">
        <v>42</v>
      </c>
      <c r="B2626" s="14">
        <v>39692</v>
      </c>
      <c r="C2626" s="2">
        <v>-6.5420560747000006E-2</v>
      </c>
      <c r="D2626" s="2">
        <v>0</v>
      </c>
      <c r="E2626" s="2">
        <v>1</v>
      </c>
      <c r="F2626" s="2">
        <v>1.8684707078882201E-2</v>
      </c>
      <c r="G2626" s="2">
        <v>2</v>
      </c>
    </row>
    <row r="2627" spans="1:7" x14ac:dyDescent="0.2">
      <c r="A2627" s="2" t="s">
        <v>42</v>
      </c>
      <c r="B2627" s="14">
        <v>39722</v>
      </c>
      <c r="C2627" s="2">
        <v>-3.9999999999000002E-2</v>
      </c>
      <c r="D2627" s="2">
        <v>0</v>
      </c>
      <c r="E2627" s="2">
        <v>1</v>
      </c>
      <c r="F2627" s="2">
        <v>1.6958420699715801E-2</v>
      </c>
      <c r="G2627" s="2">
        <v>2</v>
      </c>
    </row>
    <row r="2628" spans="1:7" x14ac:dyDescent="0.2">
      <c r="A2628" s="2" t="s">
        <v>42</v>
      </c>
      <c r="B2628" s="14">
        <v>39753</v>
      </c>
      <c r="C2628" s="2">
        <v>-3.1068983676999999E-2</v>
      </c>
      <c r="D2628" s="2">
        <v>1.9575094E-4</v>
      </c>
      <c r="E2628" s="2">
        <v>1</v>
      </c>
      <c r="F2628" s="2">
        <v>1.21457905584251E-2</v>
      </c>
      <c r="G2628" s="2">
        <v>2</v>
      </c>
    </row>
    <row r="2629" spans="1:7" x14ac:dyDescent="0.2">
      <c r="A2629" s="2" t="s">
        <v>42</v>
      </c>
      <c r="B2629" s="14">
        <v>39783</v>
      </c>
      <c r="C2629" s="2">
        <v>-2.6086956522E-2</v>
      </c>
      <c r="D2629" s="2">
        <v>0</v>
      </c>
      <c r="E2629" s="2">
        <v>1</v>
      </c>
      <c r="F2629" s="2">
        <v>1.14087767523389E-2</v>
      </c>
      <c r="G2629" s="2">
        <v>2</v>
      </c>
    </row>
    <row r="2630" spans="1:7" x14ac:dyDescent="0.2">
      <c r="A2630" s="2" t="s">
        <v>43</v>
      </c>
      <c r="B2630" s="14">
        <v>37591</v>
      </c>
      <c r="C2630" s="2">
        <v>-0.04</v>
      </c>
      <c r="E2630" s="2">
        <v>1</v>
      </c>
      <c r="G2630" s="2">
        <v>2</v>
      </c>
    </row>
    <row r="2631" spans="1:7" x14ac:dyDescent="0.2">
      <c r="A2631" s="2" t="s">
        <v>43</v>
      </c>
      <c r="B2631" s="14">
        <v>37622</v>
      </c>
      <c r="C2631" s="2">
        <v>4.1666666666000003E-2</v>
      </c>
      <c r="E2631" s="2">
        <v>1</v>
      </c>
      <c r="G2631" s="2">
        <v>2</v>
      </c>
    </row>
    <row r="2632" spans="1:7" x14ac:dyDescent="0.2">
      <c r="A2632" s="2" t="s">
        <v>43</v>
      </c>
      <c r="B2632" s="14">
        <v>37653</v>
      </c>
      <c r="C2632" s="2">
        <v>-3.1281533806000003E-2</v>
      </c>
      <c r="E2632" s="2">
        <v>1</v>
      </c>
      <c r="G2632" s="2">
        <v>2</v>
      </c>
    </row>
    <row r="2633" spans="1:7" x14ac:dyDescent="0.2">
      <c r="A2633" s="2" t="s">
        <v>43</v>
      </c>
      <c r="B2633" s="14">
        <v>37681</v>
      </c>
      <c r="C2633" s="2">
        <v>0</v>
      </c>
      <c r="E2633" s="2">
        <v>1</v>
      </c>
      <c r="G2633" s="2">
        <v>2</v>
      </c>
    </row>
    <row r="2634" spans="1:7" x14ac:dyDescent="0.2">
      <c r="A2634" s="2" t="s">
        <v>43</v>
      </c>
      <c r="B2634" s="14">
        <v>37712</v>
      </c>
      <c r="C2634" s="2">
        <v>0</v>
      </c>
      <c r="E2634" s="2">
        <v>1</v>
      </c>
      <c r="G2634" s="2">
        <v>2</v>
      </c>
    </row>
    <row r="2635" spans="1:7" x14ac:dyDescent="0.2">
      <c r="A2635" s="2" t="s">
        <v>43</v>
      </c>
      <c r="B2635" s="14">
        <v>37742</v>
      </c>
      <c r="E2635" s="2">
        <v>1</v>
      </c>
      <c r="G2635" s="2">
        <v>2</v>
      </c>
    </row>
    <row r="2636" spans="1:7" x14ac:dyDescent="0.2">
      <c r="A2636" s="2" t="s">
        <v>43</v>
      </c>
      <c r="B2636" s="14">
        <v>37773</v>
      </c>
      <c r="C2636" s="2">
        <v>-1.0515247104E-3</v>
      </c>
      <c r="E2636" s="2">
        <v>1</v>
      </c>
      <c r="G2636" s="2">
        <v>2</v>
      </c>
    </row>
    <row r="2637" spans="1:7" x14ac:dyDescent="0.2">
      <c r="A2637" s="2" t="s">
        <v>43</v>
      </c>
      <c r="B2637" s="14">
        <v>37803</v>
      </c>
      <c r="C2637" s="2">
        <v>0</v>
      </c>
      <c r="E2637" s="2">
        <v>1</v>
      </c>
      <c r="G2637" s="2">
        <v>2</v>
      </c>
    </row>
    <row r="2638" spans="1:7" x14ac:dyDescent="0.2">
      <c r="A2638" s="2" t="s">
        <v>43</v>
      </c>
      <c r="B2638" s="14">
        <v>37834</v>
      </c>
      <c r="C2638" s="2">
        <v>1.0626976345999999E-2</v>
      </c>
      <c r="E2638" s="2">
        <v>1</v>
      </c>
      <c r="G2638" s="2">
        <v>2</v>
      </c>
    </row>
    <row r="2639" spans="1:7" x14ac:dyDescent="0.2">
      <c r="A2639" s="2" t="s">
        <v>43</v>
      </c>
      <c r="B2639" s="14">
        <v>37865</v>
      </c>
      <c r="C2639" s="2">
        <v>1.0517493501E-4</v>
      </c>
      <c r="E2639" s="2">
        <v>1</v>
      </c>
      <c r="G2639" s="2">
        <v>2</v>
      </c>
    </row>
    <row r="2640" spans="1:7" x14ac:dyDescent="0.2">
      <c r="A2640" s="2" t="s">
        <v>43</v>
      </c>
      <c r="B2640" s="14">
        <v>37895</v>
      </c>
      <c r="C2640" s="2">
        <v>1.691232614E-2</v>
      </c>
      <c r="E2640" s="2">
        <v>1</v>
      </c>
      <c r="G2640" s="2">
        <v>2</v>
      </c>
    </row>
    <row r="2641" spans="1:7" x14ac:dyDescent="0.2">
      <c r="A2641" s="2" t="s">
        <v>43</v>
      </c>
      <c r="B2641" s="14">
        <v>37926</v>
      </c>
      <c r="C2641" s="2">
        <v>-6.0640827750000001E-2</v>
      </c>
      <c r="E2641" s="2">
        <v>1</v>
      </c>
      <c r="G2641" s="2">
        <v>2</v>
      </c>
    </row>
    <row r="2642" spans="1:7" x14ac:dyDescent="0.2">
      <c r="A2642" s="2" t="s">
        <v>43</v>
      </c>
      <c r="B2642" s="14">
        <v>37956</v>
      </c>
      <c r="C2642" s="2">
        <v>5.5555555557000001E-2</v>
      </c>
      <c r="E2642" s="2">
        <v>1</v>
      </c>
      <c r="G2642" s="2">
        <v>2</v>
      </c>
    </row>
    <row r="2643" spans="1:7" x14ac:dyDescent="0.2">
      <c r="A2643" s="2" t="s">
        <v>43</v>
      </c>
      <c r="B2643" s="14">
        <v>37987</v>
      </c>
      <c r="E2643" s="2">
        <v>1</v>
      </c>
      <c r="G2643" s="2">
        <v>2</v>
      </c>
    </row>
    <row r="2644" spans="1:7" x14ac:dyDescent="0.2">
      <c r="A2644" s="2" t="s">
        <v>43</v>
      </c>
      <c r="B2644" s="14">
        <v>38018</v>
      </c>
      <c r="E2644" s="2">
        <v>1</v>
      </c>
      <c r="G2644" s="2">
        <v>2</v>
      </c>
    </row>
    <row r="2645" spans="1:7" x14ac:dyDescent="0.2">
      <c r="A2645" s="2" t="s">
        <v>43</v>
      </c>
      <c r="B2645" s="14">
        <v>38047</v>
      </c>
      <c r="C2645" s="2">
        <v>-4.761904762E-2</v>
      </c>
      <c r="D2645" s="2">
        <v>0</v>
      </c>
      <c r="E2645" s="2">
        <v>1</v>
      </c>
      <c r="G2645" s="2">
        <v>2</v>
      </c>
    </row>
    <row r="2646" spans="1:7" x14ac:dyDescent="0.2">
      <c r="A2646" s="2" t="s">
        <v>43</v>
      </c>
      <c r="B2646" s="14">
        <v>38078</v>
      </c>
      <c r="D2646" s="2">
        <v>0</v>
      </c>
      <c r="E2646" s="2">
        <v>1</v>
      </c>
      <c r="G2646" s="2">
        <v>2</v>
      </c>
    </row>
    <row r="2647" spans="1:7" x14ac:dyDescent="0.2">
      <c r="A2647" s="2" t="s">
        <v>43</v>
      </c>
      <c r="B2647" s="14">
        <v>38108</v>
      </c>
      <c r="C2647" s="2">
        <v>-5.0279329607000003E-2</v>
      </c>
      <c r="D2647" s="2">
        <v>0</v>
      </c>
      <c r="E2647" s="2">
        <v>1</v>
      </c>
      <c r="G2647" s="2">
        <v>2</v>
      </c>
    </row>
    <row r="2648" spans="1:7" x14ac:dyDescent="0.2">
      <c r="A2648" s="2" t="s">
        <v>43</v>
      </c>
      <c r="B2648" s="14">
        <v>38139</v>
      </c>
      <c r="C2648" s="2">
        <v>0</v>
      </c>
      <c r="D2648" s="2">
        <v>0</v>
      </c>
      <c r="E2648" s="2">
        <v>1</v>
      </c>
      <c r="G2648" s="2">
        <v>2</v>
      </c>
    </row>
    <row r="2649" spans="1:7" x14ac:dyDescent="0.2">
      <c r="A2649" s="2" t="s">
        <v>43</v>
      </c>
      <c r="B2649" s="14">
        <v>38169</v>
      </c>
      <c r="C2649" s="2">
        <v>3.8835602656000001E-2</v>
      </c>
      <c r="D2649" s="2">
        <v>0</v>
      </c>
      <c r="E2649" s="2">
        <v>1</v>
      </c>
      <c r="G2649" s="2">
        <v>2</v>
      </c>
    </row>
    <row r="2650" spans="1:7" x14ac:dyDescent="0.2">
      <c r="A2650" s="2" t="s">
        <v>43</v>
      </c>
      <c r="B2650" s="14">
        <v>38200</v>
      </c>
      <c r="C2650" s="2">
        <v>-2.2727272725999999E-2</v>
      </c>
      <c r="D2650" s="2">
        <v>0</v>
      </c>
      <c r="E2650" s="2">
        <v>1</v>
      </c>
      <c r="G2650" s="2">
        <v>2</v>
      </c>
    </row>
    <row r="2651" spans="1:7" x14ac:dyDescent="0.2">
      <c r="A2651" s="2" t="s">
        <v>43</v>
      </c>
      <c r="B2651" s="14">
        <v>38231</v>
      </c>
      <c r="C2651" s="2">
        <v>4.6511627907000003E-2</v>
      </c>
      <c r="D2651" s="2">
        <v>0</v>
      </c>
      <c r="E2651" s="2">
        <v>1</v>
      </c>
      <c r="G2651" s="2">
        <v>2</v>
      </c>
    </row>
    <row r="2652" spans="1:7" x14ac:dyDescent="0.2">
      <c r="A2652" s="2" t="s">
        <v>43</v>
      </c>
      <c r="B2652" s="14">
        <v>38261</v>
      </c>
      <c r="C2652" s="2">
        <v>0</v>
      </c>
      <c r="D2652" s="2">
        <v>0</v>
      </c>
      <c r="E2652" s="2">
        <v>1</v>
      </c>
      <c r="G2652" s="2">
        <v>2</v>
      </c>
    </row>
    <row r="2653" spans="1:7" x14ac:dyDescent="0.2">
      <c r="A2653" s="2" t="s">
        <v>43</v>
      </c>
      <c r="B2653" s="14">
        <v>38292</v>
      </c>
      <c r="C2653" s="2">
        <v>3.3444816053999999E-3</v>
      </c>
      <c r="D2653" s="2">
        <v>0</v>
      </c>
      <c r="E2653" s="2">
        <v>1</v>
      </c>
      <c r="G2653" s="2">
        <v>2</v>
      </c>
    </row>
    <row r="2654" spans="1:7" x14ac:dyDescent="0.2">
      <c r="A2654" s="2" t="s">
        <v>43</v>
      </c>
      <c r="B2654" s="14">
        <v>38322</v>
      </c>
      <c r="C2654" s="2">
        <v>0</v>
      </c>
      <c r="D2654" s="2">
        <v>0</v>
      </c>
      <c r="E2654" s="2">
        <v>1</v>
      </c>
      <c r="G2654" s="2">
        <v>2</v>
      </c>
    </row>
    <row r="2655" spans="1:7" x14ac:dyDescent="0.2">
      <c r="A2655" s="2" t="s">
        <v>43</v>
      </c>
      <c r="B2655" s="14">
        <v>38353</v>
      </c>
      <c r="D2655" s="2">
        <v>0</v>
      </c>
      <c r="E2655" s="2">
        <v>1</v>
      </c>
      <c r="G2655" s="2">
        <v>2</v>
      </c>
    </row>
    <row r="2656" spans="1:7" x14ac:dyDescent="0.2">
      <c r="A2656" s="2" t="s">
        <v>43</v>
      </c>
      <c r="B2656" s="14">
        <v>38384</v>
      </c>
      <c r="C2656" s="2">
        <v>4.4593088059999998E-3</v>
      </c>
      <c r="D2656" s="2">
        <v>0</v>
      </c>
      <c r="E2656" s="2">
        <v>1</v>
      </c>
      <c r="G2656" s="2">
        <v>2</v>
      </c>
    </row>
    <row r="2657" spans="1:7" x14ac:dyDescent="0.2">
      <c r="A2657" s="2" t="s">
        <v>43</v>
      </c>
      <c r="B2657" s="14">
        <v>38412</v>
      </c>
      <c r="C2657" s="2">
        <v>2.2197558268E-2</v>
      </c>
      <c r="D2657" s="2">
        <v>0</v>
      </c>
      <c r="E2657" s="2">
        <v>1</v>
      </c>
      <c r="G2657" s="2">
        <v>2</v>
      </c>
    </row>
    <row r="2658" spans="1:7" x14ac:dyDescent="0.2">
      <c r="A2658" s="2" t="s">
        <v>43</v>
      </c>
      <c r="B2658" s="14">
        <v>38443</v>
      </c>
      <c r="C2658" s="2">
        <v>0.20521172637999999</v>
      </c>
      <c r="D2658" s="2">
        <v>0</v>
      </c>
      <c r="E2658" s="2">
        <v>1</v>
      </c>
      <c r="G2658" s="2">
        <v>2</v>
      </c>
    </row>
    <row r="2659" spans="1:7" x14ac:dyDescent="0.2">
      <c r="A2659" s="2" t="s">
        <v>43</v>
      </c>
      <c r="B2659" s="14">
        <v>38473</v>
      </c>
      <c r="C2659" s="2">
        <v>0.1304033279</v>
      </c>
      <c r="D2659" s="2">
        <v>0</v>
      </c>
      <c r="E2659" s="2">
        <v>1</v>
      </c>
      <c r="G2659" s="2">
        <v>2</v>
      </c>
    </row>
    <row r="2660" spans="1:7" x14ac:dyDescent="0.2">
      <c r="A2660" s="2" t="s">
        <v>43</v>
      </c>
      <c r="B2660" s="14">
        <v>38504</v>
      </c>
      <c r="C2660" s="2">
        <v>0</v>
      </c>
      <c r="D2660" s="2">
        <v>0</v>
      </c>
      <c r="E2660" s="2">
        <v>1</v>
      </c>
      <c r="G2660" s="2">
        <v>2</v>
      </c>
    </row>
    <row r="2661" spans="1:7" x14ac:dyDescent="0.2">
      <c r="A2661" s="2" t="s">
        <v>43</v>
      </c>
      <c r="B2661" s="14">
        <v>38534</v>
      </c>
      <c r="D2661" s="2">
        <v>0</v>
      </c>
      <c r="E2661" s="2">
        <v>1</v>
      </c>
      <c r="G2661" s="2">
        <v>2</v>
      </c>
    </row>
    <row r="2662" spans="1:7" x14ac:dyDescent="0.2">
      <c r="A2662" s="2" t="s">
        <v>43</v>
      </c>
      <c r="B2662" s="14">
        <v>38565</v>
      </c>
      <c r="C2662" s="2">
        <v>0.16185897435999999</v>
      </c>
      <c r="D2662" s="2">
        <v>0</v>
      </c>
      <c r="E2662" s="2">
        <v>1</v>
      </c>
      <c r="G2662" s="2">
        <v>2</v>
      </c>
    </row>
    <row r="2663" spans="1:7" x14ac:dyDescent="0.2">
      <c r="A2663" s="2" t="s">
        <v>43</v>
      </c>
      <c r="B2663" s="14">
        <v>38596</v>
      </c>
      <c r="D2663" s="2">
        <v>0</v>
      </c>
      <c r="E2663" s="2">
        <v>1</v>
      </c>
      <c r="F2663" s="2">
        <v>2.6266959846139401E-2</v>
      </c>
      <c r="G2663" s="2">
        <v>2</v>
      </c>
    </row>
    <row r="2664" spans="1:7" x14ac:dyDescent="0.2">
      <c r="A2664" s="2" t="s">
        <v>43</v>
      </c>
      <c r="B2664" s="14">
        <v>38626</v>
      </c>
      <c r="D2664" s="2">
        <v>0</v>
      </c>
      <c r="E2664" s="2">
        <v>1</v>
      </c>
      <c r="F2664" s="2">
        <v>2.5712698201296898E-2</v>
      </c>
      <c r="G2664" s="2">
        <v>2</v>
      </c>
    </row>
    <row r="2665" spans="1:7" x14ac:dyDescent="0.2">
      <c r="A2665" s="2" t="s">
        <v>43</v>
      </c>
      <c r="B2665" s="14">
        <v>38657</v>
      </c>
      <c r="C2665" s="2">
        <v>2.0732550110999998E-3</v>
      </c>
      <c r="D2665" s="2">
        <v>0</v>
      </c>
      <c r="E2665" s="2">
        <v>1</v>
      </c>
      <c r="G2665" s="2">
        <v>2</v>
      </c>
    </row>
    <row r="2666" spans="1:7" x14ac:dyDescent="0.2">
      <c r="A2666" s="2" t="s">
        <v>43</v>
      </c>
      <c r="B2666" s="14">
        <v>38687</v>
      </c>
      <c r="C2666" s="2">
        <v>-3.4482758619999998E-2</v>
      </c>
      <c r="D2666" s="2">
        <v>0</v>
      </c>
      <c r="E2666" s="2">
        <v>1</v>
      </c>
      <c r="F2666" s="2">
        <v>1.61266776163701E-2</v>
      </c>
      <c r="G2666" s="2">
        <v>2</v>
      </c>
    </row>
    <row r="2667" spans="1:7" x14ac:dyDescent="0.2">
      <c r="A2667" s="2" t="s">
        <v>43</v>
      </c>
      <c r="B2667" s="14">
        <v>38718</v>
      </c>
      <c r="C2667" s="2">
        <v>0</v>
      </c>
      <c r="D2667" s="2">
        <v>0</v>
      </c>
      <c r="E2667" s="2">
        <v>1</v>
      </c>
      <c r="F2667" s="2">
        <v>1.52952829426149E-2</v>
      </c>
      <c r="G2667" s="2">
        <v>2</v>
      </c>
    </row>
    <row r="2668" spans="1:7" x14ac:dyDescent="0.2">
      <c r="A2668" s="2" t="s">
        <v>43</v>
      </c>
      <c r="B2668" s="14">
        <v>38749</v>
      </c>
      <c r="D2668" s="2">
        <v>0</v>
      </c>
      <c r="E2668" s="2">
        <v>1</v>
      </c>
      <c r="F2668" s="2">
        <v>1.5236341032408099E-2</v>
      </c>
      <c r="G2668" s="2">
        <v>2</v>
      </c>
    </row>
    <row r="2669" spans="1:7" x14ac:dyDescent="0.2">
      <c r="A2669" s="2" t="s">
        <v>43</v>
      </c>
      <c r="B2669" s="14">
        <v>38777</v>
      </c>
      <c r="C2669" s="2">
        <v>3.7567084079000002E-2</v>
      </c>
      <c r="D2669" s="2">
        <v>0</v>
      </c>
      <c r="E2669" s="2">
        <v>1</v>
      </c>
      <c r="G2669" s="2">
        <v>2</v>
      </c>
    </row>
    <row r="2670" spans="1:7" x14ac:dyDescent="0.2">
      <c r="A2670" s="2" t="s">
        <v>43</v>
      </c>
      <c r="B2670" s="14">
        <v>38808</v>
      </c>
      <c r="D2670" s="2">
        <v>0</v>
      </c>
      <c r="E2670" s="2">
        <v>1</v>
      </c>
      <c r="F2670" s="2">
        <v>1.1617748643293801E-2</v>
      </c>
      <c r="G2670" s="2">
        <v>2</v>
      </c>
    </row>
    <row r="2671" spans="1:7" x14ac:dyDescent="0.2">
      <c r="A2671" s="2" t="s">
        <v>43</v>
      </c>
      <c r="B2671" s="14">
        <v>38838</v>
      </c>
      <c r="D2671" s="2">
        <v>0</v>
      </c>
      <c r="E2671" s="2">
        <v>1</v>
      </c>
      <c r="G2671" s="2">
        <v>2</v>
      </c>
    </row>
    <row r="2672" spans="1:7" x14ac:dyDescent="0.2">
      <c r="A2672" s="2" t="s">
        <v>43</v>
      </c>
      <c r="B2672" s="14">
        <v>38869</v>
      </c>
      <c r="D2672" s="2">
        <v>0</v>
      </c>
      <c r="E2672" s="2">
        <v>1</v>
      </c>
      <c r="G2672" s="2">
        <v>2</v>
      </c>
    </row>
    <row r="2673" spans="1:7" x14ac:dyDescent="0.2">
      <c r="A2673" s="2" t="s">
        <v>43</v>
      </c>
      <c r="B2673" s="14">
        <v>38899</v>
      </c>
      <c r="D2673" s="2">
        <v>0</v>
      </c>
      <c r="E2673" s="2">
        <v>1</v>
      </c>
      <c r="G2673" s="2">
        <v>2</v>
      </c>
    </row>
    <row r="2674" spans="1:7" x14ac:dyDescent="0.2">
      <c r="A2674" s="2" t="s">
        <v>43</v>
      </c>
      <c r="B2674" s="14">
        <v>38930</v>
      </c>
      <c r="D2674" s="2">
        <v>0</v>
      </c>
      <c r="E2674" s="2">
        <v>1</v>
      </c>
      <c r="G2674" s="2">
        <v>2</v>
      </c>
    </row>
    <row r="2675" spans="1:7" x14ac:dyDescent="0.2">
      <c r="A2675" s="2" t="s">
        <v>43</v>
      </c>
      <c r="B2675" s="14">
        <v>38961</v>
      </c>
      <c r="D2675" s="2">
        <v>0</v>
      </c>
      <c r="E2675" s="2">
        <v>1</v>
      </c>
      <c r="G2675" s="2">
        <v>2</v>
      </c>
    </row>
    <row r="2676" spans="1:7" x14ac:dyDescent="0.2">
      <c r="A2676" s="2" t="s">
        <v>43</v>
      </c>
      <c r="B2676" s="14">
        <v>38991</v>
      </c>
      <c r="D2676" s="2">
        <v>0</v>
      </c>
      <c r="E2676" s="2">
        <v>1</v>
      </c>
      <c r="G2676" s="2">
        <v>2</v>
      </c>
    </row>
    <row r="2677" spans="1:7" x14ac:dyDescent="0.2">
      <c r="A2677" s="2" t="s">
        <v>43</v>
      </c>
      <c r="B2677" s="14">
        <v>39022</v>
      </c>
      <c r="C2677" s="2">
        <v>0.21739130435000001</v>
      </c>
      <c r="D2677" s="2">
        <v>0</v>
      </c>
      <c r="E2677" s="2">
        <v>1</v>
      </c>
      <c r="F2677" s="2">
        <v>2.0897480758461698E-3</v>
      </c>
      <c r="G2677" s="2">
        <v>2</v>
      </c>
    </row>
    <row r="2678" spans="1:7" x14ac:dyDescent="0.2">
      <c r="A2678" s="2" t="s">
        <v>43</v>
      </c>
      <c r="B2678" s="14">
        <v>39052</v>
      </c>
      <c r="D2678" s="2">
        <v>0</v>
      </c>
      <c r="E2678" s="2">
        <v>1</v>
      </c>
      <c r="F2678" s="2">
        <v>9.4721830975177997E-3</v>
      </c>
      <c r="G2678" s="2">
        <v>2</v>
      </c>
    </row>
    <row r="2679" spans="1:7" x14ac:dyDescent="0.2">
      <c r="A2679" s="2" t="s">
        <v>43</v>
      </c>
      <c r="B2679" s="14">
        <v>39083</v>
      </c>
      <c r="C2679" s="2">
        <v>-6.9639416460999998E-2</v>
      </c>
      <c r="D2679" s="2">
        <v>0</v>
      </c>
      <c r="E2679" s="2">
        <v>1</v>
      </c>
      <c r="G2679" s="2">
        <v>2</v>
      </c>
    </row>
    <row r="2680" spans="1:7" x14ac:dyDescent="0.2">
      <c r="A2680" s="2" t="s">
        <v>43</v>
      </c>
      <c r="B2680" s="14">
        <v>39114</v>
      </c>
      <c r="C2680" s="2">
        <v>0</v>
      </c>
      <c r="D2680" s="2">
        <v>0</v>
      </c>
      <c r="E2680" s="2">
        <v>1</v>
      </c>
      <c r="F2680" s="2">
        <v>8.2458422148218805E-3</v>
      </c>
      <c r="G2680" s="2">
        <v>2</v>
      </c>
    </row>
    <row r="2681" spans="1:7" x14ac:dyDescent="0.2">
      <c r="A2681" s="2" t="s">
        <v>43</v>
      </c>
      <c r="B2681" s="14">
        <v>39142</v>
      </c>
      <c r="C2681" s="2">
        <v>0</v>
      </c>
      <c r="D2681" s="2">
        <v>0</v>
      </c>
      <c r="E2681" s="2">
        <v>1</v>
      </c>
      <c r="F2681" s="2">
        <v>7.8213524914147303E-3</v>
      </c>
      <c r="G2681" s="2">
        <v>2</v>
      </c>
    </row>
    <row r="2682" spans="1:7" x14ac:dyDescent="0.2">
      <c r="A2682" s="2" t="s">
        <v>43</v>
      </c>
      <c r="B2682" s="14">
        <v>39173</v>
      </c>
      <c r="C2682" s="2">
        <v>-7.6923076922000002E-3</v>
      </c>
      <c r="D2682" s="2">
        <v>0</v>
      </c>
      <c r="E2682" s="2">
        <v>1</v>
      </c>
      <c r="F2682" s="2">
        <v>7.8647528514345401E-3</v>
      </c>
      <c r="G2682" s="2">
        <v>2</v>
      </c>
    </row>
    <row r="2683" spans="1:7" x14ac:dyDescent="0.2">
      <c r="A2683" s="2" t="s">
        <v>43</v>
      </c>
      <c r="B2683" s="14">
        <v>39203</v>
      </c>
      <c r="D2683" s="2">
        <v>0</v>
      </c>
      <c r="E2683" s="2">
        <v>1</v>
      </c>
      <c r="F2683" s="2">
        <v>7.3812974507686396E-3</v>
      </c>
      <c r="G2683" s="2">
        <v>2</v>
      </c>
    </row>
    <row r="2684" spans="1:7" x14ac:dyDescent="0.2">
      <c r="A2684" s="2" t="s">
        <v>43</v>
      </c>
      <c r="B2684" s="14">
        <v>39234</v>
      </c>
      <c r="C2684" s="2">
        <v>1.1650485447999999E-3</v>
      </c>
      <c r="D2684" s="2">
        <v>0</v>
      </c>
      <c r="E2684" s="2">
        <v>1</v>
      </c>
      <c r="G2684" s="2">
        <v>2</v>
      </c>
    </row>
    <row r="2685" spans="1:7" x14ac:dyDescent="0.2">
      <c r="A2685" s="2" t="s">
        <v>43</v>
      </c>
      <c r="B2685" s="14">
        <v>39264</v>
      </c>
      <c r="C2685" s="2">
        <v>-5.0524679355000001E-3</v>
      </c>
      <c r="D2685" s="2">
        <v>0</v>
      </c>
      <c r="E2685" s="2">
        <v>1</v>
      </c>
      <c r="F2685" s="2">
        <v>9.3028051946609104E-4</v>
      </c>
      <c r="G2685" s="2">
        <v>2</v>
      </c>
    </row>
    <row r="2686" spans="1:7" x14ac:dyDescent="0.2">
      <c r="A2686" s="2" t="s">
        <v>43</v>
      </c>
      <c r="B2686" s="14">
        <v>39295</v>
      </c>
      <c r="C2686" s="2">
        <v>-2.34375E-2</v>
      </c>
      <c r="D2686" s="2">
        <v>0</v>
      </c>
      <c r="E2686" s="2">
        <v>1</v>
      </c>
      <c r="G2686" s="2">
        <v>2</v>
      </c>
    </row>
    <row r="2687" spans="1:7" x14ac:dyDescent="0.2">
      <c r="A2687" s="2" t="s">
        <v>43</v>
      </c>
      <c r="B2687" s="14">
        <v>39326</v>
      </c>
      <c r="D2687" s="2">
        <v>0</v>
      </c>
      <c r="E2687" s="2">
        <v>1</v>
      </c>
      <c r="G2687" s="2">
        <v>2</v>
      </c>
    </row>
    <row r="2688" spans="1:7" x14ac:dyDescent="0.2">
      <c r="A2688" s="2" t="s">
        <v>43</v>
      </c>
      <c r="B2688" s="14">
        <v>39356</v>
      </c>
      <c r="D2688" s="2">
        <v>0</v>
      </c>
      <c r="E2688" s="2">
        <v>1</v>
      </c>
      <c r="G2688" s="2">
        <v>2</v>
      </c>
    </row>
    <row r="2689" spans="1:7" x14ac:dyDescent="0.2">
      <c r="A2689" s="2" t="s">
        <v>43</v>
      </c>
      <c r="B2689" s="14">
        <v>39387</v>
      </c>
      <c r="D2689" s="2">
        <v>0</v>
      </c>
      <c r="E2689" s="2">
        <v>1</v>
      </c>
      <c r="G2689" s="2">
        <v>2</v>
      </c>
    </row>
    <row r="2690" spans="1:7" x14ac:dyDescent="0.2">
      <c r="A2690" s="2" t="s">
        <v>43</v>
      </c>
      <c r="B2690" s="14">
        <v>39417</v>
      </c>
      <c r="D2690" s="2">
        <v>0</v>
      </c>
      <c r="E2690" s="2">
        <v>1</v>
      </c>
      <c r="G2690" s="2">
        <v>2</v>
      </c>
    </row>
    <row r="2691" spans="1:7" x14ac:dyDescent="0.2">
      <c r="A2691" s="2" t="s">
        <v>43</v>
      </c>
      <c r="B2691" s="14">
        <v>39448</v>
      </c>
      <c r="D2691" s="2">
        <v>0</v>
      </c>
      <c r="E2691" s="2">
        <v>1</v>
      </c>
      <c r="G2691" s="2">
        <v>2</v>
      </c>
    </row>
    <row r="2692" spans="1:7" x14ac:dyDescent="0.2">
      <c r="A2692" s="2" t="s">
        <v>43</v>
      </c>
      <c r="B2692" s="14">
        <v>39479</v>
      </c>
      <c r="D2692" s="2">
        <v>0</v>
      </c>
      <c r="E2692" s="2">
        <v>1</v>
      </c>
      <c r="G2692" s="2">
        <v>2</v>
      </c>
    </row>
    <row r="2693" spans="1:7" x14ac:dyDescent="0.2">
      <c r="A2693" s="2" t="s">
        <v>43</v>
      </c>
      <c r="B2693" s="14">
        <v>39508</v>
      </c>
      <c r="D2693" s="2">
        <v>0</v>
      </c>
      <c r="E2693" s="2">
        <v>1</v>
      </c>
      <c r="G2693" s="2">
        <v>2</v>
      </c>
    </row>
    <row r="2694" spans="1:7" x14ac:dyDescent="0.2">
      <c r="A2694" s="2" t="s">
        <v>43</v>
      </c>
      <c r="B2694" s="14">
        <v>39539</v>
      </c>
      <c r="D2694" s="2">
        <v>0</v>
      </c>
      <c r="E2694" s="2">
        <v>1</v>
      </c>
      <c r="G2694" s="2">
        <v>2</v>
      </c>
    </row>
    <row r="2695" spans="1:7" x14ac:dyDescent="0.2">
      <c r="A2695" s="2" t="s">
        <v>43</v>
      </c>
      <c r="B2695" s="14">
        <v>39569</v>
      </c>
      <c r="D2695" s="2">
        <v>0</v>
      </c>
      <c r="E2695" s="2">
        <v>1</v>
      </c>
      <c r="G2695" s="2">
        <v>2</v>
      </c>
    </row>
    <row r="2696" spans="1:7" x14ac:dyDescent="0.2">
      <c r="A2696" s="2" t="s">
        <v>43</v>
      </c>
      <c r="B2696" s="14">
        <v>39600</v>
      </c>
      <c r="D2696" s="2">
        <v>0</v>
      </c>
      <c r="E2696" s="2">
        <v>1</v>
      </c>
      <c r="G2696" s="2">
        <v>2</v>
      </c>
    </row>
    <row r="2697" spans="1:7" x14ac:dyDescent="0.2">
      <c r="A2697" s="2" t="s">
        <v>43</v>
      </c>
      <c r="B2697" s="14">
        <v>39630</v>
      </c>
      <c r="D2697" s="2">
        <v>0</v>
      </c>
      <c r="E2697" s="2">
        <v>1</v>
      </c>
      <c r="G2697" s="2">
        <v>2</v>
      </c>
    </row>
    <row r="2698" spans="1:7" x14ac:dyDescent="0.2">
      <c r="A2698" s="2" t="s">
        <v>43</v>
      </c>
      <c r="B2698" s="14">
        <v>39661</v>
      </c>
      <c r="C2698" s="2">
        <v>-0.1935483871</v>
      </c>
      <c r="D2698" s="2">
        <v>0</v>
      </c>
      <c r="E2698" s="2">
        <v>1</v>
      </c>
      <c r="G2698" s="2">
        <v>2</v>
      </c>
    </row>
    <row r="2699" spans="1:7" x14ac:dyDescent="0.2">
      <c r="A2699" s="2" t="s">
        <v>43</v>
      </c>
      <c r="B2699" s="14">
        <v>39692</v>
      </c>
      <c r="C2699" s="2">
        <v>0</v>
      </c>
      <c r="D2699" s="2">
        <v>0</v>
      </c>
      <c r="E2699" s="2">
        <v>1</v>
      </c>
      <c r="G2699" s="2">
        <v>2</v>
      </c>
    </row>
    <row r="2700" spans="1:7" x14ac:dyDescent="0.2">
      <c r="A2700" s="2" t="s">
        <v>43</v>
      </c>
      <c r="B2700" s="14">
        <v>39722</v>
      </c>
      <c r="D2700" s="2">
        <v>0</v>
      </c>
      <c r="E2700" s="2">
        <v>1</v>
      </c>
      <c r="G2700" s="2">
        <v>2</v>
      </c>
    </row>
    <row r="2701" spans="1:7" x14ac:dyDescent="0.2">
      <c r="A2701" s="2" t="s">
        <v>43</v>
      </c>
      <c r="B2701" s="14">
        <v>39753</v>
      </c>
      <c r="D2701" s="2">
        <v>0</v>
      </c>
      <c r="E2701" s="2">
        <v>1</v>
      </c>
      <c r="G2701" s="2">
        <v>2</v>
      </c>
    </row>
    <row r="2702" spans="1:7" x14ac:dyDescent="0.2">
      <c r="A2702" s="2" t="s">
        <v>43</v>
      </c>
      <c r="B2702" s="14">
        <v>39783</v>
      </c>
      <c r="D2702" s="2">
        <v>0</v>
      </c>
      <c r="E2702" s="2">
        <v>1</v>
      </c>
      <c r="G2702" s="2">
        <v>2</v>
      </c>
    </row>
    <row r="2703" spans="1:7" x14ac:dyDescent="0.2">
      <c r="A2703" s="2" t="s">
        <v>44</v>
      </c>
      <c r="B2703" s="14">
        <v>37591</v>
      </c>
      <c r="C2703" s="2">
        <v>8.8435374149000004E-2</v>
      </c>
      <c r="D2703" s="2">
        <v>-2.2169811000000001E-4</v>
      </c>
      <c r="E2703" s="2">
        <v>1</v>
      </c>
      <c r="G2703" s="2">
        <v>2</v>
      </c>
    </row>
    <row r="2704" spans="1:7" x14ac:dyDescent="0.2">
      <c r="A2704" s="2" t="s">
        <v>44</v>
      </c>
      <c r="B2704" s="14">
        <v>37622</v>
      </c>
      <c r="C2704" s="2">
        <v>-5.8333333332999997E-2</v>
      </c>
      <c r="D2704" s="2">
        <v>0</v>
      </c>
      <c r="E2704" s="2">
        <v>1</v>
      </c>
      <c r="G2704" s="2">
        <v>2</v>
      </c>
    </row>
    <row r="2705" spans="1:7" x14ac:dyDescent="0.2">
      <c r="A2705" s="2" t="s">
        <v>44</v>
      </c>
      <c r="B2705" s="14">
        <v>37653</v>
      </c>
      <c r="C2705" s="2">
        <v>1.7699115043999999E-2</v>
      </c>
      <c r="D2705" s="2">
        <v>4.5386792000000001E-4</v>
      </c>
      <c r="E2705" s="2">
        <v>1</v>
      </c>
      <c r="G2705" s="2">
        <v>2</v>
      </c>
    </row>
    <row r="2706" spans="1:7" x14ac:dyDescent="0.2">
      <c r="A2706" s="2" t="s">
        <v>44</v>
      </c>
      <c r="B2706" s="14">
        <v>37681</v>
      </c>
      <c r="C2706" s="2">
        <v>3.4782608696E-2</v>
      </c>
      <c r="D2706" s="19">
        <v>2.1226415000000002E-5</v>
      </c>
      <c r="E2706" s="2">
        <v>1</v>
      </c>
      <c r="G2706" s="2">
        <v>2</v>
      </c>
    </row>
    <row r="2707" spans="1:7" x14ac:dyDescent="0.2">
      <c r="A2707" s="2" t="s">
        <v>44</v>
      </c>
      <c r="B2707" s="14">
        <v>37712</v>
      </c>
      <c r="C2707" s="2">
        <v>-1.7229958295999999E-2</v>
      </c>
      <c r="D2707" s="2">
        <v>0</v>
      </c>
      <c r="E2707" s="2">
        <v>1</v>
      </c>
      <c r="G2707" s="2">
        <v>2</v>
      </c>
    </row>
    <row r="2708" spans="1:7" x14ac:dyDescent="0.2">
      <c r="A2708" s="2" t="s">
        <v>44</v>
      </c>
      <c r="B2708" s="14">
        <v>37742</v>
      </c>
      <c r="C2708" s="2">
        <v>4.347826087E-2</v>
      </c>
      <c r="D2708" s="2">
        <v>-3.4754717E-4</v>
      </c>
      <c r="E2708" s="2">
        <v>1</v>
      </c>
      <c r="G2708" s="2">
        <v>2</v>
      </c>
    </row>
    <row r="2709" spans="1:7" x14ac:dyDescent="0.2">
      <c r="A2709" s="2" t="s">
        <v>44</v>
      </c>
      <c r="B2709" s="14">
        <v>37773</v>
      </c>
      <c r="C2709" s="2">
        <v>1.5463700331E-2</v>
      </c>
      <c r="D2709" s="2">
        <v>8.5683964000000002E-4</v>
      </c>
      <c r="E2709" s="2">
        <v>1</v>
      </c>
      <c r="G2709" s="2">
        <v>2</v>
      </c>
    </row>
    <row r="2710" spans="1:7" x14ac:dyDescent="0.2">
      <c r="A2710" s="2" t="s">
        <v>44</v>
      </c>
      <c r="B2710" s="14">
        <v>37803</v>
      </c>
      <c r="C2710" s="2">
        <v>-2.4896265559999999E-2</v>
      </c>
      <c r="D2710" s="2">
        <v>0</v>
      </c>
      <c r="E2710" s="2">
        <v>1</v>
      </c>
      <c r="G2710" s="2">
        <v>2</v>
      </c>
    </row>
    <row r="2711" spans="1:7" x14ac:dyDescent="0.2">
      <c r="A2711" s="2" t="s">
        <v>44</v>
      </c>
      <c r="B2711" s="14">
        <v>37834</v>
      </c>
      <c r="C2711" s="2">
        <v>0.10509548883</v>
      </c>
      <c r="D2711" s="2">
        <v>2.3668397000000002E-3</v>
      </c>
      <c r="E2711" s="2">
        <v>1</v>
      </c>
      <c r="F2711" s="2">
        <v>4.6007541951256703E-3</v>
      </c>
      <c r="G2711" s="2">
        <v>2</v>
      </c>
    </row>
    <row r="2712" spans="1:7" x14ac:dyDescent="0.2">
      <c r="A2712" s="2" t="s">
        <v>44</v>
      </c>
      <c r="B2712" s="14">
        <v>37865</v>
      </c>
      <c r="C2712" s="2">
        <v>-2.9126213591999999E-2</v>
      </c>
      <c r="D2712" s="2">
        <v>2.1426415E-4</v>
      </c>
      <c r="E2712" s="2">
        <v>1</v>
      </c>
      <c r="F2712" s="2">
        <v>7.1678369299344397E-3</v>
      </c>
      <c r="G2712" s="2">
        <v>2</v>
      </c>
    </row>
    <row r="2713" spans="1:7" x14ac:dyDescent="0.2">
      <c r="A2713" s="2" t="s">
        <v>44</v>
      </c>
      <c r="B2713" s="14">
        <v>37895</v>
      </c>
      <c r="C2713" s="2">
        <v>0.2</v>
      </c>
      <c r="D2713" s="2">
        <v>1.1615188999999999E-3</v>
      </c>
      <c r="E2713" s="2">
        <v>1</v>
      </c>
      <c r="F2713" s="2">
        <v>5.3700753137847302E-3</v>
      </c>
      <c r="G2713" s="2">
        <v>2</v>
      </c>
    </row>
    <row r="2714" spans="1:7" x14ac:dyDescent="0.2">
      <c r="A2714" s="2" t="s">
        <v>44</v>
      </c>
      <c r="B2714" s="14">
        <v>37926</v>
      </c>
      <c r="C2714" s="2">
        <v>-4.7074570247999999E-2</v>
      </c>
      <c r="D2714" s="2">
        <v>0</v>
      </c>
      <c r="E2714" s="2">
        <v>1</v>
      </c>
      <c r="F2714" s="2">
        <v>1.17367038200746E-2</v>
      </c>
      <c r="G2714" s="2">
        <v>2</v>
      </c>
    </row>
    <row r="2715" spans="1:7" x14ac:dyDescent="0.2">
      <c r="A2715" s="2" t="s">
        <v>44</v>
      </c>
      <c r="B2715" s="14">
        <v>37956</v>
      </c>
      <c r="C2715" s="2">
        <v>2.6548672565999999E-2</v>
      </c>
      <c r="D2715" s="2">
        <v>8.4183022E-4</v>
      </c>
      <c r="E2715" s="2">
        <v>1</v>
      </c>
      <c r="F2715" s="2">
        <v>9.2508797114229692E-3</v>
      </c>
      <c r="G2715" s="2">
        <v>2</v>
      </c>
    </row>
    <row r="2716" spans="1:7" x14ac:dyDescent="0.2">
      <c r="A2716" s="2" t="s">
        <v>44</v>
      </c>
      <c r="B2716" s="14">
        <v>37987</v>
      </c>
      <c r="C2716" s="2">
        <v>0</v>
      </c>
      <c r="E2716" s="2">
        <v>1</v>
      </c>
      <c r="F2716" s="2">
        <v>9.4460141413507392E-3</v>
      </c>
      <c r="G2716" s="2">
        <v>2</v>
      </c>
    </row>
    <row r="2717" spans="1:7" x14ac:dyDescent="0.2">
      <c r="A2717" s="2" t="s">
        <v>44</v>
      </c>
      <c r="B2717" s="14">
        <v>38018</v>
      </c>
      <c r="C2717" s="2">
        <v>1.7241379309999999E-2</v>
      </c>
      <c r="E2717" s="2">
        <v>1</v>
      </c>
      <c r="F2717" s="2">
        <v>1.0088765652210599E-2</v>
      </c>
      <c r="G2717" s="2">
        <v>2</v>
      </c>
    </row>
    <row r="2718" spans="1:7" x14ac:dyDescent="0.2">
      <c r="A2718" s="2" t="s">
        <v>44</v>
      </c>
      <c r="B2718" s="14">
        <v>38047</v>
      </c>
      <c r="C2718" s="2">
        <v>-6.7796610169000002E-2</v>
      </c>
      <c r="D2718" s="2">
        <v>8.1528924000000003E-2</v>
      </c>
      <c r="E2718" s="2">
        <v>1</v>
      </c>
      <c r="F2718" s="2">
        <v>7.5118114882557797E-3</v>
      </c>
      <c r="G2718" s="2">
        <v>2</v>
      </c>
    </row>
    <row r="2719" spans="1:7" x14ac:dyDescent="0.2">
      <c r="A2719" s="2" t="s">
        <v>44</v>
      </c>
      <c r="B2719" s="14">
        <v>38078</v>
      </c>
      <c r="C2719" s="2">
        <v>-3.3796840513999997E-2</v>
      </c>
      <c r="D2719" s="2">
        <v>0</v>
      </c>
      <c r="E2719" s="2">
        <v>1</v>
      </c>
      <c r="F2719" s="2">
        <v>6.6517178576640003E-3</v>
      </c>
      <c r="G2719" s="2">
        <v>2</v>
      </c>
    </row>
    <row r="2720" spans="1:7" x14ac:dyDescent="0.2">
      <c r="A2720" s="2" t="s">
        <v>44</v>
      </c>
      <c r="B2720" s="14">
        <v>38108</v>
      </c>
      <c r="C2720" s="2">
        <v>-0.10880691998</v>
      </c>
      <c r="D2720" s="2">
        <v>-7.9202831999999998E-4</v>
      </c>
      <c r="E2720" s="2">
        <v>1</v>
      </c>
      <c r="F2720" s="19">
        <v>1.9527338749193201E-5</v>
      </c>
      <c r="G2720" s="2">
        <v>2</v>
      </c>
    </row>
    <row r="2721" spans="1:7" x14ac:dyDescent="0.2">
      <c r="A2721" s="2" t="s">
        <v>44</v>
      </c>
      <c r="B2721" s="14">
        <v>38139</v>
      </c>
      <c r="C2721" s="2">
        <v>0.11827956989000001</v>
      </c>
      <c r="D2721" s="2">
        <v>0</v>
      </c>
      <c r="E2721" s="2">
        <v>1</v>
      </c>
      <c r="F2721" s="2">
        <v>-1.3429738133755201E-3</v>
      </c>
      <c r="G2721" s="2">
        <v>2</v>
      </c>
    </row>
    <row r="2722" spans="1:7" x14ac:dyDescent="0.2">
      <c r="A2722" s="2" t="s">
        <v>44</v>
      </c>
      <c r="B2722" s="14">
        <v>38169</v>
      </c>
      <c r="C2722" s="2">
        <v>-7.4615384615000002E-2</v>
      </c>
      <c r="D2722" s="2">
        <v>-8.6561323000000005E-4</v>
      </c>
      <c r="E2722" s="2">
        <v>1</v>
      </c>
      <c r="F2722" s="2">
        <v>1.17297968358056E-3</v>
      </c>
      <c r="G2722" s="2">
        <v>2</v>
      </c>
    </row>
    <row r="2723" spans="1:7" x14ac:dyDescent="0.2">
      <c r="A2723" s="2" t="s">
        <v>44</v>
      </c>
      <c r="B2723" s="14">
        <v>38200</v>
      </c>
      <c r="C2723" s="2">
        <v>7.0534349610000005E-2</v>
      </c>
      <c r="D2723" s="2">
        <v>0</v>
      </c>
      <c r="E2723" s="2">
        <v>1</v>
      </c>
      <c r="F2723" s="2">
        <v>-2.6063678756659101E-3</v>
      </c>
      <c r="G2723" s="2">
        <v>2</v>
      </c>
    </row>
    <row r="2724" spans="1:7" x14ac:dyDescent="0.2">
      <c r="A2724" s="2" t="s">
        <v>44</v>
      </c>
      <c r="B2724" s="14">
        <v>38231</v>
      </c>
      <c r="C2724" s="2">
        <v>3.9215686274000003E-2</v>
      </c>
      <c r="D2724" s="2">
        <v>0</v>
      </c>
      <c r="E2724" s="2">
        <v>1</v>
      </c>
      <c r="F2724" s="2">
        <v>-1.2517234673053001E-3</v>
      </c>
      <c r="G2724" s="2">
        <v>2</v>
      </c>
    </row>
    <row r="2725" spans="1:7" x14ac:dyDescent="0.2">
      <c r="A2725" s="2" t="s">
        <v>44</v>
      </c>
      <c r="B2725" s="14">
        <v>38261</v>
      </c>
      <c r="C2725" s="2">
        <v>2.2641509433000001E-2</v>
      </c>
      <c r="D2725" s="2">
        <v>0</v>
      </c>
      <c r="E2725" s="2">
        <v>1</v>
      </c>
      <c r="F2725" s="2">
        <v>1.74747727656009E-3</v>
      </c>
      <c r="G2725" s="2">
        <v>2</v>
      </c>
    </row>
    <row r="2726" spans="1:7" x14ac:dyDescent="0.2">
      <c r="A2726" s="2" t="s">
        <v>44</v>
      </c>
      <c r="B2726" s="14">
        <v>38292</v>
      </c>
      <c r="C2726" s="2">
        <v>2.5847031198000001E-2</v>
      </c>
      <c r="D2726" s="2">
        <v>2.5164341000000002E-3</v>
      </c>
      <c r="E2726" s="2">
        <v>1</v>
      </c>
      <c r="F2726" s="2">
        <v>2.9058255391367599E-3</v>
      </c>
      <c r="G2726" s="2">
        <v>2</v>
      </c>
    </row>
    <row r="2727" spans="1:7" x14ac:dyDescent="0.2">
      <c r="A2727" s="2" t="s">
        <v>44</v>
      </c>
      <c r="B2727" s="14">
        <v>38322</v>
      </c>
      <c r="C2727" s="2">
        <v>2.7223230490999999E-2</v>
      </c>
      <c r="D2727" s="2">
        <v>1.2147453E-3</v>
      </c>
      <c r="E2727" s="2">
        <v>1</v>
      </c>
      <c r="F2727" s="2">
        <v>6.7385206241123204E-3</v>
      </c>
      <c r="G2727" s="2">
        <v>2</v>
      </c>
    </row>
    <row r="2728" spans="1:7" x14ac:dyDescent="0.2">
      <c r="A2728" s="2" t="s">
        <v>44</v>
      </c>
      <c r="B2728" s="14">
        <v>38353</v>
      </c>
      <c r="C2728" s="2">
        <v>-1.0600706713999999E-2</v>
      </c>
      <c r="D2728" s="2">
        <v>1.6929246000000001E-4</v>
      </c>
      <c r="E2728" s="2">
        <v>1</v>
      </c>
      <c r="F2728" s="2">
        <v>4.0471521007923597E-3</v>
      </c>
      <c r="G2728" s="2">
        <v>2</v>
      </c>
    </row>
    <row r="2729" spans="1:7" x14ac:dyDescent="0.2">
      <c r="A2729" s="2" t="s">
        <v>44</v>
      </c>
      <c r="B2729" s="14">
        <v>38384</v>
      </c>
      <c r="C2729" s="2">
        <v>3.5714285716000001E-2</v>
      </c>
      <c r="D2729" s="2">
        <v>0</v>
      </c>
      <c r="E2729" s="2">
        <v>1</v>
      </c>
      <c r="F2729" s="2">
        <v>5.9230292944179802E-3</v>
      </c>
      <c r="G2729" s="2">
        <v>2</v>
      </c>
    </row>
    <row r="2730" spans="1:7" x14ac:dyDescent="0.2">
      <c r="A2730" s="2" t="s">
        <v>44</v>
      </c>
      <c r="B2730" s="14">
        <v>38412</v>
      </c>
      <c r="C2730" s="2">
        <v>0</v>
      </c>
      <c r="D2730" s="2">
        <v>9.4339624000000001E-4</v>
      </c>
      <c r="E2730" s="2">
        <v>1</v>
      </c>
      <c r="F2730" s="2">
        <v>4.84865255588023E-3</v>
      </c>
      <c r="G2730" s="2">
        <v>2</v>
      </c>
    </row>
    <row r="2731" spans="1:7" x14ac:dyDescent="0.2">
      <c r="A2731" s="2" t="s">
        <v>44</v>
      </c>
      <c r="B2731" s="14">
        <v>38443</v>
      </c>
      <c r="C2731" s="2">
        <v>-2.7689701346E-4</v>
      </c>
      <c r="D2731" s="2">
        <v>2.4433963999999998E-4</v>
      </c>
      <c r="E2731" s="2">
        <v>1</v>
      </c>
      <c r="F2731" s="2">
        <v>3.6419654567410899E-3</v>
      </c>
      <c r="G2731" s="2">
        <v>2</v>
      </c>
    </row>
    <row r="2732" spans="1:7" x14ac:dyDescent="0.2">
      <c r="A2732" s="2" t="s">
        <v>44</v>
      </c>
      <c r="B2732" s="14">
        <v>38473</v>
      </c>
      <c r="C2732" s="2">
        <v>6.1268108147000001E-3</v>
      </c>
      <c r="D2732" s="2">
        <v>0</v>
      </c>
      <c r="E2732" s="2">
        <v>1</v>
      </c>
      <c r="F2732" s="2">
        <v>2.9761661903181299E-3</v>
      </c>
      <c r="G2732" s="2">
        <v>2</v>
      </c>
    </row>
    <row r="2733" spans="1:7" x14ac:dyDescent="0.2">
      <c r="A2733" s="2" t="s">
        <v>44</v>
      </c>
      <c r="B2733" s="14">
        <v>38504</v>
      </c>
      <c r="C2733" s="2">
        <v>8.6956521736000006E-3</v>
      </c>
      <c r="D2733" s="2">
        <v>0</v>
      </c>
      <c r="E2733" s="2">
        <v>1</v>
      </c>
      <c r="F2733" s="2">
        <v>2.1525590583721201E-3</v>
      </c>
      <c r="G2733" s="2">
        <v>2</v>
      </c>
    </row>
    <row r="2734" spans="1:7" x14ac:dyDescent="0.2">
      <c r="A2734" s="2" t="s">
        <v>44</v>
      </c>
      <c r="B2734" s="14">
        <v>38534</v>
      </c>
      <c r="C2734" s="2">
        <v>0</v>
      </c>
      <c r="D2734" s="19">
        <v>6.5094338000000001E-7</v>
      </c>
      <c r="E2734" s="2">
        <v>1</v>
      </c>
      <c r="F2734" s="2">
        <v>1.3855849042908801E-3</v>
      </c>
      <c r="G2734" s="2">
        <v>2</v>
      </c>
    </row>
    <row r="2735" spans="1:7" x14ac:dyDescent="0.2">
      <c r="A2735" s="2" t="s">
        <v>44</v>
      </c>
      <c r="B2735" s="14">
        <v>38565</v>
      </c>
      <c r="C2735" s="2">
        <v>-1.5166611591000001E-2</v>
      </c>
      <c r="D2735" s="2">
        <v>4.7169812E-4</v>
      </c>
      <c r="E2735" s="2">
        <v>1</v>
      </c>
      <c r="F2735" s="2">
        <v>3.7201572972258099E-3</v>
      </c>
      <c r="G2735" s="2">
        <v>2</v>
      </c>
    </row>
    <row r="2736" spans="1:7" x14ac:dyDescent="0.2">
      <c r="A2736" s="2" t="s">
        <v>44</v>
      </c>
      <c r="B2736" s="14">
        <v>38596</v>
      </c>
      <c r="C2736" s="2">
        <v>-1.0600706713999999E-2</v>
      </c>
      <c r="D2736" s="19">
        <v>8.9433961000000005E-6</v>
      </c>
      <c r="E2736" s="2">
        <v>1</v>
      </c>
      <c r="F2736" s="2">
        <v>2.2163546486895199E-3</v>
      </c>
      <c r="G2736" s="2">
        <v>2</v>
      </c>
    </row>
    <row r="2737" spans="1:7" x14ac:dyDescent="0.2">
      <c r="A2737" s="2" t="s">
        <v>44</v>
      </c>
      <c r="B2737" s="14">
        <v>38626</v>
      </c>
      <c r="C2737" s="2">
        <v>-0.10714285714000001</v>
      </c>
      <c r="D2737" s="2">
        <v>-2.5242453000000002E-3</v>
      </c>
      <c r="E2737" s="2">
        <v>1</v>
      </c>
      <c r="F2737" s="2">
        <v>1.9110959555836101E-3</v>
      </c>
      <c r="G2737" s="2">
        <v>2</v>
      </c>
    </row>
    <row r="2738" spans="1:7" x14ac:dyDescent="0.2">
      <c r="A2738" s="2" t="s">
        <v>44</v>
      </c>
      <c r="B2738" s="14">
        <v>38657</v>
      </c>
      <c r="C2738" s="2">
        <v>-7.9999999998000004E-3</v>
      </c>
      <c r="D2738" s="19">
        <v>9.4339621000000008E-6</v>
      </c>
      <c r="E2738" s="2">
        <v>1</v>
      </c>
      <c r="F2738" s="2">
        <v>-5.5027488961705104E-4</v>
      </c>
      <c r="G2738" s="2">
        <v>2</v>
      </c>
    </row>
    <row r="2739" spans="1:7" x14ac:dyDescent="0.2">
      <c r="A2739" s="2" t="s">
        <v>44</v>
      </c>
      <c r="B2739" s="14">
        <v>38687</v>
      </c>
      <c r="C2739" s="2">
        <v>-2.9707402427000002E-3</v>
      </c>
      <c r="D2739" s="19">
        <v>4.1962263000000002E-5</v>
      </c>
      <c r="E2739" s="2">
        <v>1</v>
      </c>
      <c r="F2739" s="2">
        <v>-9.4122616464932703E-4</v>
      </c>
      <c r="G2739" s="2">
        <v>2</v>
      </c>
    </row>
    <row r="2740" spans="1:7" x14ac:dyDescent="0.2">
      <c r="A2740" s="2" t="s">
        <v>44</v>
      </c>
      <c r="B2740" s="14">
        <v>38718</v>
      </c>
      <c r="C2740" s="2">
        <v>-0.10204081632000001</v>
      </c>
      <c r="D2740" s="19">
        <v>8.7943394000000006E-5</v>
      </c>
      <c r="E2740" s="2">
        <v>1</v>
      </c>
      <c r="F2740" s="2">
        <v>-1.3006805126020999E-3</v>
      </c>
      <c r="G2740" s="2">
        <v>2</v>
      </c>
    </row>
    <row r="2741" spans="1:7" x14ac:dyDescent="0.2">
      <c r="A2741" s="2" t="s">
        <v>44</v>
      </c>
      <c r="B2741" s="14">
        <v>38749</v>
      </c>
      <c r="C2741" s="2">
        <v>2.0454545453999998E-2</v>
      </c>
      <c r="D2741" s="2">
        <v>0</v>
      </c>
      <c r="E2741" s="2">
        <v>1</v>
      </c>
      <c r="F2741" s="2">
        <v>-3.8262459321013898E-3</v>
      </c>
      <c r="G2741" s="2">
        <v>2</v>
      </c>
    </row>
    <row r="2742" spans="1:7" x14ac:dyDescent="0.2">
      <c r="A2742" s="2" t="s">
        <v>44</v>
      </c>
      <c r="B2742" s="14">
        <v>38777</v>
      </c>
      <c r="C2742" s="2">
        <v>-1.5590200445000001E-2</v>
      </c>
      <c r="D2742" s="2">
        <v>-8.0188678000000005E-4</v>
      </c>
      <c r="E2742" s="2">
        <v>1</v>
      </c>
      <c r="F2742" s="2">
        <v>-2.8707673604985999E-3</v>
      </c>
      <c r="G2742" s="2">
        <v>2</v>
      </c>
    </row>
    <row r="2743" spans="1:7" x14ac:dyDescent="0.2">
      <c r="A2743" s="2" t="s">
        <v>44</v>
      </c>
      <c r="B2743" s="14">
        <v>38808</v>
      </c>
      <c r="C2743" s="2">
        <v>1.9660065059999999E-2</v>
      </c>
      <c r="D2743" s="2">
        <v>1.8655660000000001E-4</v>
      </c>
      <c r="E2743" s="2">
        <v>1</v>
      </c>
      <c r="F2743" s="2">
        <v>-2.9858409701775399E-3</v>
      </c>
      <c r="G2743" s="2">
        <v>2</v>
      </c>
    </row>
    <row r="2744" spans="1:7" x14ac:dyDescent="0.2">
      <c r="A2744" s="2" t="s">
        <v>44</v>
      </c>
      <c r="B2744" s="14">
        <v>38838</v>
      </c>
      <c r="C2744" s="2">
        <v>6.0657523515999998E-2</v>
      </c>
      <c r="D2744" s="2">
        <v>2.2192452000000001E-4</v>
      </c>
      <c r="E2744" s="2">
        <v>1</v>
      </c>
      <c r="F2744" s="2">
        <v>6.6937545461284601E-4</v>
      </c>
      <c r="G2744" s="2">
        <v>2</v>
      </c>
    </row>
    <row r="2745" spans="1:7" x14ac:dyDescent="0.2">
      <c r="A2745" s="2" t="s">
        <v>44</v>
      </c>
      <c r="B2745" s="14">
        <v>38869</v>
      </c>
      <c r="C2745" s="2">
        <v>-3.2754237287999997E-2</v>
      </c>
      <c r="D2745" s="19">
        <v>-1.4150944000000001E-5</v>
      </c>
      <c r="E2745" s="2">
        <v>1</v>
      </c>
      <c r="F2745" s="2">
        <v>2.6335598492291E-3</v>
      </c>
      <c r="G2745" s="2">
        <v>2</v>
      </c>
    </row>
    <row r="2746" spans="1:7" x14ac:dyDescent="0.2">
      <c r="A2746" s="2" t="s">
        <v>44</v>
      </c>
      <c r="B2746" s="14">
        <v>38899</v>
      </c>
      <c r="C2746" s="2">
        <v>-4.7180969905000002E-2</v>
      </c>
      <c r="D2746" s="19">
        <v>4.8584906999999999E-6</v>
      </c>
      <c r="E2746" s="2">
        <v>1</v>
      </c>
      <c r="F2746" s="2">
        <v>1.8453555683438699E-3</v>
      </c>
      <c r="G2746" s="2">
        <v>2</v>
      </c>
    </row>
    <row r="2747" spans="1:7" x14ac:dyDescent="0.2">
      <c r="A2747" s="2" t="s">
        <v>44</v>
      </c>
      <c r="B2747" s="14">
        <v>38930</v>
      </c>
      <c r="C2747" s="2">
        <v>-8.4824601572000002E-3</v>
      </c>
      <c r="D2747" s="19">
        <v>-5.1509433000000002E-5</v>
      </c>
      <c r="E2747" s="2">
        <v>1</v>
      </c>
      <c r="F2747" s="2">
        <v>7.8642844721765592E-3</v>
      </c>
      <c r="G2747" s="2">
        <v>2</v>
      </c>
    </row>
    <row r="2748" spans="1:7" x14ac:dyDescent="0.2">
      <c r="A2748" s="2" t="s">
        <v>44</v>
      </c>
      <c r="B2748" s="14">
        <v>38961</v>
      </c>
      <c r="C2748" s="2">
        <v>6.9483568075000002E-2</v>
      </c>
      <c r="D2748" s="2">
        <v>-8.5223582999999995E-4</v>
      </c>
      <c r="E2748" s="2">
        <v>1</v>
      </c>
      <c r="F2748" s="2">
        <v>7.0777145620565798E-3</v>
      </c>
      <c r="G2748" s="2">
        <v>2</v>
      </c>
    </row>
    <row r="2749" spans="1:7" x14ac:dyDescent="0.2">
      <c r="A2749" s="2" t="s">
        <v>44</v>
      </c>
      <c r="B2749" s="14">
        <v>38991</v>
      </c>
      <c r="C2749" s="2">
        <v>6.2700532641000006E-2</v>
      </c>
      <c r="D2749" s="2">
        <v>1.4950537999999999E-2</v>
      </c>
      <c r="E2749" s="2">
        <v>1</v>
      </c>
      <c r="F2749" s="2">
        <v>9.5422874405718394E-3</v>
      </c>
      <c r="G2749" s="2">
        <v>2</v>
      </c>
    </row>
    <row r="2750" spans="1:7" x14ac:dyDescent="0.2">
      <c r="A2750" s="2" t="s">
        <v>44</v>
      </c>
      <c r="B2750" s="14">
        <v>39022</v>
      </c>
      <c r="C2750" s="2">
        <v>0.14452560684999999</v>
      </c>
      <c r="D2750" s="2">
        <v>1.2557990999999999E-2</v>
      </c>
      <c r="E2750" s="2">
        <v>1</v>
      </c>
      <c r="F2750" s="2">
        <v>1.0556227792628801E-2</v>
      </c>
      <c r="G2750" s="2">
        <v>2</v>
      </c>
    </row>
    <row r="2751" spans="1:7" x14ac:dyDescent="0.2">
      <c r="A2751" s="2" t="s">
        <v>44</v>
      </c>
      <c r="B2751" s="14">
        <v>39052</v>
      </c>
      <c r="C2751" s="2">
        <v>-1.8518518518000002E-2</v>
      </c>
      <c r="D2751" s="2">
        <v>0</v>
      </c>
      <c r="E2751" s="2">
        <v>1</v>
      </c>
      <c r="F2751" s="2">
        <v>1.29675024465956E-2</v>
      </c>
      <c r="G2751" s="2">
        <v>2</v>
      </c>
    </row>
    <row r="2752" spans="1:7" x14ac:dyDescent="0.2">
      <c r="A2752" s="2" t="s">
        <v>44</v>
      </c>
      <c r="B2752" s="14">
        <v>39083</v>
      </c>
      <c r="C2752" s="2">
        <v>7.5471698111999996E-2</v>
      </c>
      <c r="D2752" s="2">
        <v>7.0754718000000003E-4</v>
      </c>
      <c r="E2752" s="2">
        <v>1</v>
      </c>
      <c r="F2752" s="2">
        <v>1.3431175345130801E-2</v>
      </c>
      <c r="G2752" s="2">
        <v>2</v>
      </c>
    </row>
    <row r="2753" spans="1:7" x14ac:dyDescent="0.2">
      <c r="A2753" s="2" t="s">
        <v>44</v>
      </c>
      <c r="B2753" s="14">
        <v>39114</v>
      </c>
      <c r="C2753" s="2">
        <v>3.1578947368000002E-2</v>
      </c>
      <c r="D2753" s="2">
        <v>6.1320752000000004E-4</v>
      </c>
      <c r="E2753" s="2">
        <v>1</v>
      </c>
      <c r="F2753" s="2">
        <v>1.6642401070782901E-2</v>
      </c>
      <c r="G2753" s="2">
        <v>2</v>
      </c>
    </row>
    <row r="2754" spans="1:7" x14ac:dyDescent="0.2">
      <c r="A2754" s="2" t="s">
        <v>44</v>
      </c>
      <c r="B2754" s="14">
        <v>39142</v>
      </c>
      <c r="C2754" s="2">
        <v>-2.7210884354000001E-2</v>
      </c>
      <c r="D2754" s="2">
        <v>0</v>
      </c>
      <c r="E2754" s="2">
        <v>1</v>
      </c>
      <c r="F2754" s="2">
        <v>1.7728404050372602E-2</v>
      </c>
      <c r="G2754" s="2">
        <v>2</v>
      </c>
    </row>
    <row r="2755" spans="1:7" x14ac:dyDescent="0.2">
      <c r="A2755" s="2" t="s">
        <v>44</v>
      </c>
      <c r="B2755" s="14">
        <v>39173</v>
      </c>
      <c r="C2755" s="2">
        <v>6.3244215160000006E-2</v>
      </c>
      <c r="D2755" s="2">
        <v>0</v>
      </c>
      <c r="E2755" s="2">
        <v>1</v>
      </c>
      <c r="F2755" s="2">
        <v>1.46768040835209E-2</v>
      </c>
      <c r="G2755" s="2">
        <v>2</v>
      </c>
    </row>
    <row r="2756" spans="1:7" x14ac:dyDescent="0.2">
      <c r="A2756" s="2" t="s">
        <v>44</v>
      </c>
      <c r="B2756" s="14">
        <v>39203</v>
      </c>
      <c r="C2756" s="2">
        <v>0.16374476561000001</v>
      </c>
      <c r="D2756" s="2">
        <v>0</v>
      </c>
      <c r="E2756" s="2">
        <v>1</v>
      </c>
      <c r="F2756" s="2">
        <v>1.4580593790527299E-2</v>
      </c>
      <c r="G2756" s="2">
        <v>2</v>
      </c>
    </row>
    <row r="2757" spans="1:7" x14ac:dyDescent="0.2">
      <c r="A2757" s="2" t="s">
        <v>44</v>
      </c>
      <c r="B2757" s="14">
        <v>39234</v>
      </c>
      <c r="C2757" s="19">
        <v>-2.8570612812E-5</v>
      </c>
      <c r="D2757" s="2">
        <v>1.6457428E-3</v>
      </c>
      <c r="E2757" s="2">
        <v>1</v>
      </c>
      <c r="F2757" s="2">
        <v>1.50161646236523E-2</v>
      </c>
      <c r="G2757" s="2">
        <v>2</v>
      </c>
    </row>
    <row r="2758" spans="1:7" x14ac:dyDescent="0.2">
      <c r="A2758" s="2" t="s">
        <v>44</v>
      </c>
      <c r="B2758" s="14">
        <v>39264</v>
      </c>
      <c r="C2758" s="2">
        <v>0</v>
      </c>
      <c r="D2758" s="2">
        <v>6.0975606999999999E-3</v>
      </c>
      <c r="E2758" s="2">
        <v>1</v>
      </c>
      <c r="F2758" s="2">
        <v>1.55029213402503E-2</v>
      </c>
      <c r="G2758" s="2">
        <v>2</v>
      </c>
    </row>
    <row r="2759" spans="1:7" x14ac:dyDescent="0.2">
      <c r="A2759" s="2" t="s">
        <v>44</v>
      </c>
      <c r="B2759" s="14">
        <v>39295</v>
      </c>
      <c r="C2759" s="2">
        <v>-2.2418209857E-2</v>
      </c>
      <c r="D2759" s="2">
        <v>0</v>
      </c>
      <c r="E2759" s="2">
        <v>1</v>
      </c>
      <c r="F2759" s="2">
        <v>1.8633481037343799E-2</v>
      </c>
      <c r="G2759" s="2">
        <v>2</v>
      </c>
    </row>
    <row r="2760" spans="1:7" x14ac:dyDescent="0.2">
      <c r="A2760" s="2" t="s">
        <v>44</v>
      </c>
      <c r="B2760" s="14">
        <v>39326</v>
      </c>
      <c r="C2760" s="2">
        <v>-1.4705882352E-2</v>
      </c>
      <c r="D2760" s="2">
        <v>0</v>
      </c>
      <c r="E2760" s="2">
        <v>1</v>
      </c>
      <c r="F2760" s="2">
        <v>1.71625704581666E-2</v>
      </c>
      <c r="G2760" s="2">
        <v>2</v>
      </c>
    </row>
    <row r="2761" spans="1:7" x14ac:dyDescent="0.2">
      <c r="A2761" s="2" t="s">
        <v>44</v>
      </c>
      <c r="B2761" s="14">
        <v>39356</v>
      </c>
      <c r="C2761" s="2">
        <v>-1.7910447762000001E-2</v>
      </c>
      <c r="D2761" s="2">
        <v>0</v>
      </c>
      <c r="E2761" s="2">
        <v>1</v>
      </c>
      <c r="F2761" s="2">
        <v>1.75895159906144E-2</v>
      </c>
      <c r="G2761" s="2">
        <v>2</v>
      </c>
    </row>
    <row r="2762" spans="1:7" x14ac:dyDescent="0.2">
      <c r="A2762" s="2" t="s">
        <v>44</v>
      </c>
      <c r="B2762" s="14">
        <v>39387</v>
      </c>
      <c r="C2762" s="2">
        <v>-0.14264681707999999</v>
      </c>
      <c r="D2762" s="19">
        <v>-8.9073167999999999E-5</v>
      </c>
      <c r="E2762" s="2">
        <v>1</v>
      </c>
      <c r="F2762" s="2">
        <v>1.5311986009964499E-2</v>
      </c>
      <c r="G2762" s="2">
        <v>2</v>
      </c>
    </row>
    <row r="2763" spans="1:7" x14ac:dyDescent="0.2">
      <c r="A2763" s="2" t="s">
        <v>44</v>
      </c>
      <c r="B2763" s="14">
        <v>39417</v>
      </c>
      <c r="C2763" s="2">
        <v>-2.8607142858E-2</v>
      </c>
      <c r="D2763" s="2">
        <v>0</v>
      </c>
      <c r="E2763" s="2">
        <v>1</v>
      </c>
      <c r="F2763" s="2">
        <v>6.9568993909888297E-3</v>
      </c>
      <c r="G2763" s="2">
        <v>2</v>
      </c>
    </row>
    <row r="2764" spans="1:7" x14ac:dyDescent="0.2">
      <c r="A2764" s="2" t="s">
        <v>44</v>
      </c>
      <c r="B2764" s="14">
        <v>39448</v>
      </c>
      <c r="C2764" s="2">
        <v>-0.15438067576</v>
      </c>
      <c r="D2764" s="2">
        <v>2.1951218999999999E-4</v>
      </c>
      <c r="E2764" s="2">
        <v>1</v>
      </c>
      <c r="F2764" s="2">
        <v>6.2044402047132796E-3</v>
      </c>
      <c r="G2764" s="2">
        <v>2</v>
      </c>
    </row>
    <row r="2765" spans="1:7" x14ac:dyDescent="0.2">
      <c r="A2765" s="2" t="s">
        <v>44</v>
      </c>
      <c r="B2765" s="14">
        <v>39479</v>
      </c>
      <c r="C2765" s="2">
        <v>0</v>
      </c>
      <c r="D2765" s="2">
        <v>-6.7168619000000001E-3</v>
      </c>
      <c r="E2765" s="2">
        <v>1</v>
      </c>
      <c r="F2765" s="2">
        <v>2.30787802272655E-3</v>
      </c>
      <c r="G2765" s="2">
        <v>2</v>
      </c>
    </row>
    <row r="2766" spans="1:7" x14ac:dyDescent="0.2">
      <c r="A2766" s="2" t="s">
        <v>44</v>
      </c>
      <c r="B2766" s="14">
        <v>39508</v>
      </c>
      <c r="C2766" s="2">
        <v>-8.6956521736000006E-3</v>
      </c>
      <c r="D2766" s="2">
        <v>3.8556096999999999E-4</v>
      </c>
      <c r="E2766" s="2">
        <v>1</v>
      </c>
      <c r="F2766" s="2">
        <v>2.9364071472609398E-3</v>
      </c>
      <c r="G2766" s="2">
        <v>2</v>
      </c>
    </row>
    <row r="2767" spans="1:7" x14ac:dyDescent="0.2">
      <c r="A2767" s="2" t="s">
        <v>44</v>
      </c>
      <c r="B2767" s="14">
        <v>39539</v>
      </c>
      <c r="C2767" s="2">
        <v>1.7597311167000002E-2</v>
      </c>
      <c r="D2767" s="2">
        <v>0</v>
      </c>
      <c r="E2767" s="2">
        <v>1</v>
      </c>
      <c r="F2767" s="2">
        <v>3.12852162968326E-3</v>
      </c>
      <c r="G2767" s="2">
        <v>2</v>
      </c>
    </row>
    <row r="2768" spans="1:7" x14ac:dyDescent="0.2">
      <c r="A2768" s="2" t="s">
        <v>44</v>
      </c>
      <c r="B2768" s="14">
        <v>39569</v>
      </c>
      <c r="C2768" s="2">
        <v>-1.3754832602E-2</v>
      </c>
      <c r="D2768" s="2">
        <v>-7.7398372999999999E-3</v>
      </c>
      <c r="E2768" s="2">
        <v>1</v>
      </c>
      <c r="F2768" s="2">
        <v>4.0808719918235901E-3</v>
      </c>
      <c r="G2768" s="2">
        <v>2</v>
      </c>
    </row>
    <row r="2769" spans="1:7" x14ac:dyDescent="0.2">
      <c r="A2769" s="2" t="s">
        <v>44</v>
      </c>
      <c r="B2769" s="14">
        <v>39600</v>
      </c>
      <c r="C2769" s="2">
        <v>6.6666666668000002E-2</v>
      </c>
      <c r="D2769" s="2">
        <v>-3.5507318E-3</v>
      </c>
      <c r="E2769" s="2">
        <v>1</v>
      </c>
      <c r="F2769" s="2">
        <v>7.4090565987082304E-3</v>
      </c>
      <c r="G2769" s="2">
        <v>2</v>
      </c>
    </row>
    <row r="2770" spans="1:7" x14ac:dyDescent="0.2">
      <c r="A2770" s="2" t="s">
        <v>44</v>
      </c>
      <c r="B2770" s="14">
        <v>39630</v>
      </c>
      <c r="C2770" s="2">
        <v>0</v>
      </c>
      <c r="D2770" s="19">
        <v>-7.3658533999999996E-6</v>
      </c>
      <c r="E2770" s="2">
        <v>1</v>
      </c>
      <c r="F2770" s="2">
        <v>1.01354406340705E-2</v>
      </c>
      <c r="G2770" s="2">
        <v>2</v>
      </c>
    </row>
    <row r="2771" spans="1:7" x14ac:dyDescent="0.2">
      <c r="A2771" s="2" t="s">
        <v>44</v>
      </c>
      <c r="B2771" s="14">
        <v>39661</v>
      </c>
      <c r="C2771" s="2">
        <v>6.6666666666000005E-2</v>
      </c>
      <c r="D2771" s="2">
        <v>0</v>
      </c>
      <c r="E2771" s="2">
        <v>1</v>
      </c>
      <c r="F2771" s="2">
        <v>1.3390591746710199E-2</v>
      </c>
      <c r="G2771" s="2">
        <v>2</v>
      </c>
    </row>
    <row r="2772" spans="1:7" x14ac:dyDescent="0.2">
      <c r="A2772" s="2" t="s">
        <v>44</v>
      </c>
      <c r="B2772" s="14">
        <v>39692</v>
      </c>
      <c r="C2772" s="2">
        <v>-4.6875E-2</v>
      </c>
      <c r="D2772" s="2">
        <v>-2.8861789E-3</v>
      </c>
      <c r="E2772" s="2">
        <v>1</v>
      </c>
      <c r="F2772" s="2">
        <v>1.52748015017095E-2</v>
      </c>
      <c r="G2772" s="2">
        <v>2</v>
      </c>
    </row>
    <row r="2773" spans="1:7" x14ac:dyDescent="0.2">
      <c r="A2773" s="2" t="s">
        <v>44</v>
      </c>
      <c r="B2773" s="14">
        <v>39722</v>
      </c>
      <c r="C2773" s="2">
        <v>-0.11885245900999999</v>
      </c>
      <c r="D2773" s="2">
        <v>-4.6098372000000004E-3</v>
      </c>
      <c r="E2773" s="2">
        <v>1</v>
      </c>
      <c r="F2773" s="2">
        <v>1.4289291435362599E-2</v>
      </c>
      <c r="G2773" s="2">
        <v>2</v>
      </c>
    </row>
    <row r="2774" spans="1:7" x14ac:dyDescent="0.2">
      <c r="A2774" s="2" t="s">
        <v>44</v>
      </c>
      <c r="B2774" s="14">
        <v>39753</v>
      </c>
      <c r="C2774" s="2">
        <v>0.11627906976000001</v>
      </c>
      <c r="D2774" s="19">
        <v>-2.0804879000000001E-5</v>
      </c>
      <c r="E2774" s="2">
        <v>1</v>
      </c>
      <c r="F2774" s="2">
        <v>1.0737571139841501E-2</v>
      </c>
      <c r="G2774" s="2">
        <v>2</v>
      </c>
    </row>
    <row r="2775" spans="1:7" x14ac:dyDescent="0.2">
      <c r="A2775" s="2" t="s">
        <v>44</v>
      </c>
      <c r="B2775" s="14">
        <v>39783</v>
      </c>
      <c r="C2775" s="2">
        <v>8.8777219431000004E-2</v>
      </c>
      <c r="D2775" s="2">
        <v>-1.2011382000000001E-3</v>
      </c>
      <c r="E2775" s="2">
        <v>1</v>
      </c>
      <c r="F2775" s="2">
        <v>1.4281088244557901E-2</v>
      </c>
      <c r="G2775" s="2">
        <v>2</v>
      </c>
    </row>
    <row r="2776" spans="1:7" x14ac:dyDescent="0.2">
      <c r="A2776" s="2" t="s">
        <v>45</v>
      </c>
      <c r="B2776" s="14">
        <v>37591</v>
      </c>
      <c r="C2776" s="2">
        <v>2.8011204485999999E-3</v>
      </c>
      <c r="D2776" s="2">
        <v>2.3697115999999998E-3</v>
      </c>
      <c r="E2776" s="2">
        <v>1</v>
      </c>
      <c r="G2776" s="2">
        <v>1</v>
      </c>
    </row>
    <row r="2777" spans="1:7" x14ac:dyDescent="0.2">
      <c r="A2777" s="2" t="s">
        <v>45</v>
      </c>
      <c r="B2777" s="14">
        <v>37622</v>
      </c>
      <c r="C2777" s="2">
        <v>3.3519553071999997E-2</v>
      </c>
      <c r="D2777" s="2">
        <v>1.0481821E-3</v>
      </c>
      <c r="E2777" s="2">
        <v>1</v>
      </c>
      <c r="G2777" s="2">
        <v>1</v>
      </c>
    </row>
    <row r="2778" spans="1:7" x14ac:dyDescent="0.2">
      <c r="A2778" s="2" t="s">
        <v>45</v>
      </c>
      <c r="B2778" s="14">
        <v>37653</v>
      </c>
      <c r="C2778" s="2">
        <v>-8.1081081071E-3</v>
      </c>
      <c r="D2778" s="2">
        <v>6.3798570999999997E-4</v>
      </c>
      <c r="E2778" s="2">
        <v>1</v>
      </c>
      <c r="G2778" s="2">
        <v>1</v>
      </c>
    </row>
    <row r="2779" spans="1:7" x14ac:dyDescent="0.2">
      <c r="A2779" s="2" t="s">
        <v>45</v>
      </c>
      <c r="B2779" s="14">
        <v>37681</v>
      </c>
      <c r="C2779" s="2">
        <v>-6.1307901908E-2</v>
      </c>
      <c r="D2779" s="2">
        <v>6.1707541999999997E-4</v>
      </c>
      <c r="E2779" s="2">
        <v>1</v>
      </c>
      <c r="G2779" s="2">
        <v>1</v>
      </c>
    </row>
    <row r="2780" spans="1:7" x14ac:dyDescent="0.2">
      <c r="A2780" s="2" t="s">
        <v>45</v>
      </c>
      <c r="B2780" s="14">
        <v>37712</v>
      </c>
      <c r="C2780" s="2">
        <v>0.21625544266999999</v>
      </c>
      <c r="D2780" s="2">
        <v>-2.8842998999999999E-4</v>
      </c>
      <c r="E2780" s="2">
        <v>1</v>
      </c>
      <c r="G2780" s="2">
        <v>1</v>
      </c>
    </row>
    <row r="2781" spans="1:7" x14ac:dyDescent="0.2">
      <c r="A2781" s="2" t="s">
        <v>45</v>
      </c>
      <c r="B2781" s="14">
        <v>37742</v>
      </c>
      <c r="C2781" s="2">
        <v>3.1026252984E-2</v>
      </c>
      <c r="D2781" s="2">
        <v>-1.5105609000000001E-3</v>
      </c>
      <c r="E2781" s="2">
        <v>1</v>
      </c>
      <c r="G2781" s="2">
        <v>1</v>
      </c>
    </row>
    <row r="2782" spans="1:7" x14ac:dyDescent="0.2">
      <c r="A2782" s="2" t="s">
        <v>45</v>
      </c>
      <c r="B2782" s="14">
        <v>37773</v>
      </c>
      <c r="C2782" s="2">
        <v>-2.7731506913000002E-2</v>
      </c>
      <c r="D2782" s="2">
        <v>9.1301282999999998E-4</v>
      </c>
      <c r="E2782" s="2">
        <v>1</v>
      </c>
      <c r="G2782" s="2">
        <v>1</v>
      </c>
    </row>
    <row r="2783" spans="1:7" x14ac:dyDescent="0.2">
      <c r="A2783" s="2" t="s">
        <v>45</v>
      </c>
      <c r="B2783" s="14">
        <v>37803</v>
      </c>
      <c r="C2783" s="2">
        <v>4.7092993898E-2</v>
      </c>
      <c r="D2783" s="2">
        <v>1.3987346E-3</v>
      </c>
      <c r="E2783" s="2">
        <v>1</v>
      </c>
      <c r="G2783" s="2">
        <v>1</v>
      </c>
    </row>
    <row r="2784" spans="1:7" x14ac:dyDescent="0.2">
      <c r="A2784" s="2" t="s">
        <v>45</v>
      </c>
      <c r="B2784" s="14">
        <v>37834</v>
      </c>
      <c r="C2784" s="2">
        <v>2.3192388564000001E-2</v>
      </c>
      <c r="D2784" s="2">
        <v>3.8387370000000001E-3</v>
      </c>
      <c r="E2784" s="2">
        <v>1</v>
      </c>
      <c r="F2784" s="2">
        <v>2.76512636608734E-2</v>
      </c>
      <c r="G2784" s="2">
        <v>1</v>
      </c>
    </row>
    <row r="2785" spans="1:7" x14ac:dyDescent="0.2">
      <c r="A2785" s="2" t="s">
        <v>45</v>
      </c>
      <c r="B2785" s="14">
        <v>37865</v>
      </c>
      <c r="C2785" s="2">
        <v>4.8888888888999997E-2</v>
      </c>
      <c r="D2785" s="2">
        <v>1.5919083000000001E-3</v>
      </c>
      <c r="E2785" s="2">
        <v>1</v>
      </c>
      <c r="F2785" s="2">
        <v>2.8380345780398501E-2</v>
      </c>
      <c r="G2785" s="2">
        <v>1</v>
      </c>
    </row>
    <row r="2786" spans="1:7" x14ac:dyDescent="0.2">
      <c r="A2786" s="2" t="s">
        <v>45</v>
      </c>
      <c r="B2786" s="14">
        <v>37895</v>
      </c>
      <c r="C2786" s="2">
        <v>2.5423728813999999E-2</v>
      </c>
      <c r="D2786" s="2">
        <v>5.5281706999999998E-4</v>
      </c>
      <c r="E2786" s="2">
        <v>1</v>
      </c>
      <c r="F2786" s="2">
        <v>3.1359000984359703E-2</v>
      </c>
      <c r="G2786" s="2">
        <v>1</v>
      </c>
    </row>
    <row r="2787" spans="1:7" x14ac:dyDescent="0.2">
      <c r="A2787" s="2" t="s">
        <v>45</v>
      </c>
      <c r="B2787" s="14">
        <v>37926</v>
      </c>
      <c r="C2787" s="2">
        <v>-2.0661157023999999E-2</v>
      </c>
      <c r="D2787" s="2">
        <v>1.2502335000000001E-3</v>
      </c>
      <c r="E2787" s="2">
        <v>1</v>
      </c>
      <c r="F2787" s="2">
        <v>2.57061128740604E-2</v>
      </c>
      <c r="G2787" s="2">
        <v>1</v>
      </c>
    </row>
    <row r="2788" spans="1:7" x14ac:dyDescent="0.2">
      <c r="A2788" s="2" t="s">
        <v>45</v>
      </c>
      <c r="B2788" s="14">
        <v>37956</v>
      </c>
      <c r="C2788" s="2">
        <v>-1.6877637131E-2</v>
      </c>
      <c r="D2788" s="2">
        <v>3.1137506E-3</v>
      </c>
      <c r="E2788" s="2">
        <v>1</v>
      </c>
      <c r="F2788" s="2">
        <v>2.4224302701342099E-2</v>
      </c>
      <c r="G2788" s="2">
        <v>1</v>
      </c>
    </row>
    <row r="2789" spans="1:7" x14ac:dyDescent="0.2">
      <c r="A2789" s="2" t="s">
        <v>45</v>
      </c>
      <c r="B2789" s="14">
        <v>37987</v>
      </c>
      <c r="C2789" s="2">
        <v>-1.7167381974000001E-2</v>
      </c>
      <c r="E2789" s="2">
        <v>1</v>
      </c>
      <c r="F2789" s="2">
        <v>2.45371265207435E-2</v>
      </c>
      <c r="G2789" s="2">
        <v>1</v>
      </c>
    </row>
    <row r="2790" spans="1:7" x14ac:dyDescent="0.2">
      <c r="A2790" s="2" t="s">
        <v>45</v>
      </c>
      <c r="B2790" s="14">
        <v>38018</v>
      </c>
      <c r="C2790" s="2">
        <v>0.15720524017000001</v>
      </c>
      <c r="E2790" s="2">
        <v>1</v>
      </c>
      <c r="F2790" s="2">
        <v>2.2737229147083399E-2</v>
      </c>
      <c r="G2790" s="2">
        <v>1</v>
      </c>
    </row>
    <row r="2791" spans="1:7" x14ac:dyDescent="0.2">
      <c r="A2791" s="2" t="s">
        <v>45</v>
      </c>
      <c r="B2791" s="14">
        <v>38047</v>
      </c>
      <c r="C2791" s="2">
        <v>-4.7770342101E-2</v>
      </c>
      <c r="D2791" s="2">
        <v>3.5599004000000001E-3</v>
      </c>
      <c r="E2791" s="2">
        <v>1</v>
      </c>
      <c r="F2791" s="2">
        <v>2.64556296986974E-2</v>
      </c>
      <c r="G2791" s="2">
        <v>1</v>
      </c>
    </row>
    <row r="2792" spans="1:7" x14ac:dyDescent="0.2">
      <c r="A2792" s="2" t="s">
        <v>45</v>
      </c>
      <c r="B2792" s="14">
        <v>38078</v>
      </c>
      <c r="C2792" s="2">
        <v>0.11591536338</v>
      </c>
      <c r="D2792" s="2">
        <v>1.804492E-3</v>
      </c>
      <c r="E2792" s="2">
        <v>1</v>
      </c>
      <c r="F2792" s="2">
        <v>2.3769639191583501E-2</v>
      </c>
      <c r="G2792" s="2">
        <v>1</v>
      </c>
    </row>
    <row r="2793" spans="1:7" x14ac:dyDescent="0.2">
      <c r="A2793" s="2" t="s">
        <v>45</v>
      </c>
      <c r="B2793" s="14">
        <v>38108</v>
      </c>
      <c r="C2793" s="2">
        <v>-5.3371088570000003E-2</v>
      </c>
      <c r="D2793" s="2">
        <v>2.4385026000000001E-3</v>
      </c>
      <c r="E2793" s="2">
        <v>1</v>
      </c>
      <c r="F2793" s="2">
        <v>2.5801870861794501E-2</v>
      </c>
      <c r="G2793" s="2">
        <v>1</v>
      </c>
    </row>
    <row r="2794" spans="1:7" x14ac:dyDescent="0.2">
      <c r="A2794" s="2" t="s">
        <v>45</v>
      </c>
      <c r="B2794" s="14">
        <v>38139</v>
      </c>
      <c r="C2794" s="2">
        <v>-7.9515335101000006E-3</v>
      </c>
      <c r="D2794" s="2">
        <v>1.2070570000000001E-3</v>
      </c>
      <c r="E2794" s="2">
        <v>1</v>
      </c>
      <c r="F2794" s="2">
        <v>2.5059968504231599E-2</v>
      </c>
      <c r="G2794" s="2">
        <v>1</v>
      </c>
    </row>
    <row r="2795" spans="1:7" x14ac:dyDescent="0.2">
      <c r="A2795" s="2" t="s">
        <v>45</v>
      </c>
      <c r="B2795" s="14">
        <v>38169</v>
      </c>
      <c r="C2795" s="2">
        <v>8.3969465650000005E-2</v>
      </c>
      <c r="D2795" s="2">
        <v>2.2754399E-4</v>
      </c>
      <c r="E2795" s="2">
        <v>1</v>
      </c>
      <c r="F2795" s="2">
        <v>2.5316016291200699E-2</v>
      </c>
      <c r="G2795" s="2">
        <v>1</v>
      </c>
    </row>
    <row r="2796" spans="1:7" x14ac:dyDescent="0.2">
      <c r="A2796" s="2" t="s">
        <v>45</v>
      </c>
      <c r="B2796" s="14">
        <v>38200</v>
      </c>
      <c r="C2796" s="2">
        <v>0.11841549295000001</v>
      </c>
      <c r="D2796" s="2">
        <v>6.2181818000000004E-4</v>
      </c>
      <c r="E2796" s="2">
        <v>1</v>
      </c>
      <c r="F2796" s="2">
        <v>2.3658716463046799E-2</v>
      </c>
      <c r="G2796" s="2">
        <v>1</v>
      </c>
    </row>
    <row r="2797" spans="1:7" x14ac:dyDescent="0.2">
      <c r="A2797" s="2" t="s">
        <v>45</v>
      </c>
      <c r="B2797" s="14">
        <v>38231</v>
      </c>
      <c r="C2797" s="2">
        <v>7.4615118210000003E-3</v>
      </c>
      <c r="D2797" s="2">
        <v>-9.5101603000000005E-4</v>
      </c>
      <c r="E2797" s="2">
        <v>1</v>
      </c>
      <c r="F2797" s="2">
        <v>2.2384045508976401E-2</v>
      </c>
      <c r="G2797" s="2">
        <v>1</v>
      </c>
    </row>
    <row r="2798" spans="1:7" x14ac:dyDescent="0.2">
      <c r="A2798" s="2" t="s">
        <v>45</v>
      </c>
      <c r="B2798" s="14">
        <v>38261</v>
      </c>
      <c r="C2798" s="2">
        <v>6.8718750001000001E-2</v>
      </c>
      <c r="D2798" s="2">
        <v>1.5626870000000001E-3</v>
      </c>
      <c r="E2798" s="2">
        <v>1</v>
      </c>
      <c r="F2798" s="2">
        <v>2.39650636674489E-2</v>
      </c>
      <c r="G2798" s="2">
        <v>1</v>
      </c>
    </row>
    <row r="2799" spans="1:7" x14ac:dyDescent="0.2">
      <c r="A2799" s="2" t="s">
        <v>45</v>
      </c>
      <c r="B2799" s="14">
        <v>38292</v>
      </c>
      <c r="C2799" s="2">
        <v>-4.6755753093000001E-2</v>
      </c>
      <c r="D2799" s="2">
        <v>-2.5238501999999999E-3</v>
      </c>
      <c r="E2799" s="2">
        <v>1</v>
      </c>
      <c r="F2799" s="2">
        <v>2.24672813798471E-2</v>
      </c>
      <c r="G2799" s="2">
        <v>1</v>
      </c>
    </row>
    <row r="2800" spans="1:7" x14ac:dyDescent="0.2">
      <c r="A2800" s="2" t="s">
        <v>45</v>
      </c>
      <c r="B2800" s="14">
        <v>38322</v>
      </c>
      <c r="C2800" s="2">
        <v>2.7576687116E-2</v>
      </c>
      <c r="D2800" s="2">
        <v>-1.5380855E-3</v>
      </c>
      <c r="E2800" s="2">
        <v>1</v>
      </c>
      <c r="F2800" s="2">
        <v>2.2806646938930499E-2</v>
      </c>
      <c r="G2800" s="2">
        <v>1</v>
      </c>
    </row>
    <row r="2801" spans="1:7" x14ac:dyDescent="0.2">
      <c r="A2801" s="2" t="s">
        <v>45</v>
      </c>
      <c r="B2801" s="14">
        <v>38353</v>
      </c>
      <c r="C2801" s="2">
        <v>-8.8957879361000001E-3</v>
      </c>
      <c r="D2801" s="2">
        <v>-9.0224599000000003E-4</v>
      </c>
      <c r="E2801" s="2">
        <v>1</v>
      </c>
      <c r="F2801" s="2">
        <v>2.37438362632111E-2</v>
      </c>
      <c r="G2801" s="2">
        <v>1</v>
      </c>
    </row>
    <row r="2802" spans="1:7" x14ac:dyDescent="0.2">
      <c r="A2802" s="2" t="s">
        <v>45</v>
      </c>
      <c r="B2802" s="14">
        <v>38384</v>
      </c>
      <c r="C2802" s="2">
        <v>9.9364476975000005E-2</v>
      </c>
      <c r="D2802" s="2">
        <v>-1.0119786E-3</v>
      </c>
      <c r="E2802" s="2">
        <v>1</v>
      </c>
      <c r="F2802" s="2">
        <v>2.1072074066140398E-2</v>
      </c>
      <c r="G2802" s="2">
        <v>1</v>
      </c>
    </row>
    <row r="2803" spans="1:7" x14ac:dyDescent="0.2">
      <c r="A2803" s="2" t="s">
        <v>45</v>
      </c>
      <c r="B2803" s="14">
        <v>38412</v>
      </c>
      <c r="C2803" s="2">
        <v>6.2191780824000002E-2</v>
      </c>
      <c r="D2803" s="2">
        <v>-1.7435293000000001E-3</v>
      </c>
      <c r="E2803" s="2">
        <v>1</v>
      </c>
      <c r="F2803" s="2">
        <v>2.0168614894993601E-2</v>
      </c>
      <c r="G2803" s="2">
        <v>1</v>
      </c>
    </row>
    <row r="2804" spans="1:7" x14ac:dyDescent="0.2">
      <c r="A2804" s="2" t="s">
        <v>45</v>
      </c>
      <c r="B2804" s="14">
        <v>38443</v>
      </c>
      <c r="C2804" s="2">
        <v>0.12282813237</v>
      </c>
      <c r="D2804" s="2">
        <v>-2.8774331E-3</v>
      </c>
      <c r="E2804" s="2">
        <v>1</v>
      </c>
      <c r="F2804" s="2">
        <v>2.1532072995313799E-2</v>
      </c>
      <c r="G2804" s="2">
        <v>1</v>
      </c>
    </row>
    <row r="2805" spans="1:7" x14ac:dyDescent="0.2">
      <c r="A2805" s="2" t="s">
        <v>45</v>
      </c>
      <c r="B2805" s="14">
        <v>38473</v>
      </c>
      <c r="C2805" s="2">
        <v>3.3974507532999999E-2</v>
      </c>
      <c r="D2805" s="2">
        <v>-6.5839570000000001E-4</v>
      </c>
      <c r="E2805" s="2">
        <v>1</v>
      </c>
      <c r="F2805" s="2">
        <v>2.28672214356909E-2</v>
      </c>
      <c r="G2805" s="2">
        <v>1</v>
      </c>
    </row>
    <row r="2806" spans="1:7" x14ac:dyDescent="0.2">
      <c r="A2806" s="2" t="s">
        <v>45</v>
      </c>
      <c r="B2806" s="14">
        <v>38504</v>
      </c>
      <c r="C2806" s="2">
        <v>8.4812623274000007E-2</v>
      </c>
      <c r="D2806" s="2">
        <v>-7.6812832E-4</v>
      </c>
      <c r="E2806" s="2">
        <v>1</v>
      </c>
      <c r="F2806" s="2">
        <v>2.4988427492230101E-2</v>
      </c>
      <c r="G2806" s="2">
        <v>1</v>
      </c>
    </row>
    <row r="2807" spans="1:7" x14ac:dyDescent="0.2">
      <c r="A2807" s="2" t="s">
        <v>45</v>
      </c>
      <c r="B2807" s="14">
        <v>38534</v>
      </c>
      <c r="C2807" s="2">
        <v>8.264462811E-3</v>
      </c>
      <c r="D2807" s="2">
        <v>-1.0973262E-4</v>
      </c>
      <c r="E2807" s="2">
        <v>1</v>
      </c>
      <c r="F2807" s="2">
        <v>2.64208930203793E-2</v>
      </c>
      <c r="G2807" s="2">
        <v>1</v>
      </c>
    </row>
    <row r="2808" spans="1:7" x14ac:dyDescent="0.2">
      <c r="A2808" s="2" t="s">
        <v>45</v>
      </c>
      <c r="B2808" s="14">
        <v>38565</v>
      </c>
      <c r="C2808" s="2">
        <v>-2.8688524590999999E-2</v>
      </c>
      <c r="D2808" s="2">
        <v>1.1339036999999999E-3</v>
      </c>
      <c r="E2808" s="2">
        <v>1</v>
      </c>
      <c r="F2808" s="2">
        <v>2.0626915785680999E-2</v>
      </c>
      <c r="G2808" s="2">
        <v>1</v>
      </c>
    </row>
    <row r="2809" spans="1:7" x14ac:dyDescent="0.2">
      <c r="A2809" s="2" t="s">
        <v>45</v>
      </c>
      <c r="B2809" s="14">
        <v>38596</v>
      </c>
      <c r="C2809" s="2">
        <v>9.9430379747000003E-2</v>
      </c>
      <c r="D2809" s="2">
        <v>1.1939531E-3</v>
      </c>
      <c r="E2809" s="2">
        <v>1</v>
      </c>
      <c r="F2809" s="2">
        <v>1.6980190434831999E-2</v>
      </c>
      <c r="G2809" s="2">
        <v>1</v>
      </c>
    </row>
    <row r="2810" spans="1:7" x14ac:dyDescent="0.2">
      <c r="A2810" s="2" t="s">
        <v>45</v>
      </c>
      <c r="B2810" s="14">
        <v>38626</v>
      </c>
      <c r="C2810" s="2">
        <v>3.3331414426000003E-2</v>
      </c>
      <c r="D2810" s="2">
        <v>-1.4341612000000001E-3</v>
      </c>
      <c r="E2810" s="2">
        <v>1</v>
      </c>
      <c r="F2810" s="2">
        <v>1.7880426733442902E-2</v>
      </c>
      <c r="G2810" s="2">
        <v>1</v>
      </c>
    </row>
    <row r="2811" spans="1:7" x14ac:dyDescent="0.2">
      <c r="A2811" s="2" t="s">
        <v>45</v>
      </c>
      <c r="B2811" s="14">
        <v>38657</v>
      </c>
      <c r="C2811" s="2">
        <v>-4.1299907150000002E-2</v>
      </c>
      <c r="D2811" s="2">
        <v>5.8524059999999999E-4</v>
      </c>
      <c r="E2811" s="2">
        <v>1</v>
      </c>
      <c r="F2811" s="2">
        <v>1.52103138105189E-2</v>
      </c>
      <c r="G2811" s="2">
        <v>1</v>
      </c>
    </row>
    <row r="2812" spans="1:7" x14ac:dyDescent="0.2">
      <c r="A2812" s="2" t="s">
        <v>45</v>
      </c>
      <c r="B2812" s="14">
        <v>38687</v>
      </c>
      <c r="C2812" s="2">
        <v>6.2759074898999997E-3</v>
      </c>
      <c r="D2812" s="2">
        <v>-2.4385026000000001E-4</v>
      </c>
      <c r="E2812" s="2">
        <v>1</v>
      </c>
      <c r="F2812" s="2">
        <v>1.3116867547490901E-2</v>
      </c>
      <c r="G2812" s="2">
        <v>1</v>
      </c>
    </row>
    <row r="2813" spans="1:7" x14ac:dyDescent="0.2">
      <c r="A2813" s="2" t="s">
        <v>45</v>
      </c>
      <c r="B2813" s="14">
        <v>38718</v>
      </c>
      <c r="C2813" s="2">
        <v>6.8334937439000001E-2</v>
      </c>
      <c r="D2813" s="2">
        <v>-7.4374331999999997E-4</v>
      </c>
      <c r="E2813" s="2">
        <v>1</v>
      </c>
      <c r="F2813" s="2">
        <v>1.08493308764913E-2</v>
      </c>
      <c r="G2813" s="2">
        <v>1</v>
      </c>
    </row>
    <row r="2814" spans="1:7" x14ac:dyDescent="0.2">
      <c r="A2814" s="2" t="s">
        <v>45</v>
      </c>
      <c r="B2814" s="14">
        <v>38749</v>
      </c>
      <c r="C2814" s="2">
        <v>-1.9819819818999999E-2</v>
      </c>
      <c r="D2814" s="2">
        <v>-1.0241711E-3</v>
      </c>
      <c r="E2814" s="2">
        <v>1</v>
      </c>
      <c r="F2814" s="2">
        <v>1.24028957165451E-2</v>
      </c>
      <c r="G2814" s="2">
        <v>1</v>
      </c>
    </row>
    <row r="2815" spans="1:7" x14ac:dyDescent="0.2">
      <c r="A2815" s="2" t="s">
        <v>45</v>
      </c>
      <c r="B2815" s="14">
        <v>38777</v>
      </c>
      <c r="C2815" s="2">
        <v>-8.5784198608999992E-3</v>
      </c>
      <c r="D2815" s="2">
        <v>-5.2305880999999998E-4</v>
      </c>
      <c r="E2815" s="2">
        <v>1</v>
      </c>
      <c r="F2815" s="2">
        <v>1.27085066740614E-2</v>
      </c>
      <c r="G2815" s="2">
        <v>1</v>
      </c>
    </row>
    <row r="2816" spans="1:7" x14ac:dyDescent="0.2">
      <c r="A2816" s="2" t="s">
        <v>45</v>
      </c>
      <c r="B2816" s="14">
        <v>38808</v>
      </c>
      <c r="C2816" s="2">
        <v>-2.5304592314999999E-2</v>
      </c>
      <c r="D2816" s="2">
        <v>-1.7993856E-4</v>
      </c>
      <c r="E2816" s="2">
        <v>1</v>
      </c>
      <c r="F2816" s="2">
        <v>9.6461142241796097E-3</v>
      </c>
      <c r="G2816" s="2">
        <v>1</v>
      </c>
    </row>
    <row r="2817" spans="1:7" x14ac:dyDescent="0.2">
      <c r="A2817" s="2" t="s">
        <v>45</v>
      </c>
      <c r="B2817" s="14">
        <v>38838</v>
      </c>
      <c r="C2817" s="2">
        <v>-6.8903846155000004E-2</v>
      </c>
      <c r="D2817" s="2">
        <v>-1.8249754000000001E-3</v>
      </c>
      <c r="E2817" s="2">
        <v>1</v>
      </c>
      <c r="F2817" s="2">
        <v>7.8843903222227101E-3</v>
      </c>
      <c r="G2817" s="2">
        <v>1</v>
      </c>
    </row>
    <row r="2818" spans="1:7" x14ac:dyDescent="0.2">
      <c r="A2818" s="2" t="s">
        <v>45</v>
      </c>
      <c r="B2818" s="14">
        <v>38869</v>
      </c>
      <c r="C2818" s="2">
        <v>-1.1710762748E-2</v>
      </c>
      <c r="D2818" s="2">
        <v>-6.9497321999999998E-4</v>
      </c>
      <c r="E2818" s="2">
        <v>1</v>
      </c>
      <c r="F2818" s="2">
        <v>7.3577939132438604E-3</v>
      </c>
      <c r="G2818" s="2">
        <v>1</v>
      </c>
    </row>
    <row r="2819" spans="1:7" x14ac:dyDescent="0.2">
      <c r="A2819" s="2" t="s">
        <v>45</v>
      </c>
      <c r="B2819" s="14">
        <v>38899</v>
      </c>
      <c r="C2819" s="2">
        <v>3.8662486938999999E-2</v>
      </c>
      <c r="D2819" s="2">
        <v>-4.9989304000000001E-4</v>
      </c>
      <c r="E2819" s="2">
        <v>1</v>
      </c>
      <c r="F2819" s="2">
        <v>6.7605974368767398E-3</v>
      </c>
      <c r="G2819" s="2">
        <v>1</v>
      </c>
    </row>
    <row r="2820" spans="1:7" x14ac:dyDescent="0.2">
      <c r="A2820" s="2" t="s">
        <v>45</v>
      </c>
      <c r="B2820" s="14">
        <v>38930</v>
      </c>
      <c r="C2820" s="2">
        <v>3.8571428571000002E-2</v>
      </c>
      <c r="D2820" s="2">
        <v>5.8524059999999999E-4</v>
      </c>
      <c r="E2820" s="2">
        <v>1</v>
      </c>
      <c r="F2820" s="2">
        <v>-2.0445258852549398E-3</v>
      </c>
      <c r="G2820" s="2">
        <v>1</v>
      </c>
    </row>
    <row r="2821" spans="1:7" x14ac:dyDescent="0.2">
      <c r="A2821" s="2" t="s">
        <v>45</v>
      </c>
      <c r="B2821" s="14">
        <v>38961</v>
      </c>
      <c r="C2821" s="2">
        <v>4.8104306721000002E-2</v>
      </c>
      <c r="D2821" s="2">
        <v>3.7653332000000001E-3</v>
      </c>
      <c r="E2821" s="2">
        <v>1</v>
      </c>
      <c r="F2821" s="2">
        <v>-4.4684572006606197E-4</v>
      </c>
      <c r="G2821" s="2">
        <v>1</v>
      </c>
    </row>
    <row r="2822" spans="1:7" x14ac:dyDescent="0.2">
      <c r="A2822" s="2" t="s">
        <v>45</v>
      </c>
      <c r="B2822" s="14">
        <v>38991</v>
      </c>
      <c r="C2822" s="2">
        <v>5.5508317931999999E-2</v>
      </c>
      <c r="D2822" s="2">
        <v>3.2771790999999999E-3</v>
      </c>
      <c r="E2822" s="2">
        <v>1</v>
      </c>
      <c r="F2822" s="2">
        <v>9.5272600855178101E-4</v>
      </c>
      <c r="G2822" s="2">
        <v>1</v>
      </c>
    </row>
    <row r="2823" spans="1:7" x14ac:dyDescent="0.2">
      <c r="A2823" s="2" t="s">
        <v>45</v>
      </c>
      <c r="B2823" s="14">
        <v>39022</v>
      </c>
      <c r="C2823" s="2">
        <v>7.1747543910999995E-2</v>
      </c>
      <c r="D2823" s="2">
        <v>1.426524E-3</v>
      </c>
      <c r="E2823" s="2">
        <v>1</v>
      </c>
      <c r="F2823" s="2">
        <v>3.1993874351157201E-3</v>
      </c>
      <c r="G2823" s="2">
        <v>1</v>
      </c>
    </row>
    <row r="2824" spans="1:7" x14ac:dyDescent="0.2">
      <c r="A2824" s="2" t="s">
        <v>45</v>
      </c>
      <c r="B2824" s="14">
        <v>39052</v>
      </c>
      <c r="C2824" s="2">
        <v>7.2459293300000005E-2</v>
      </c>
      <c r="D2824" s="2">
        <v>1.3997187999999999E-3</v>
      </c>
      <c r="E2824" s="2">
        <v>1</v>
      </c>
      <c r="F2824" s="2">
        <v>7.1224168147199897E-3</v>
      </c>
      <c r="G2824" s="2">
        <v>1</v>
      </c>
    </row>
    <row r="2825" spans="1:7" x14ac:dyDescent="0.2">
      <c r="A2825" s="2" t="s">
        <v>45</v>
      </c>
      <c r="B2825" s="14">
        <v>39083</v>
      </c>
      <c r="C2825" s="2">
        <v>8.0627151051999996E-2</v>
      </c>
      <c r="D2825" s="2">
        <v>-3.7796789999999998E-4</v>
      </c>
      <c r="E2825" s="2">
        <v>1</v>
      </c>
      <c r="F2825" s="2">
        <v>9.4552512466180103E-3</v>
      </c>
      <c r="G2825" s="2">
        <v>1</v>
      </c>
    </row>
    <row r="2826" spans="1:7" x14ac:dyDescent="0.2">
      <c r="A2826" s="2" t="s">
        <v>45</v>
      </c>
      <c r="B2826" s="14">
        <v>39114</v>
      </c>
      <c r="C2826" s="2">
        <v>-1.6221725222000001E-2</v>
      </c>
      <c r="D2826" s="2">
        <v>-8.2909089000000001E-4</v>
      </c>
      <c r="E2826" s="2">
        <v>1</v>
      </c>
      <c r="F2826" s="2">
        <v>1.0514479546085901E-2</v>
      </c>
      <c r="G2826" s="2">
        <v>1</v>
      </c>
    </row>
    <row r="2827" spans="1:7" x14ac:dyDescent="0.2">
      <c r="A2827" s="2" t="s">
        <v>45</v>
      </c>
      <c r="B2827" s="14">
        <v>39142</v>
      </c>
      <c r="C2827" s="2">
        <v>3.3899280575000003E-2</v>
      </c>
      <c r="D2827" s="2">
        <v>4.1454544000000003E-4</v>
      </c>
      <c r="E2827" s="2">
        <v>1</v>
      </c>
      <c r="F2827" s="2">
        <v>8.9634256148739908E-3</v>
      </c>
      <c r="G2827" s="2">
        <v>1</v>
      </c>
    </row>
    <row r="2828" spans="1:7" x14ac:dyDescent="0.2">
      <c r="A2828" s="2" t="s">
        <v>45</v>
      </c>
      <c r="B2828" s="14">
        <v>39173</v>
      </c>
      <c r="C2828" s="2">
        <v>0.18987975952</v>
      </c>
      <c r="D2828" s="2">
        <v>1.9508021000000001E-4</v>
      </c>
      <c r="E2828" s="2">
        <v>1</v>
      </c>
      <c r="F2828" s="2">
        <v>8.4586864502401698E-3</v>
      </c>
      <c r="G2828" s="2">
        <v>1</v>
      </c>
    </row>
    <row r="2829" spans="1:7" x14ac:dyDescent="0.2">
      <c r="A2829" s="2" t="s">
        <v>45</v>
      </c>
      <c r="B2829" s="14">
        <v>39203</v>
      </c>
      <c r="C2829" s="2">
        <v>-2.8498355627999999E-2</v>
      </c>
      <c r="D2829" s="2">
        <v>2.4850997999999999E-4</v>
      </c>
      <c r="E2829" s="2">
        <v>1</v>
      </c>
      <c r="F2829" s="2">
        <v>1.2258286736062799E-2</v>
      </c>
      <c r="G2829" s="2">
        <v>1</v>
      </c>
    </row>
    <row r="2830" spans="1:7" x14ac:dyDescent="0.2">
      <c r="A2830" s="2" t="s">
        <v>45</v>
      </c>
      <c r="B2830" s="14">
        <v>39234</v>
      </c>
      <c r="C2830" s="2">
        <v>4.5894839574999999E-2</v>
      </c>
      <c r="D2830" s="2">
        <v>-3.0246838000000001E-3</v>
      </c>
      <c r="E2830" s="2">
        <v>1</v>
      </c>
      <c r="F2830" s="2">
        <v>9.3499459047337898E-3</v>
      </c>
      <c r="G2830" s="2">
        <v>1</v>
      </c>
    </row>
    <row r="2831" spans="1:7" x14ac:dyDescent="0.2">
      <c r="A2831" s="2" t="s">
        <v>45</v>
      </c>
      <c r="B2831" s="14">
        <v>39264</v>
      </c>
      <c r="C2831" s="2">
        <v>-0.11548779918</v>
      </c>
      <c r="D2831" s="2">
        <v>-3.0965048000000002E-3</v>
      </c>
      <c r="E2831" s="2">
        <v>1</v>
      </c>
      <c r="F2831" s="2">
        <v>8.42237436236528E-3</v>
      </c>
      <c r="G2831" s="2">
        <v>1</v>
      </c>
    </row>
    <row r="2832" spans="1:7" x14ac:dyDescent="0.2">
      <c r="A2832" s="2" t="s">
        <v>45</v>
      </c>
      <c r="B2832" s="14">
        <v>39295</v>
      </c>
      <c r="C2832" s="2">
        <v>2.669093115E-2</v>
      </c>
      <c r="D2832" s="2">
        <v>-3.9016042000000002E-4</v>
      </c>
      <c r="E2832" s="2">
        <v>1</v>
      </c>
      <c r="F2832" s="2">
        <v>5.4970390561113395E-4</v>
      </c>
      <c r="G2832" s="2">
        <v>1</v>
      </c>
    </row>
    <row r="2833" spans="1:7" x14ac:dyDescent="0.2">
      <c r="A2833" s="2" t="s">
        <v>45</v>
      </c>
      <c r="B2833" s="14">
        <v>39326</v>
      </c>
      <c r="C2833" s="2">
        <v>-6.8165178857000006E-2</v>
      </c>
      <c r="D2833" s="19">
        <v>-2.4529872E-5</v>
      </c>
      <c r="E2833" s="2">
        <v>1</v>
      </c>
      <c r="F2833" s="2">
        <v>1.7313803737536099E-3</v>
      </c>
      <c r="G2833" s="2">
        <v>1</v>
      </c>
    </row>
    <row r="2834" spans="1:7" x14ac:dyDescent="0.2">
      <c r="A2834" s="2" t="s">
        <v>45</v>
      </c>
      <c r="B2834" s="14">
        <v>39356</v>
      </c>
      <c r="C2834" s="2">
        <v>5.5301317746999999E-2</v>
      </c>
      <c r="D2834" s="2">
        <v>-5.5857607999999998E-4</v>
      </c>
      <c r="E2834" s="2">
        <v>1</v>
      </c>
      <c r="F2834" s="2">
        <v>-9.4249318168989499E-4</v>
      </c>
      <c r="G2834" s="2">
        <v>1</v>
      </c>
    </row>
    <row r="2835" spans="1:7" x14ac:dyDescent="0.2">
      <c r="A2835" s="2" t="s">
        <v>45</v>
      </c>
      <c r="B2835" s="14">
        <v>39387</v>
      </c>
      <c r="C2835" s="2">
        <v>-0.11048850574000001</v>
      </c>
      <c r="D2835" s="2">
        <v>-6.0285251000000003E-3</v>
      </c>
      <c r="E2835" s="2">
        <v>1</v>
      </c>
      <c r="F2835" s="2">
        <v>-4.9531443899127597E-3</v>
      </c>
      <c r="G2835" s="2">
        <v>1</v>
      </c>
    </row>
    <row r="2836" spans="1:7" x14ac:dyDescent="0.2">
      <c r="A2836" s="2" t="s">
        <v>45</v>
      </c>
      <c r="B2836" s="14">
        <v>39417</v>
      </c>
      <c r="C2836" s="2">
        <v>-7.0196418083999998E-2</v>
      </c>
      <c r="D2836" s="2">
        <v>-2.4153360000000001E-3</v>
      </c>
      <c r="E2836" s="2">
        <v>1</v>
      </c>
      <c r="F2836" s="2">
        <v>-6.9033904405280599E-3</v>
      </c>
      <c r="G2836" s="2">
        <v>1</v>
      </c>
    </row>
    <row r="2837" spans="1:7" x14ac:dyDescent="0.2">
      <c r="A2837" s="2" t="s">
        <v>45</v>
      </c>
      <c r="B2837" s="14">
        <v>39448</v>
      </c>
      <c r="C2837" s="2">
        <v>-0.13508930411</v>
      </c>
      <c r="D2837" s="2">
        <v>-2.1209967999999998E-3</v>
      </c>
      <c r="E2837" s="2">
        <v>1</v>
      </c>
      <c r="F2837" s="2">
        <v>-1.00651165504613E-2</v>
      </c>
      <c r="G2837" s="2">
        <v>1</v>
      </c>
    </row>
    <row r="2838" spans="1:7" x14ac:dyDescent="0.2">
      <c r="A2838" s="2" t="s">
        <v>45</v>
      </c>
      <c r="B2838" s="14">
        <v>39479</v>
      </c>
      <c r="C2838" s="2">
        <v>0.18145671094999999</v>
      </c>
      <c r="D2838" s="2">
        <v>1.8204642E-3</v>
      </c>
      <c r="E2838" s="2">
        <v>1</v>
      </c>
      <c r="F2838" s="2">
        <v>-1.02192773757498E-2</v>
      </c>
      <c r="G2838" s="2">
        <v>1</v>
      </c>
    </row>
    <row r="2839" spans="1:7" x14ac:dyDescent="0.2">
      <c r="A2839" s="2" t="s">
        <v>45</v>
      </c>
      <c r="B2839" s="14">
        <v>39508</v>
      </c>
      <c r="C2839" s="2">
        <v>0.10099568845</v>
      </c>
      <c r="D2839" s="2">
        <v>3.3512358E-3</v>
      </c>
      <c r="E2839" s="2">
        <v>1</v>
      </c>
      <c r="F2839" s="2">
        <v>-5.8250332977938203E-3</v>
      </c>
      <c r="G2839" s="2">
        <v>1</v>
      </c>
    </row>
    <row r="2840" spans="1:7" x14ac:dyDescent="0.2">
      <c r="A2840" s="2" t="s">
        <v>45</v>
      </c>
      <c r="B2840" s="14">
        <v>39539</v>
      </c>
      <c r="C2840" s="2">
        <v>3.4132520382999999E-2</v>
      </c>
      <c r="D2840" s="2">
        <v>2.5360427999999999E-3</v>
      </c>
      <c r="E2840" s="2">
        <v>1</v>
      </c>
      <c r="F2840" s="2">
        <v>-1.090349616167E-3</v>
      </c>
      <c r="G2840" s="2">
        <v>1</v>
      </c>
    </row>
    <row r="2841" spans="1:7" x14ac:dyDescent="0.2">
      <c r="A2841" s="2" t="s">
        <v>45</v>
      </c>
      <c r="B2841" s="14">
        <v>39569</v>
      </c>
      <c r="C2841" s="2">
        <v>0.13785564043000001</v>
      </c>
      <c r="D2841" s="19">
        <v>8.5347594000000006E-5</v>
      </c>
      <c r="E2841" s="2">
        <v>1</v>
      </c>
      <c r="F2841" s="2">
        <v>-2.0273265081523599E-3</v>
      </c>
      <c r="G2841" s="2">
        <v>1</v>
      </c>
    </row>
    <row r="2842" spans="1:7" x14ac:dyDescent="0.2">
      <c r="A2842" s="2" t="s">
        <v>45</v>
      </c>
      <c r="B2842" s="14">
        <v>39600</v>
      </c>
      <c r="C2842" s="2">
        <v>-7.8454503442000001E-2</v>
      </c>
      <c r="D2842" s="2">
        <v>-1.9508021000000001E-4</v>
      </c>
      <c r="E2842" s="2">
        <v>1</v>
      </c>
      <c r="F2842" s="2">
        <v>5.0068720021453801E-3</v>
      </c>
      <c r="G2842" s="2">
        <v>1</v>
      </c>
    </row>
    <row r="2843" spans="1:7" x14ac:dyDescent="0.2">
      <c r="A2843" s="2" t="s">
        <v>45</v>
      </c>
      <c r="B2843" s="14">
        <v>39630</v>
      </c>
      <c r="C2843" s="2">
        <v>6.2118112833999997E-2</v>
      </c>
      <c r="D2843" s="2">
        <v>1.885011E-3</v>
      </c>
      <c r="E2843" s="2">
        <v>1</v>
      </c>
      <c r="F2843" s="2">
        <v>4.9900665219372699E-3</v>
      </c>
      <c r="G2843" s="2">
        <v>1</v>
      </c>
    </row>
    <row r="2844" spans="1:7" x14ac:dyDescent="0.2">
      <c r="A2844" s="2" t="s">
        <v>45</v>
      </c>
      <c r="B2844" s="14">
        <v>39661</v>
      </c>
      <c r="C2844" s="2">
        <v>-2.6751323277E-2</v>
      </c>
      <c r="D2844" s="2">
        <v>8.9797860999999996E-4</v>
      </c>
      <c r="E2844" s="2">
        <v>1</v>
      </c>
      <c r="F2844" s="2">
        <v>1.2153701263520399E-2</v>
      </c>
      <c r="G2844" s="2">
        <v>1</v>
      </c>
    </row>
    <row r="2845" spans="1:7" x14ac:dyDescent="0.2">
      <c r="A2845" s="2" t="s">
        <v>45</v>
      </c>
      <c r="B2845" s="14">
        <v>39692</v>
      </c>
      <c r="C2845" s="2">
        <v>4.4849289533999998E-2</v>
      </c>
      <c r="D2845" s="2">
        <v>2.3930529E-3</v>
      </c>
      <c r="E2845" s="2">
        <v>1</v>
      </c>
      <c r="F2845" s="2">
        <v>6.2082090936910802E-3</v>
      </c>
      <c r="G2845" s="2">
        <v>1</v>
      </c>
    </row>
    <row r="2846" spans="1:7" x14ac:dyDescent="0.2">
      <c r="A2846" s="2" t="s">
        <v>45</v>
      </c>
      <c r="B2846" s="14">
        <v>39722</v>
      </c>
      <c r="C2846" s="2">
        <v>-4.2814202976999997E-2</v>
      </c>
      <c r="D2846" s="2">
        <v>-6.4554030999999996E-4</v>
      </c>
      <c r="E2846" s="2">
        <v>1</v>
      </c>
      <c r="F2846" s="2">
        <v>4.4422770291298397E-3</v>
      </c>
      <c r="G2846" s="2">
        <v>1</v>
      </c>
    </row>
    <row r="2847" spans="1:7" x14ac:dyDescent="0.2">
      <c r="A2847" s="2" t="s">
        <v>45</v>
      </c>
      <c r="B2847" s="14">
        <v>39753</v>
      </c>
      <c r="C2847" s="2">
        <v>-1.8854195918999998E-2</v>
      </c>
      <c r="D2847" s="2">
        <v>-4.5065781999999999E-3</v>
      </c>
      <c r="E2847" s="2">
        <v>1</v>
      </c>
      <c r="F2847" s="2">
        <v>2.3286873898634998E-3</v>
      </c>
      <c r="G2847" s="2">
        <v>1</v>
      </c>
    </row>
    <row r="2848" spans="1:7" x14ac:dyDescent="0.2">
      <c r="A2848" s="2" t="s">
        <v>45</v>
      </c>
      <c r="B2848" s="14">
        <v>39783</v>
      </c>
      <c r="C2848" s="2">
        <v>-3.8220244017999998E-2</v>
      </c>
      <c r="D2848" s="2">
        <v>1.0144414E-4</v>
      </c>
      <c r="E2848" s="2">
        <v>1</v>
      </c>
      <c r="F2848" s="2">
        <v>-2.2777135559431299E-3</v>
      </c>
      <c r="G2848" s="2">
        <v>1</v>
      </c>
    </row>
    <row r="2849" spans="1:7" x14ac:dyDescent="0.2">
      <c r="A2849" s="2" t="s">
        <v>46</v>
      </c>
      <c r="B2849" s="14">
        <v>37591</v>
      </c>
      <c r="C2849" s="2">
        <v>0.15993568523000001</v>
      </c>
      <c r="D2849" s="2">
        <v>6.1035744000000004E-4</v>
      </c>
      <c r="E2849" s="2">
        <v>1</v>
      </c>
      <c r="G2849" s="2">
        <v>1</v>
      </c>
    </row>
    <row r="2850" spans="1:7" x14ac:dyDescent="0.2">
      <c r="A2850" s="2" t="s">
        <v>46</v>
      </c>
      <c r="B2850" s="14">
        <v>37622</v>
      </c>
      <c r="C2850" s="2">
        <v>-1.5873015874000002E-2</v>
      </c>
      <c r="D2850" s="19">
        <v>-2.817054E-5</v>
      </c>
      <c r="E2850" s="2">
        <v>1</v>
      </c>
      <c r="G2850" s="2">
        <v>1</v>
      </c>
    </row>
    <row r="2851" spans="1:7" x14ac:dyDescent="0.2">
      <c r="A2851" s="2" t="s">
        <v>46</v>
      </c>
      <c r="B2851" s="14">
        <v>37653</v>
      </c>
      <c r="C2851" s="2">
        <v>0</v>
      </c>
      <c r="D2851" s="2">
        <v>2.7960114999999999E-3</v>
      </c>
      <c r="E2851" s="2">
        <v>1</v>
      </c>
      <c r="G2851" s="2">
        <v>1</v>
      </c>
    </row>
    <row r="2852" spans="1:7" x14ac:dyDescent="0.2">
      <c r="A2852" s="2" t="s">
        <v>46</v>
      </c>
      <c r="B2852" s="14">
        <v>37681</v>
      </c>
      <c r="C2852" s="2">
        <v>4.5129000757E-2</v>
      </c>
      <c r="D2852" s="2">
        <v>-1.8363065000000001E-4</v>
      </c>
      <c r="E2852" s="2">
        <v>1</v>
      </c>
      <c r="G2852" s="2">
        <v>1</v>
      </c>
    </row>
    <row r="2853" spans="1:7" x14ac:dyDescent="0.2">
      <c r="A2853" s="2" t="s">
        <v>46</v>
      </c>
      <c r="B2853" s="14">
        <v>37712</v>
      </c>
      <c r="C2853" s="2">
        <v>0.20343224097000001</v>
      </c>
      <c r="D2853" s="2">
        <v>-1.0047280999999999E-3</v>
      </c>
      <c r="E2853" s="2">
        <v>1</v>
      </c>
      <c r="G2853" s="2">
        <v>1</v>
      </c>
    </row>
    <row r="2854" spans="1:7" x14ac:dyDescent="0.2">
      <c r="A2854" s="2" t="s">
        <v>46</v>
      </c>
      <c r="B2854" s="14">
        <v>37742</v>
      </c>
      <c r="C2854" s="2">
        <v>-2.8885479398999998E-2</v>
      </c>
      <c r="D2854" s="2">
        <v>-2.5755261999999999E-3</v>
      </c>
      <c r="E2854" s="2">
        <v>1</v>
      </c>
      <c r="G2854" s="2">
        <v>1</v>
      </c>
    </row>
    <row r="2855" spans="1:7" x14ac:dyDescent="0.2">
      <c r="A2855" s="2" t="s">
        <v>46</v>
      </c>
      <c r="B2855" s="14">
        <v>37773</v>
      </c>
      <c r="C2855" s="2">
        <v>-3.7483266399000001E-2</v>
      </c>
      <c r="D2855" s="2">
        <v>6.2191655E-4</v>
      </c>
      <c r="E2855" s="2">
        <v>1</v>
      </c>
      <c r="G2855" s="2">
        <v>1</v>
      </c>
    </row>
    <row r="2856" spans="1:7" x14ac:dyDescent="0.2">
      <c r="A2856" s="2" t="s">
        <v>46</v>
      </c>
      <c r="B2856" s="14">
        <v>37803</v>
      </c>
      <c r="C2856" s="2">
        <v>-5.4269846358000001E-2</v>
      </c>
      <c r="D2856" s="2">
        <v>-1.2375927000000001E-3</v>
      </c>
      <c r="E2856" s="2">
        <v>1</v>
      </c>
      <c r="G2856" s="2">
        <v>1</v>
      </c>
    </row>
    <row r="2857" spans="1:7" x14ac:dyDescent="0.2">
      <c r="A2857" s="2" t="s">
        <v>46</v>
      </c>
      <c r="B2857" s="14">
        <v>37834</v>
      </c>
      <c r="C2857" s="2">
        <v>5.8854702608999998E-2</v>
      </c>
      <c r="D2857" s="2">
        <v>-1.6355231999999999E-4</v>
      </c>
      <c r="E2857" s="2">
        <v>1</v>
      </c>
      <c r="F2857" s="2">
        <v>2.1712280491913399E-2</v>
      </c>
      <c r="G2857" s="2">
        <v>1</v>
      </c>
    </row>
    <row r="2858" spans="1:7" x14ac:dyDescent="0.2">
      <c r="A2858" s="2" t="s">
        <v>46</v>
      </c>
      <c r="B2858" s="14">
        <v>37865</v>
      </c>
      <c r="C2858" s="2">
        <v>8.0555555554E-2</v>
      </c>
      <c r="D2858" s="19">
        <v>-3.7006862999999998E-5</v>
      </c>
      <c r="E2858" s="2">
        <v>1</v>
      </c>
      <c r="F2858" s="2">
        <v>2.3185426179128499E-2</v>
      </c>
      <c r="G2858" s="2">
        <v>1</v>
      </c>
    </row>
    <row r="2859" spans="1:7" x14ac:dyDescent="0.2">
      <c r="A2859" s="2" t="s">
        <v>46</v>
      </c>
      <c r="B2859" s="14">
        <v>37895</v>
      </c>
      <c r="C2859" s="2">
        <v>4.1131105399000001E-2</v>
      </c>
      <c r="D2859" s="2">
        <v>5.6675546999999998E-3</v>
      </c>
      <c r="E2859" s="2">
        <v>1</v>
      </c>
      <c r="F2859" s="2">
        <v>2.39777896055293E-2</v>
      </c>
      <c r="G2859" s="2">
        <v>1</v>
      </c>
    </row>
    <row r="2860" spans="1:7" x14ac:dyDescent="0.2">
      <c r="A2860" s="2" t="s">
        <v>46</v>
      </c>
      <c r="B2860" s="14">
        <v>37926</v>
      </c>
      <c r="C2860" s="2">
        <v>-7.4074074074000004E-2</v>
      </c>
      <c r="D2860" s="2">
        <v>-7.9644454E-4</v>
      </c>
      <c r="E2860" s="2">
        <v>1</v>
      </c>
      <c r="F2860" s="2">
        <v>1.91130071770741E-2</v>
      </c>
      <c r="G2860" s="2">
        <v>1</v>
      </c>
    </row>
    <row r="2861" spans="1:7" x14ac:dyDescent="0.2">
      <c r="A2861" s="2" t="s">
        <v>46</v>
      </c>
      <c r="B2861" s="14">
        <v>37956</v>
      </c>
      <c r="C2861" s="2">
        <v>-2.2622905414E-2</v>
      </c>
      <c r="D2861" s="2">
        <v>9.811744099999999E-4</v>
      </c>
      <c r="E2861" s="2">
        <v>1</v>
      </c>
      <c r="F2861" s="2">
        <v>1.8030303247746599E-2</v>
      </c>
      <c r="G2861" s="2">
        <v>1</v>
      </c>
    </row>
    <row r="2862" spans="1:7" x14ac:dyDescent="0.2">
      <c r="A2862" s="2" t="s">
        <v>46</v>
      </c>
      <c r="B2862" s="14">
        <v>37987</v>
      </c>
      <c r="C2862" s="2">
        <v>-6.8465753424999998E-2</v>
      </c>
      <c r="E2862" s="2">
        <v>1</v>
      </c>
      <c r="F2862" s="2">
        <v>1.8471355662035501E-2</v>
      </c>
      <c r="G2862" s="2">
        <v>1</v>
      </c>
    </row>
    <row r="2863" spans="1:7" x14ac:dyDescent="0.2">
      <c r="A2863" s="2" t="s">
        <v>46</v>
      </c>
      <c r="B2863" s="14">
        <v>38018</v>
      </c>
      <c r="C2863" s="2">
        <v>1.467603894E-2</v>
      </c>
      <c r="E2863" s="2">
        <v>1</v>
      </c>
      <c r="F2863" s="2">
        <v>1.8287584012290799E-2</v>
      </c>
      <c r="G2863" s="2">
        <v>1</v>
      </c>
    </row>
    <row r="2864" spans="1:7" x14ac:dyDescent="0.2">
      <c r="A2864" s="2" t="s">
        <v>46</v>
      </c>
      <c r="B2864" s="14">
        <v>38047</v>
      </c>
      <c r="C2864" s="2">
        <v>-1.9710144927999999E-2</v>
      </c>
      <c r="D2864" s="2">
        <v>1.3525918E-3</v>
      </c>
      <c r="E2864" s="2">
        <v>1</v>
      </c>
      <c r="F2864" s="2">
        <v>1.6976437453389399E-2</v>
      </c>
      <c r="G2864" s="2">
        <v>1</v>
      </c>
    </row>
    <row r="2865" spans="1:7" x14ac:dyDescent="0.2">
      <c r="A2865" s="2" t="s">
        <v>46</v>
      </c>
      <c r="B2865" s="14">
        <v>38078</v>
      </c>
      <c r="C2865" s="2">
        <v>8.5156712004000004E-2</v>
      </c>
      <c r="D2865" s="2">
        <v>-1.550741E-3</v>
      </c>
      <c r="E2865" s="2">
        <v>1</v>
      </c>
      <c r="F2865" s="2">
        <v>1.4121838858738101E-2</v>
      </c>
      <c r="G2865" s="2">
        <v>1</v>
      </c>
    </row>
    <row r="2866" spans="1:7" x14ac:dyDescent="0.2">
      <c r="A2866" s="2" t="s">
        <v>46</v>
      </c>
      <c r="B2866" s="14">
        <v>38108</v>
      </c>
      <c r="C2866" s="2">
        <v>4.1542115287000001E-3</v>
      </c>
      <c r="D2866" s="2">
        <v>-2.3660631E-4</v>
      </c>
      <c r="E2866" s="2">
        <v>1</v>
      </c>
      <c r="F2866" s="2">
        <v>1.4787894514345401E-2</v>
      </c>
      <c r="G2866" s="2">
        <v>1</v>
      </c>
    </row>
    <row r="2867" spans="1:7" x14ac:dyDescent="0.2">
      <c r="A2867" s="2" t="s">
        <v>46</v>
      </c>
      <c r="B2867" s="14">
        <v>38139</v>
      </c>
      <c r="C2867" s="2">
        <v>-2.7700831023999999E-3</v>
      </c>
      <c r="D2867" s="2">
        <v>-1.2857824E-3</v>
      </c>
      <c r="E2867" s="2">
        <v>1</v>
      </c>
      <c r="F2867" s="2">
        <v>1.7073839263682101E-2</v>
      </c>
      <c r="G2867" s="2">
        <v>1</v>
      </c>
    </row>
    <row r="2868" spans="1:7" x14ac:dyDescent="0.2">
      <c r="A2868" s="2" t="s">
        <v>46</v>
      </c>
      <c r="B2868" s="14">
        <v>38169</v>
      </c>
      <c r="C2868" s="2">
        <v>4.1666666666000003E-2</v>
      </c>
      <c r="D2868" s="2">
        <v>-3.6414531999999999E-4</v>
      </c>
      <c r="E2868" s="2">
        <v>1</v>
      </c>
      <c r="F2868" s="2">
        <v>1.7629987935590001E-2</v>
      </c>
      <c r="G2868" s="2">
        <v>1</v>
      </c>
    </row>
    <row r="2869" spans="1:7" x14ac:dyDescent="0.2">
      <c r="A2869" s="2" t="s">
        <v>46</v>
      </c>
      <c r="B2869" s="14">
        <v>38200</v>
      </c>
      <c r="C2869" s="2">
        <v>0.15949333332999999</v>
      </c>
      <c r="D2869" s="2">
        <v>1.6504562000000001E-3</v>
      </c>
      <c r="E2869" s="2">
        <v>1</v>
      </c>
      <c r="F2869" s="2">
        <v>1.9105355331173399E-2</v>
      </c>
      <c r="G2869" s="2">
        <v>1</v>
      </c>
    </row>
    <row r="2870" spans="1:7" x14ac:dyDescent="0.2">
      <c r="A2870" s="2" t="s">
        <v>46</v>
      </c>
      <c r="B2870" s="14">
        <v>38231</v>
      </c>
      <c r="C2870" s="2">
        <v>-3.2910926611000001E-2</v>
      </c>
      <c r="D2870" s="2">
        <v>2.8813477000000001E-3</v>
      </c>
      <c r="E2870" s="2">
        <v>1</v>
      </c>
      <c r="F2870" s="2">
        <v>2.32209412296411E-2</v>
      </c>
      <c r="G2870" s="2">
        <v>1</v>
      </c>
    </row>
    <row r="2871" spans="1:7" x14ac:dyDescent="0.2">
      <c r="A2871" s="2" t="s">
        <v>46</v>
      </c>
      <c r="B2871" s="14">
        <v>38261</v>
      </c>
      <c r="C2871" s="2">
        <v>5.5885850179000003E-2</v>
      </c>
      <c r="D2871" s="2">
        <v>2.1289198999999999E-4</v>
      </c>
      <c r="E2871" s="2">
        <v>1</v>
      </c>
      <c r="F2871" s="2">
        <v>2.2890524075606499E-2</v>
      </c>
      <c r="G2871" s="2">
        <v>1</v>
      </c>
    </row>
    <row r="2872" spans="1:7" x14ac:dyDescent="0.2">
      <c r="A2872" s="2" t="s">
        <v>46</v>
      </c>
      <c r="B2872" s="14">
        <v>38292</v>
      </c>
      <c r="C2872" s="2">
        <v>-3.1531531532000001E-2</v>
      </c>
      <c r="D2872" s="2">
        <v>-8.1053614999999999E-4</v>
      </c>
      <c r="E2872" s="2">
        <v>1</v>
      </c>
      <c r="F2872" s="2">
        <v>2.1935422385337501E-2</v>
      </c>
      <c r="G2872" s="2">
        <v>1</v>
      </c>
    </row>
    <row r="2873" spans="1:7" x14ac:dyDescent="0.2">
      <c r="A2873" s="2" t="s">
        <v>46</v>
      </c>
      <c r="B2873" s="14">
        <v>38322</v>
      </c>
      <c r="C2873" s="2">
        <v>-3.5005834306999998E-3</v>
      </c>
      <c r="D2873" s="2">
        <v>1.1186828E-3</v>
      </c>
      <c r="E2873" s="2">
        <v>1</v>
      </c>
      <c r="F2873" s="2">
        <v>2.09025874005184E-2</v>
      </c>
      <c r="G2873" s="2">
        <v>1</v>
      </c>
    </row>
    <row r="2874" spans="1:7" x14ac:dyDescent="0.2">
      <c r="A2874" s="2" t="s">
        <v>46</v>
      </c>
      <c r="B2874" s="14">
        <v>38353</v>
      </c>
      <c r="C2874" s="2">
        <v>8.9929742388E-2</v>
      </c>
      <c r="D2874" s="2">
        <v>3.4051176999999998E-3</v>
      </c>
      <c r="E2874" s="2">
        <v>1</v>
      </c>
      <c r="F2874" s="2">
        <v>2.08820837896115E-2</v>
      </c>
      <c r="G2874" s="2">
        <v>1</v>
      </c>
    </row>
    <row r="2875" spans="1:7" x14ac:dyDescent="0.2">
      <c r="A2875" s="2" t="s">
        <v>46</v>
      </c>
      <c r="B2875" s="14">
        <v>38384</v>
      </c>
      <c r="C2875" s="2">
        <v>-1.6974645465999999E-2</v>
      </c>
      <c r="D2875" s="2">
        <v>1.5360110000000001E-3</v>
      </c>
      <c r="E2875" s="2">
        <v>1</v>
      </c>
      <c r="F2875" s="2">
        <v>2.2023291953308599E-2</v>
      </c>
      <c r="G2875" s="2">
        <v>1</v>
      </c>
    </row>
    <row r="2876" spans="1:7" x14ac:dyDescent="0.2">
      <c r="A2876" s="2" t="s">
        <v>46</v>
      </c>
      <c r="B2876" s="14">
        <v>38412</v>
      </c>
      <c r="C2876" s="2">
        <v>0.11519125683000001</v>
      </c>
      <c r="D2876" s="2">
        <v>-8.2738855000000005E-4</v>
      </c>
      <c r="E2876" s="2">
        <v>1</v>
      </c>
      <c r="F2876" s="2">
        <v>1.69911856313162E-2</v>
      </c>
      <c r="G2876" s="2">
        <v>1</v>
      </c>
    </row>
    <row r="2877" spans="1:7" x14ac:dyDescent="0.2">
      <c r="A2877" s="2" t="s">
        <v>46</v>
      </c>
      <c r="B2877" s="14">
        <v>38443</v>
      </c>
      <c r="C2877" s="2">
        <v>6.6002808139999994E-2</v>
      </c>
      <c r="D2877" s="2">
        <v>8.6833158000000003E-4</v>
      </c>
      <c r="E2877" s="2">
        <v>1</v>
      </c>
      <c r="F2877" s="2">
        <v>2.1077059268564301E-2</v>
      </c>
      <c r="G2877" s="2">
        <v>1</v>
      </c>
    </row>
    <row r="2878" spans="1:7" x14ac:dyDescent="0.2">
      <c r="A2878" s="2" t="s">
        <v>46</v>
      </c>
      <c r="B2878" s="14">
        <v>38473</v>
      </c>
      <c r="C2878" s="2">
        <v>5.3917910449000003E-2</v>
      </c>
      <c r="D2878" s="2">
        <v>3.0928823999999997E-4</v>
      </c>
      <c r="E2878" s="2">
        <v>1</v>
      </c>
      <c r="F2878" s="2">
        <v>2.1237346008926801E-2</v>
      </c>
      <c r="G2878" s="2">
        <v>1</v>
      </c>
    </row>
    <row r="2879" spans="1:7" x14ac:dyDescent="0.2">
      <c r="A2879" s="2" t="s">
        <v>46</v>
      </c>
      <c r="B2879" s="14">
        <v>38504</v>
      </c>
      <c r="C2879" s="2">
        <v>3.9904837196E-2</v>
      </c>
      <c r="D2879" s="19">
        <v>-1.7761435000000001E-5</v>
      </c>
      <c r="E2879" s="2">
        <v>1</v>
      </c>
      <c r="F2879" s="2">
        <v>2.3572635553137399E-2</v>
      </c>
      <c r="G2879" s="2">
        <v>1</v>
      </c>
    </row>
    <row r="2880" spans="1:7" x14ac:dyDescent="0.2">
      <c r="A2880" s="2" t="s">
        <v>46</v>
      </c>
      <c r="B2880" s="14">
        <v>38534</v>
      </c>
      <c r="C2880" s="2">
        <v>0.11947259667</v>
      </c>
      <c r="D2880" s="2">
        <v>4.8480977000000001E-4</v>
      </c>
      <c r="E2880" s="2">
        <v>1</v>
      </c>
      <c r="F2880" s="2">
        <v>2.5038046726043001E-2</v>
      </c>
      <c r="G2880" s="2">
        <v>1</v>
      </c>
    </row>
    <row r="2881" spans="1:7" x14ac:dyDescent="0.2">
      <c r="A2881" s="2" t="s">
        <v>46</v>
      </c>
      <c r="B2881" s="14">
        <v>38565</v>
      </c>
      <c r="C2881" s="2">
        <v>-0.15211124002000001</v>
      </c>
      <c r="D2881" s="2">
        <v>2.5063450000000002E-4</v>
      </c>
      <c r="E2881" s="2">
        <v>1</v>
      </c>
      <c r="F2881" s="2">
        <v>2.3850292128807599E-2</v>
      </c>
      <c r="G2881" s="2">
        <v>1</v>
      </c>
    </row>
    <row r="2882" spans="1:7" x14ac:dyDescent="0.2">
      <c r="A2882" s="2" t="s">
        <v>46</v>
      </c>
      <c r="B2882" s="14">
        <v>38596</v>
      </c>
      <c r="C2882" s="2">
        <v>3.5432172993999998E-2</v>
      </c>
      <c r="D2882" s="2">
        <v>-1.7100951000000001E-3</v>
      </c>
      <c r="E2882" s="2">
        <v>1</v>
      </c>
      <c r="F2882" s="2">
        <v>2.0582987194806199E-2</v>
      </c>
      <c r="G2882" s="2">
        <v>1</v>
      </c>
    </row>
    <row r="2883" spans="1:7" x14ac:dyDescent="0.2">
      <c r="A2883" s="2" t="s">
        <v>46</v>
      </c>
      <c r="B2883" s="14">
        <v>38626</v>
      </c>
      <c r="C2883" s="2">
        <v>-3.4680229065999997E-2</v>
      </c>
      <c r="D2883" s="2">
        <v>-1.8050200000000001E-3</v>
      </c>
      <c r="E2883" s="2">
        <v>1</v>
      </c>
      <c r="F2883" s="2">
        <v>1.8158348688755301E-2</v>
      </c>
      <c r="G2883" s="2">
        <v>1</v>
      </c>
    </row>
    <row r="2884" spans="1:7" x14ac:dyDescent="0.2">
      <c r="A2884" s="2" t="s">
        <v>46</v>
      </c>
      <c r="B2884" s="14">
        <v>38657</v>
      </c>
      <c r="C2884" s="2">
        <v>3.7129226300999997E-2</v>
      </c>
      <c r="D2884" s="2">
        <v>-8.5458666000000003E-4</v>
      </c>
      <c r="E2884" s="2">
        <v>1</v>
      </c>
      <c r="F2884" s="2">
        <v>1.53635864365685E-2</v>
      </c>
      <c r="G2884" s="2">
        <v>1</v>
      </c>
    </row>
    <row r="2885" spans="1:7" x14ac:dyDescent="0.2">
      <c r="A2885" s="2" t="s">
        <v>46</v>
      </c>
      <c r="B2885" s="14">
        <v>38687</v>
      </c>
      <c r="C2885" s="2">
        <v>2.0202020203E-2</v>
      </c>
      <c r="D2885" s="19">
        <v>-9.4155467999999996E-5</v>
      </c>
      <c r="E2885" s="2">
        <v>1</v>
      </c>
      <c r="F2885" s="2">
        <v>1.47593631834232E-2</v>
      </c>
      <c r="G2885" s="2">
        <v>1</v>
      </c>
    </row>
    <row r="2886" spans="1:7" x14ac:dyDescent="0.2">
      <c r="A2886" s="2" t="s">
        <v>46</v>
      </c>
      <c r="B2886" s="14">
        <v>38718</v>
      </c>
      <c r="C2886" s="2">
        <v>2.9702970297999998E-2</v>
      </c>
      <c r="D2886" s="2">
        <v>-1.2291242999999999E-3</v>
      </c>
      <c r="E2886" s="2">
        <v>1</v>
      </c>
      <c r="F2886" s="2">
        <v>1.4155691776131799E-2</v>
      </c>
      <c r="G2886" s="2">
        <v>1</v>
      </c>
    </row>
    <row r="2887" spans="1:7" x14ac:dyDescent="0.2">
      <c r="A2887" s="2" t="s">
        <v>46</v>
      </c>
      <c r="B2887" s="14">
        <v>38749</v>
      </c>
      <c r="C2887" s="2">
        <v>5.7692307690999999E-2</v>
      </c>
      <c r="D2887" s="2">
        <v>-1.4401010000000001E-3</v>
      </c>
      <c r="E2887" s="2">
        <v>1</v>
      </c>
      <c r="F2887" s="2">
        <v>1.1451734394375201E-2</v>
      </c>
      <c r="G2887" s="2">
        <v>1</v>
      </c>
    </row>
    <row r="2888" spans="1:7" x14ac:dyDescent="0.2">
      <c r="A2888" s="2" t="s">
        <v>46</v>
      </c>
      <c r="B2888" s="14">
        <v>38777</v>
      </c>
      <c r="C2888" s="2">
        <v>4.5454545456000001E-2</v>
      </c>
      <c r="D2888" s="2">
        <v>-1.2153074E-3</v>
      </c>
      <c r="E2888" s="2">
        <v>1</v>
      </c>
      <c r="F2888" s="2">
        <v>1.73697516943143E-2</v>
      </c>
      <c r="G2888" s="2">
        <v>1</v>
      </c>
    </row>
    <row r="2889" spans="1:7" x14ac:dyDescent="0.2">
      <c r="A2889" s="2" t="s">
        <v>46</v>
      </c>
      <c r="B2889" s="14">
        <v>38808</v>
      </c>
      <c r="C2889" s="2">
        <v>5.2173913044999999E-3</v>
      </c>
      <c r="D2889" s="2">
        <v>-3.8519735E-3</v>
      </c>
      <c r="E2889" s="2">
        <v>1</v>
      </c>
      <c r="F2889" s="2">
        <v>1.7470086042410599E-2</v>
      </c>
      <c r="G2889" s="2">
        <v>1</v>
      </c>
    </row>
    <row r="2890" spans="1:7" x14ac:dyDescent="0.2">
      <c r="A2890" s="2" t="s">
        <v>46</v>
      </c>
      <c r="B2890" s="14">
        <v>38838</v>
      </c>
      <c r="C2890" s="2">
        <v>-2.4229292438999999E-2</v>
      </c>
      <c r="D2890" s="2">
        <v>-1.4549113E-3</v>
      </c>
      <c r="E2890" s="2">
        <v>1</v>
      </c>
      <c r="F2890" s="2">
        <v>1.85926178223665E-2</v>
      </c>
      <c r="G2890" s="2">
        <v>1</v>
      </c>
    </row>
    <row r="2891" spans="1:7" x14ac:dyDescent="0.2">
      <c r="A2891" s="2" t="s">
        <v>46</v>
      </c>
      <c r="B2891" s="14">
        <v>38869</v>
      </c>
      <c r="C2891" s="2">
        <v>-4.6366972478E-2</v>
      </c>
      <c r="D2891" s="2">
        <v>-2.2331631999999999E-3</v>
      </c>
      <c r="E2891" s="2">
        <v>1</v>
      </c>
      <c r="F2891" s="2">
        <v>1.6960464907973701E-2</v>
      </c>
      <c r="G2891" s="2">
        <v>1</v>
      </c>
    </row>
    <row r="2892" spans="1:7" x14ac:dyDescent="0.2">
      <c r="A2892" s="2" t="s">
        <v>46</v>
      </c>
      <c r="B2892" s="14">
        <v>38899</v>
      </c>
      <c r="C2892" s="2">
        <v>2.4570450043E-2</v>
      </c>
      <c r="D2892" s="2">
        <v>-1.0445972E-3</v>
      </c>
      <c r="E2892" s="2">
        <v>1</v>
      </c>
      <c r="F2892" s="2">
        <v>1.5177420491263799E-2</v>
      </c>
      <c r="G2892" s="2">
        <v>1</v>
      </c>
    </row>
    <row r="2893" spans="1:7" x14ac:dyDescent="0.2">
      <c r="A2893" s="2" t="s">
        <v>46</v>
      </c>
      <c r="B2893" s="14">
        <v>38930</v>
      </c>
      <c r="C2893" s="2">
        <v>-2.5333333334000001E-2</v>
      </c>
      <c r="D2893" s="2">
        <v>-4.8938565999999996E-3</v>
      </c>
      <c r="E2893" s="2">
        <v>1</v>
      </c>
      <c r="F2893" s="2">
        <v>6.8399441370621504E-3</v>
      </c>
      <c r="G2893" s="2">
        <v>1</v>
      </c>
    </row>
    <row r="2894" spans="1:7" x14ac:dyDescent="0.2">
      <c r="A2894" s="2" t="s">
        <v>46</v>
      </c>
      <c r="B2894" s="14">
        <v>38961</v>
      </c>
      <c r="C2894" s="2">
        <v>-6.5509334945000001E-4</v>
      </c>
      <c r="D2894" s="2">
        <v>2.9997417000000002E-4</v>
      </c>
      <c r="E2894" s="2">
        <v>1</v>
      </c>
      <c r="F2894" s="2">
        <v>4.0624230184593503E-3</v>
      </c>
      <c r="G2894" s="2">
        <v>1</v>
      </c>
    </row>
    <row r="2895" spans="1:7" x14ac:dyDescent="0.2">
      <c r="A2895" s="2" t="s">
        <v>46</v>
      </c>
      <c r="B2895" s="14">
        <v>38991</v>
      </c>
      <c r="C2895" s="2">
        <v>3.8637283821999997E-2</v>
      </c>
      <c r="D2895" s="2">
        <v>3.3189062000000001E-4</v>
      </c>
      <c r="E2895" s="2">
        <v>1</v>
      </c>
      <c r="F2895" s="2">
        <v>2.7165397149224902E-3</v>
      </c>
      <c r="G2895" s="2">
        <v>1</v>
      </c>
    </row>
    <row r="2896" spans="1:7" x14ac:dyDescent="0.2">
      <c r="A2896" s="2" t="s">
        <v>46</v>
      </c>
      <c r="B2896" s="14">
        <v>39022</v>
      </c>
      <c r="C2896" s="2">
        <v>5.8083198752E-2</v>
      </c>
      <c r="D2896" s="2">
        <v>1.6881140999999999E-3</v>
      </c>
      <c r="E2896" s="2">
        <v>1</v>
      </c>
      <c r="F2896" s="2">
        <v>3.5637863811292E-3</v>
      </c>
      <c r="G2896" s="2">
        <v>1</v>
      </c>
    </row>
    <row r="2897" spans="1:7" x14ac:dyDescent="0.2">
      <c r="A2897" s="2" t="s">
        <v>46</v>
      </c>
      <c r="B2897" s="14">
        <v>39052</v>
      </c>
      <c r="C2897" s="2">
        <v>6.2392857141999998E-2</v>
      </c>
      <c r="D2897" s="19">
        <v>3.3687957000000002E-5</v>
      </c>
      <c r="E2897" s="2">
        <v>1</v>
      </c>
      <c r="F2897" s="2">
        <v>5.8492271891734697E-3</v>
      </c>
      <c r="G2897" s="2">
        <v>1</v>
      </c>
    </row>
    <row r="2898" spans="1:7" x14ac:dyDescent="0.2">
      <c r="A2898" s="2" t="s">
        <v>46</v>
      </c>
      <c r="B2898" s="14">
        <v>39083</v>
      </c>
      <c r="C2898" s="2">
        <v>0.19042256362000001</v>
      </c>
      <c r="D2898" s="2">
        <v>2.7615838999999999E-4</v>
      </c>
      <c r="E2898" s="2">
        <v>1</v>
      </c>
      <c r="F2898" s="2">
        <v>8.9432872104382496E-3</v>
      </c>
      <c r="G2898" s="2">
        <v>1</v>
      </c>
    </row>
    <row r="2899" spans="1:7" x14ac:dyDescent="0.2">
      <c r="A2899" s="2" t="s">
        <v>46</v>
      </c>
      <c r="B2899" s="14">
        <v>39114</v>
      </c>
      <c r="C2899" s="2">
        <v>-2.1306637674000001E-2</v>
      </c>
      <c r="D2899" s="2">
        <v>2.5214682999999999E-3</v>
      </c>
      <c r="E2899" s="2">
        <v>1</v>
      </c>
      <c r="F2899" s="2">
        <v>1.38085851230033E-2</v>
      </c>
      <c r="G2899" s="2">
        <v>1</v>
      </c>
    </row>
    <row r="2900" spans="1:7" x14ac:dyDescent="0.2">
      <c r="A2900" s="2" t="s">
        <v>46</v>
      </c>
      <c r="B2900" s="14">
        <v>39142</v>
      </c>
      <c r="C2900" s="2">
        <v>0.11781169749000001</v>
      </c>
      <c r="D2900" s="2">
        <v>-6.2181509999999999E-4</v>
      </c>
      <c r="E2900" s="2">
        <v>1</v>
      </c>
      <c r="F2900" s="2">
        <v>1.39969280673586E-2</v>
      </c>
      <c r="G2900" s="2">
        <v>1</v>
      </c>
    </row>
    <row r="2901" spans="1:7" x14ac:dyDescent="0.2">
      <c r="A2901" s="2" t="s">
        <v>46</v>
      </c>
      <c r="B2901" s="14">
        <v>39173</v>
      </c>
      <c r="C2901" s="2">
        <v>7.2767165721000004E-2</v>
      </c>
      <c r="D2901" s="19">
        <v>-2.2691172000000001E-5</v>
      </c>
      <c r="E2901" s="2">
        <v>1</v>
      </c>
      <c r="F2901" s="2">
        <v>1.72656816803037E-2</v>
      </c>
      <c r="G2901" s="2">
        <v>1</v>
      </c>
    </row>
    <row r="2902" spans="1:7" x14ac:dyDescent="0.2">
      <c r="A2902" s="2" t="s">
        <v>46</v>
      </c>
      <c r="B2902" s="14">
        <v>39203</v>
      </c>
      <c r="C2902" s="2">
        <v>9.5984644963999999E-2</v>
      </c>
      <c r="D2902" s="2">
        <v>-2.1866730000000001E-3</v>
      </c>
      <c r="E2902" s="2">
        <v>1</v>
      </c>
      <c r="F2902" s="2">
        <v>1.8099595320577502E-2</v>
      </c>
      <c r="G2902" s="2">
        <v>1</v>
      </c>
    </row>
    <row r="2903" spans="1:7" x14ac:dyDescent="0.2">
      <c r="A2903" s="2" t="s">
        <v>46</v>
      </c>
      <c r="B2903" s="14">
        <v>39234</v>
      </c>
      <c r="C2903" s="2">
        <v>1.3850665462000001E-2</v>
      </c>
      <c r="D2903" s="2">
        <v>9.2614819999999997E-4</v>
      </c>
      <c r="E2903" s="2">
        <v>1</v>
      </c>
      <c r="F2903" s="2">
        <v>1.90286507382285E-2</v>
      </c>
      <c r="G2903" s="2">
        <v>1</v>
      </c>
    </row>
    <row r="2904" spans="1:7" x14ac:dyDescent="0.2">
      <c r="A2904" s="2" t="s">
        <v>46</v>
      </c>
      <c r="B2904" s="14">
        <v>39264</v>
      </c>
      <c r="C2904" s="2">
        <v>-3.2251245993999998E-2</v>
      </c>
      <c r="D2904" s="2">
        <v>-2.4379417000000001E-3</v>
      </c>
      <c r="E2904" s="2">
        <v>1</v>
      </c>
      <c r="F2904" s="2">
        <v>1.7490669776558901E-2</v>
      </c>
      <c r="G2904" s="2">
        <v>1</v>
      </c>
    </row>
    <row r="2905" spans="1:7" x14ac:dyDescent="0.2">
      <c r="A2905" s="2" t="s">
        <v>46</v>
      </c>
      <c r="B2905" s="14">
        <v>39295</v>
      </c>
      <c r="C2905" s="2">
        <v>2.8509351757999998E-2</v>
      </c>
      <c r="D2905" s="2">
        <v>3.9892154999999997E-3</v>
      </c>
      <c r="E2905" s="2">
        <v>1</v>
      </c>
      <c r="F2905" s="2">
        <v>9.6531073140145099E-3</v>
      </c>
      <c r="G2905" s="2">
        <v>1</v>
      </c>
    </row>
    <row r="2906" spans="1:7" x14ac:dyDescent="0.2">
      <c r="A2906" s="2" t="s">
        <v>46</v>
      </c>
      <c r="B2906" s="14">
        <v>39326</v>
      </c>
      <c r="C2906" s="2">
        <v>-3.3195855548000003E-2</v>
      </c>
      <c r="D2906" s="2">
        <v>2.6744338999999998E-3</v>
      </c>
      <c r="E2906" s="2">
        <v>1</v>
      </c>
      <c r="F2906" s="2">
        <v>1.0960021279180001E-2</v>
      </c>
      <c r="G2906" s="2">
        <v>1</v>
      </c>
    </row>
    <row r="2907" spans="1:7" x14ac:dyDescent="0.2">
      <c r="A2907" s="2" t="s">
        <v>46</v>
      </c>
      <c r="B2907" s="14">
        <v>39356</v>
      </c>
      <c r="C2907" s="2">
        <v>1.7364362591E-2</v>
      </c>
      <c r="D2907" s="2">
        <v>-1.5381208000000001E-3</v>
      </c>
      <c r="E2907" s="2">
        <v>1</v>
      </c>
      <c r="F2907" s="2">
        <v>6.7322887065175297E-3</v>
      </c>
      <c r="G2907" s="2">
        <v>1</v>
      </c>
    </row>
    <row r="2908" spans="1:7" x14ac:dyDescent="0.2">
      <c r="A2908" s="2" t="s">
        <v>46</v>
      </c>
      <c r="B2908" s="14">
        <v>39387</v>
      </c>
      <c r="C2908" s="2">
        <v>-0.11005750951</v>
      </c>
      <c r="D2908" s="2">
        <v>-2.4991492000000001E-3</v>
      </c>
      <c r="E2908" s="2">
        <v>1</v>
      </c>
      <c r="F2908" s="2">
        <v>5.1036649486337401E-3</v>
      </c>
      <c r="G2908" s="2">
        <v>1</v>
      </c>
    </row>
    <row r="2909" spans="1:7" x14ac:dyDescent="0.2">
      <c r="A2909" s="2" t="s">
        <v>46</v>
      </c>
      <c r="B2909" s="14">
        <v>39417</v>
      </c>
      <c r="C2909" s="2">
        <v>6.6766730506E-3</v>
      </c>
      <c r="D2909" s="2">
        <v>-2.5672058000000002E-3</v>
      </c>
      <c r="E2909" s="2">
        <v>1</v>
      </c>
      <c r="F2909" s="2">
        <v>-2.9425087690209301E-4</v>
      </c>
      <c r="G2909" s="2">
        <v>1</v>
      </c>
    </row>
    <row r="2910" spans="1:7" x14ac:dyDescent="0.2">
      <c r="A2910" s="2" t="s">
        <v>46</v>
      </c>
      <c r="B2910" s="14">
        <v>39448</v>
      </c>
      <c r="C2910" s="2">
        <v>-4.8843187661000001E-2</v>
      </c>
      <c r="D2910" s="2">
        <v>5.4000932999999996E-3</v>
      </c>
      <c r="E2910" s="2">
        <v>1</v>
      </c>
      <c r="F2910" s="2">
        <v>-5.2059192106368901E-4</v>
      </c>
      <c r="G2910" s="2">
        <v>1</v>
      </c>
    </row>
    <row r="2911" spans="1:7" x14ac:dyDescent="0.2">
      <c r="A2911" s="2" t="s">
        <v>46</v>
      </c>
      <c r="B2911" s="14">
        <v>39479</v>
      </c>
      <c r="C2911" s="2">
        <v>8.1081081082000003E-2</v>
      </c>
      <c r="D2911" s="2">
        <v>8.6773548000000005E-4</v>
      </c>
      <c r="E2911" s="2">
        <v>1</v>
      </c>
      <c r="F2911" s="2">
        <v>-1.1781800348481899E-3</v>
      </c>
      <c r="G2911" s="2">
        <v>1</v>
      </c>
    </row>
    <row r="2912" spans="1:7" x14ac:dyDescent="0.2">
      <c r="A2912" s="2" t="s">
        <v>46</v>
      </c>
      <c r="B2912" s="14">
        <v>39508</v>
      </c>
      <c r="C2912" s="2">
        <v>-3.0712500000999999E-2</v>
      </c>
      <c r="D2912" s="2">
        <v>1.6073654000000001E-3</v>
      </c>
      <c r="E2912" s="2">
        <v>1</v>
      </c>
      <c r="F2912" s="2">
        <v>2.0752891197404799E-4</v>
      </c>
      <c r="G2912" s="2">
        <v>1</v>
      </c>
    </row>
    <row r="2913" spans="1:7" x14ac:dyDescent="0.2">
      <c r="A2913" s="2" t="s">
        <v>46</v>
      </c>
      <c r="B2913" s="14">
        <v>39539</v>
      </c>
      <c r="C2913" s="2">
        <v>1.5320531835E-2</v>
      </c>
      <c r="D2913" s="2">
        <v>8.4505696000000002E-4</v>
      </c>
      <c r="E2913" s="2">
        <v>1</v>
      </c>
      <c r="F2913" s="2">
        <v>2.2171141734154799E-4</v>
      </c>
      <c r="G2913" s="2">
        <v>1</v>
      </c>
    </row>
    <row r="2914" spans="1:7" x14ac:dyDescent="0.2">
      <c r="A2914" s="2" t="s">
        <v>46</v>
      </c>
      <c r="B2914" s="14">
        <v>39569</v>
      </c>
      <c r="C2914" s="2">
        <v>-2.8335997387E-2</v>
      </c>
      <c r="D2914" s="2">
        <v>-9.1661005999999997E-4</v>
      </c>
      <c r="E2914" s="2">
        <v>1</v>
      </c>
      <c r="F2914" s="19">
        <v>5.8592889060461601E-5</v>
      </c>
      <c r="G2914" s="2">
        <v>1</v>
      </c>
    </row>
    <row r="2915" spans="1:7" x14ac:dyDescent="0.2">
      <c r="A2915" s="2" t="s">
        <v>46</v>
      </c>
      <c r="B2915" s="14">
        <v>39600</v>
      </c>
      <c r="C2915" s="2">
        <v>-3.6056376573000003E-2</v>
      </c>
      <c r="D2915" s="2">
        <v>-2.1103170999999999E-4</v>
      </c>
      <c r="E2915" s="2">
        <v>1</v>
      </c>
      <c r="F2915" s="2">
        <v>2.4320021700879099E-3</v>
      </c>
      <c r="G2915" s="2">
        <v>1</v>
      </c>
    </row>
    <row r="2916" spans="1:7" x14ac:dyDescent="0.2">
      <c r="A2916" s="2" t="s">
        <v>46</v>
      </c>
      <c r="B2916" s="14">
        <v>39630</v>
      </c>
      <c r="C2916" s="2">
        <v>-4.1834054937000001E-2</v>
      </c>
      <c r="D2916" s="2">
        <v>4.2668875999999999E-4</v>
      </c>
      <c r="E2916" s="2">
        <v>1</v>
      </c>
      <c r="F2916" s="2">
        <v>1.2791374953368699E-3</v>
      </c>
      <c r="G2916" s="2">
        <v>1</v>
      </c>
    </row>
    <row r="2917" spans="1:7" x14ac:dyDescent="0.2">
      <c r="A2917" s="2" t="s">
        <v>46</v>
      </c>
      <c r="B2917" s="14">
        <v>39661</v>
      </c>
      <c r="C2917" s="2">
        <v>4.1186405523999997E-3</v>
      </c>
      <c r="D2917" s="2">
        <v>8.2820875000000002E-4</v>
      </c>
      <c r="E2917" s="2">
        <v>1</v>
      </c>
      <c r="F2917" s="2">
        <v>-7.5014995487929605E-4</v>
      </c>
      <c r="G2917" s="2">
        <v>1</v>
      </c>
    </row>
    <row r="2918" spans="1:7" x14ac:dyDescent="0.2">
      <c r="A2918" s="2" t="s">
        <v>46</v>
      </c>
      <c r="B2918" s="14">
        <v>39692</v>
      </c>
      <c r="C2918" s="2">
        <v>2.0184135977999999E-2</v>
      </c>
      <c r="D2918" s="2">
        <v>4.6903546999999999E-4</v>
      </c>
      <c r="E2918" s="2">
        <v>1</v>
      </c>
      <c r="F2918" s="2">
        <v>-3.0112642146680698E-3</v>
      </c>
      <c r="G2918" s="2">
        <v>1</v>
      </c>
    </row>
    <row r="2919" spans="1:7" x14ac:dyDescent="0.2">
      <c r="A2919" s="2" t="s">
        <v>46</v>
      </c>
      <c r="B2919" s="14">
        <v>39722</v>
      </c>
      <c r="C2919" s="2">
        <v>1.0326275598E-2</v>
      </c>
      <c r="D2919" s="2">
        <v>-2.5907636E-3</v>
      </c>
      <c r="E2919" s="2">
        <v>1</v>
      </c>
      <c r="F2919" s="2">
        <v>-1.57028168777943E-3</v>
      </c>
      <c r="G2919" s="2">
        <v>1</v>
      </c>
    </row>
    <row r="2920" spans="1:7" x14ac:dyDescent="0.2">
      <c r="A2920" s="2" t="s">
        <v>46</v>
      </c>
      <c r="B2920" s="14">
        <v>39753</v>
      </c>
      <c r="C2920" s="2">
        <v>-2.6596810671999999E-2</v>
      </c>
      <c r="D2920" s="2">
        <v>4.2722147E-4</v>
      </c>
      <c r="E2920" s="2">
        <v>1</v>
      </c>
      <c r="F2920" s="2">
        <v>-1.7446936804306899E-3</v>
      </c>
      <c r="G2920" s="2">
        <v>1</v>
      </c>
    </row>
    <row r="2921" spans="1:7" x14ac:dyDescent="0.2">
      <c r="A2921" s="2" t="s">
        <v>46</v>
      </c>
      <c r="B2921" s="14">
        <v>39783</v>
      </c>
      <c r="C2921" s="2">
        <v>3.5827762924000001E-2</v>
      </c>
      <c r="D2921" s="2">
        <v>-3.3375767999999999E-3</v>
      </c>
      <c r="E2921" s="2">
        <v>1</v>
      </c>
      <c r="F2921" s="2">
        <v>-1.8316307405213299E-3</v>
      </c>
      <c r="G2921" s="2">
        <v>1</v>
      </c>
    </row>
    <row r="2922" spans="1:7" x14ac:dyDescent="0.2">
      <c r="A2922" s="2" t="s">
        <v>47</v>
      </c>
      <c r="B2922" s="14">
        <v>37591</v>
      </c>
      <c r="C2922" s="2">
        <v>0</v>
      </c>
      <c r="E2922" s="2">
        <v>1</v>
      </c>
      <c r="G2922" s="2">
        <v>1</v>
      </c>
    </row>
    <row r="2923" spans="1:7" x14ac:dyDescent="0.2">
      <c r="A2923" s="2" t="s">
        <v>47</v>
      </c>
      <c r="B2923" s="14">
        <v>37622</v>
      </c>
      <c r="C2923" s="2">
        <v>5.8823529410999997E-2</v>
      </c>
      <c r="E2923" s="2">
        <v>1</v>
      </c>
      <c r="G2923" s="2">
        <v>1</v>
      </c>
    </row>
    <row r="2924" spans="1:7" x14ac:dyDescent="0.2">
      <c r="A2924" s="2" t="s">
        <v>47</v>
      </c>
      <c r="B2924" s="14">
        <v>37653</v>
      </c>
      <c r="C2924" s="2">
        <v>-5.5555555554999997E-2</v>
      </c>
      <c r="E2924" s="2">
        <v>1</v>
      </c>
      <c r="G2924" s="2">
        <v>1</v>
      </c>
    </row>
    <row r="2925" spans="1:7" x14ac:dyDescent="0.2">
      <c r="A2925" s="2" t="s">
        <v>47</v>
      </c>
      <c r="B2925" s="14">
        <v>37681</v>
      </c>
      <c r="C2925" s="2">
        <v>2.9411764706000001E-2</v>
      </c>
      <c r="E2925" s="2">
        <v>1</v>
      </c>
      <c r="G2925" s="2">
        <v>1</v>
      </c>
    </row>
    <row r="2926" spans="1:7" x14ac:dyDescent="0.2">
      <c r="A2926" s="2" t="s">
        <v>47</v>
      </c>
      <c r="B2926" s="14">
        <v>37712</v>
      </c>
      <c r="C2926" s="2">
        <v>0.13714285713999999</v>
      </c>
      <c r="E2926" s="2">
        <v>1</v>
      </c>
      <c r="G2926" s="2">
        <v>1</v>
      </c>
    </row>
    <row r="2927" spans="1:7" x14ac:dyDescent="0.2">
      <c r="A2927" s="2" t="s">
        <v>47</v>
      </c>
      <c r="B2927" s="14">
        <v>37742</v>
      </c>
      <c r="C2927" s="2">
        <v>0.56169445099000004</v>
      </c>
      <c r="E2927" s="2">
        <v>1</v>
      </c>
      <c r="G2927" s="2">
        <v>1</v>
      </c>
    </row>
    <row r="2928" spans="1:7" x14ac:dyDescent="0.2">
      <c r="A2928" s="2" t="s">
        <v>47</v>
      </c>
      <c r="B2928" s="14">
        <v>37773</v>
      </c>
      <c r="C2928" s="2">
        <v>-0.13304433047</v>
      </c>
      <c r="E2928" s="2">
        <v>1</v>
      </c>
      <c r="G2928" s="2">
        <v>1</v>
      </c>
    </row>
    <row r="2929" spans="1:7" x14ac:dyDescent="0.2">
      <c r="A2929" s="2" t="s">
        <v>47</v>
      </c>
      <c r="B2929" s="14">
        <v>37803</v>
      </c>
      <c r="C2929" s="2">
        <v>0.11538461538</v>
      </c>
      <c r="E2929" s="2">
        <v>1</v>
      </c>
      <c r="G2929" s="2">
        <v>1</v>
      </c>
    </row>
    <row r="2930" spans="1:7" x14ac:dyDescent="0.2">
      <c r="A2930" s="2" t="s">
        <v>47</v>
      </c>
      <c r="B2930" s="14">
        <v>37834</v>
      </c>
      <c r="C2930" s="2">
        <v>-3.4482758619999998E-2</v>
      </c>
      <c r="D2930" s="2">
        <v>3.3402748000000001E-3</v>
      </c>
      <c r="E2930" s="2">
        <v>1</v>
      </c>
      <c r="F2930" s="2">
        <v>5.71923372889784E-2</v>
      </c>
      <c r="G2930" s="2">
        <v>1</v>
      </c>
    </row>
    <row r="2931" spans="1:7" x14ac:dyDescent="0.2">
      <c r="A2931" s="2" t="s">
        <v>47</v>
      </c>
      <c r="B2931" s="14">
        <v>37865</v>
      </c>
      <c r="C2931" s="2">
        <v>-3.5714285714000003E-2</v>
      </c>
      <c r="D2931" s="2">
        <v>0</v>
      </c>
      <c r="E2931" s="2">
        <v>1</v>
      </c>
      <c r="F2931" s="2">
        <v>5.7674164432120298E-2</v>
      </c>
      <c r="G2931" s="2">
        <v>1</v>
      </c>
    </row>
    <row r="2932" spans="1:7" x14ac:dyDescent="0.2">
      <c r="A2932" s="2" t="s">
        <v>47</v>
      </c>
      <c r="B2932" s="14">
        <v>37895</v>
      </c>
      <c r="C2932" s="2">
        <v>0</v>
      </c>
      <c r="D2932" s="2">
        <v>-1.5566403000000001E-4</v>
      </c>
      <c r="E2932" s="2">
        <v>1</v>
      </c>
      <c r="F2932" s="2">
        <v>5.5693567845826498E-2</v>
      </c>
      <c r="G2932" s="2">
        <v>1</v>
      </c>
    </row>
    <row r="2933" spans="1:7" x14ac:dyDescent="0.2">
      <c r="A2933" s="2" t="s">
        <v>47</v>
      </c>
      <c r="B2933" s="14">
        <v>37926</v>
      </c>
      <c r="C2933" s="2">
        <v>0</v>
      </c>
      <c r="D2933" s="2">
        <v>0</v>
      </c>
      <c r="E2933" s="2">
        <v>1</v>
      </c>
      <c r="F2933" s="2">
        <v>5.1538993689140299E-2</v>
      </c>
      <c r="G2933" s="2">
        <v>1</v>
      </c>
    </row>
    <row r="2934" spans="1:7" x14ac:dyDescent="0.2">
      <c r="A2934" s="2" t="s">
        <v>47</v>
      </c>
      <c r="B2934" s="14">
        <v>37956</v>
      </c>
      <c r="C2934" s="2">
        <v>-7.4074074074999996E-2</v>
      </c>
      <c r="D2934" s="19">
        <v>-7.6099986E-6</v>
      </c>
      <c r="E2934" s="2">
        <v>1</v>
      </c>
      <c r="F2934" s="2">
        <v>3.5145286683091498E-2</v>
      </c>
      <c r="G2934" s="2">
        <v>1</v>
      </c>
    </row>
    <row r="2935" spans="1:7" x14ac:dyDescent="0.2">
      <c r="A2935" s="2" t="s">
        <v>47</v>
      </c>
      <c r="B2935" s="14">
        <v>37987</v>
      </c>
      <c r="C2935" s="2">
        <v>-4.0400000000999997E-2</v>
      </c>
      <c r="E2935" s="2">
        <v>1</v>
      </c>
      <c r="F2935" s="2">
        <v>3.6941304276873997E-2</v>
      </c>
      <c r="G2935" s="2">
        <v>1</v>
      </c>
    </row>
    <row r="2936" spans="1:7" x14ac:dyDescent="0.2">
      <c r="A2936" s="2" t="s">
        <v>47</v>
      </c>
      <c r="B2936" s="14">
        <v>38018</v>
      </c>
      <c r="C2936" s="2">
        <v>0.24218424344</v>
      </c>
      <c r="E2936" s="2">
        <v>1</v>
      </c>
      <c r="F2936" s="2">
        <v>3.2566397714197101E-2</v>
      </c>
      <c r="G2936" s="2">
        <v>1</v>
      </c>
    </row>
    <row r="2937" spans="1:7" x14ac:dyDescent="0.2">
      <c r="A2937" s="2" t="s">
        <v>47</v>
      </c>
      <c r="B2937" s="14">
        <v>38047</v>
      </c>
      <c r="C2937" s="2">
        <v>-9.3959731544000002E-2</v>
      </c>
      <c r="D2937" s="2">
        <v>0</v>
      </c>
      <c r="E2937" s="2">
        <v>1</v>
      </c>
      <c r="F2937" s="2">
        <v>4.0181055541101802E-2</v>
      </c>
      <c r="G2937" s="2">
        <v>1</v>
      </c>
    </row>
    <row r="2938" spans="1:7" x14ac:dyDescent="0.2">
      <c r="A2938" s="2" t="s">
        <v>47</v>
      </c>
      <c r="B2938" s="14">
        <v>38078</v>
      </c>
      <c r="C2938" s="2">
        <v>-1.8518518519E-2</v>
      </c>
      <c r="D2938" s="2">
        <v>0</v>
      </c>
      <c r="E2938" s="2">
        <v>1</v>
      </c>
      <c r="F2938" s="2">
        <v>3.8823682689701398E-2</v>
      </c>
      <c r="G2938" s="2">
        <v>1</v>
      </c>
    </row>
    <row r="2939" spans="1:7" x14ac:dyDescent="0.2">
      <c r="A2939" s="2" t="s">
        <v>47</v>
      </c>
      <c r="B2939" s="14">
        <v>38108</v>
      </c>
      <c r="C2939" s="2">
        <v>-4.0867709597E-2</v>
      </c>
      <c r="D2939" s="2">
        <v>0</v>
      </c>
      <c r="E2939" s="2">
        <v>1</v>
      </c>
      <c r="F2939" s="2">
        <v>3.8314531194516999E-2</v>
      </c>
      <c r="G2939" s="2">
        <v>1</v>
      </c>
    </row>
    <row r="2940" spans="1:7" x14ac:dyDescent="0.2">
      <c r="A2940" s="2" t="s">
        <v>47</v>
      </c>
      <c r="B2940" s="14">
        <v>38139</v>
      </c>
      <c r="C2940" s="2">
        <v>0.12653061224000001</v>
      </c>
      <c r="D2940" s="2">
        <v>0</v>
      </c>
      <c r="E2940" s="2">
        <v>1</v>
      </c>
      <c r="F2940" s="2">
        <v>3.5586773994559201E-2</v>
      </c>
      <c r="G2940" s="2">
        <v>1</v>
      </c>
    </row>
    <row r="2941" spans="1:7" x14ac:dyDescent="0.2">
      <c r="A2941" s="2" t="s">
        <v>47</v>
      </c>
      <c r="B2941" s="14">
        <v>38169</v>
      </c>
      <c r="C2941" s="2">
        <v>1.4492753622000001E-2</v>
      </c>
      <c r="D2941" s="2">
        <v>0</v>
      </c>
      <c r="E2941" s="2">
        <v>1</v>
      </c>
      <c r="F2941" s="2">
        <v>4.1090731110931797E-2</v>
      </c>
      <c r="G2941" s="2">
        <v>1</v>
      </c>
    </row>
    <row r="2942" spans="1:7" x14ac:dyDescent="0.2">
      <c r="A2942" s="2" t="s">
        <v>47</v>
      </c>
      <c r="B2942" s="14">
        <v>38200</v>
      </c>
      <c r="C2942" s="2">
        <v>-5.3571428572E-2</v>
      </c>
      <c r="D2942" s="2">
        <v>0</v>
      </c>
      <c r="E2942" s="2">
        <v>1</v>
      </c>
      <c r="F2942" s="2">
        <v>3.6965120366232403E-2</v>
      </c>
      <c r="G2942" s="2">
        <v>1</v>
      </c>
    </row>
    <row r="2943" spans="1:7" x14ac:dyDescent="0.2">
      <c r="A2943" s="2" t="s">
        <v>47</v>
      </c>
      <c r="B2943" s="14">
        <v>38231</v>
      </c>
      <c r="C2943" s="2">
        <v>0</v>
      </c>
      <c r="D2943" s="2">
        <v>0</v>
      </c>
      <c r="E2943" s="2">
        <v>1</v>
      </c>
      <c r="F2943" s="2">
        <v>2.8562130757622099E-2</v>
      </c>
      <c r="G2943" s="2">
        <v>1</v>
      </c>
    </row>
    <row r="2944" spans="1:7" x14ac:dyDescent="0.2">
      <c r="A2944" s="2" t="s">
        <v>47</v>
      </c>
      <c r="B2944" s="14">
        <v>38261</v>
      </c>
      <c r="C2944" s="2">
        <v>9.4339622641000001E-2</v>
      </c>
      <c r="D2944" s="2">
        <v>0</v>
      </c>
      <c r="E2944" s="2">
        <v>1</v>
      </c>
      <c r="F2944" s="2">
        <v>3.1262696392064901E-2</v>
      </c>
      <c r="G2944" s="2">
        <v>1</v>
      </c>
    </row>
    <row r="2945" spans="1:7" x14ac:dyDescent="0.2">
      <c r="A2945" s="2" t="s">
        <v>47</v>
      </c>
      <c r="B2945" s="14">
        <v>38292</v>
      </c>
      <c r="C2945" s="2">
        <v>-6.8965517241999993E-2</v>
      </c>
      <c r="D2945" s="2">
        <v>0</v>
      </c>
      <c r="E2945" s="2">
        <v>1</v>
      </c>
      <c r="F2945" s="2">
        <v>3.43826944950546E-2</v>
      </c>
      <c r="G2945" s="2">
        <v>1</v>
      </c>
    </row>
    <row r="2946" spans="1:7" x14ac:dyDescent="0.2">
      <c r="A2946" s="2" t="s">
        <v>47</v>
      </c>
      <c r="B2946" s="14">
        <v>38322</v>
      </c>
      <c r="C2946" s="2">
        <v>-3.7037037037000002E-2</v>
      </c>
      <c r="D2946" s="2">
        <v>0</v>
      </c>
      <c r="E2946" s="2">
        <v>1</v>
      </c>
      <c r="F2946" s="2">
        <v>3.37869977966112E-2</v>
      </c>
      <c r="G2946" s="2">
        <v>1</v>
      </c>
    </row>
    <row r="2947" spans="1:7" x14ac:dyDescent="0.2">
      <c r="A2947" s="2" t="s">
        <v>47</v>
      </c>
      <c r="B2947" s="14">
        <v>38353</v>
      </c>
      <c r="C2947" s="2">
        <v>3.8461538461000001E-3</v>
      </c>
      <c r="D2947" s="2">
        <v>0</v>
      </c>
      <c r="E2947" s="2">
        <v>1</v>
      </c>
      <c r="F2947" s="2">
        <v>2.9105958945732601E-2</v>
      </c>
      <c r="G2947" s="2">
        <v>1</v>
      </c>
    </row>
    <row r="2948" spans="1:7" x14ac:dyDescent="0.2">
      <c r="A2948" s="2" t="s">
        <v>47</v>
      </c>
      <c r="B2948" s="14">
        <v>38384</v>
      </c>
      <c r="C2948" s="2">
        <v>7.2796934866000002E-2</v>
      </c>
      <c r="D2948" s="2">
        <v>0</v>
      </c>
      <c r="E2948" s="2">
        <v>1</v>
      </c>
      <c r="F2948" s="2">
        <v>2.8765855567979701E-2</v>
      </c>
      <c r="G2948" s="2">
        <v>1</v>
      </c>
    </row>
    <row r="2949" spans="1:7" x14ac:dyDescent="0.2">
      <c r="A2949" s="2" t="s">
        <v>47</v>
      </c>
      <c r="B2949" s="14">
        <v>38412</v>
      </c>
      <c r="C2949" s="2">
        <v>-3.5714285715000002E-2</v>
      </c>
      <c r="D2949" s="2">
        <v>0</v>
      </c>
      <c r="E2949" s="2">
        <v>1</v>
      </c>
      <c r="F2949" s="2">
        <v>3.1725786530058399E-2</v>
      </c>
      <c r="G2949" s="2">
        <v>1</v>
      </c>
    </row>
    <row r="2950" spans="1:7" x14ac:dyDescent="0.2">
      <c r="A2950" s="2" t="s">
        <v>47</v>
      </c>
      <c r="B2950" s="14">
        <v>38443</v>
      </c>
      <c r="C2950" s="2">
        <v>-3.7037037037000002E-2</v>
      </c>
      <c r="D2950" s="2">
        <v>0</v>
      </c>
      <c r="E2950" s="2">
        <v>1</v>
      </c>
      <c r="F2950" s="2">
        <v>3.06739328364595E-2</v>
      </c>
      <c r="G2950" s="2">
        <v>1</v>
      </c>
    </row>
    <row r="2951" spans="1:7" x14ac:dyDescent="0.2">
      <c r="A2951" s="2" t="s">
        <v>47</v>
      </c>
      <c r="B2951" s="14">
        <v>38473</v>
      </c>
      <c r="C2951" s="2">
        <v>0</v>
      </c>
      <c r="D2951" s="2">
        <v>0</v>
      </c>
      <c r="E2951" s="2">
        <v>1</v>
      </c>
      <c r="F2951" s="2">
        <v>2.69802512083346E-2</v>
      </c>
      <c r="G2951" s="2">
        <v>1</v>
      </c>
    </row>
    <row r="2952" spans="1:7" x14ac:dyDescent="0.2">
      <c r="A2952" s="2" t="s">
        <v>47</v>
      </c>
      <c r="B2952" s="14">
        <v>38504</v>
      </c>
      <c r="C2952" s="2">
        <v>0</v>
      </c>
      <c r="D2952" s="2">
        <v>0</v>
      </c>
      <c r="E2952" s="2">
        <v>1</v>
      </c>
      <c r="F2952" s="2">
        <v>2.90335590250397E-2</v>
      </c>
      <c r="G2952" s="2">
        <v>1</v>
      </c>
    </row>
    <row r="2953" spans="1:7" x14ac:dyDescent="0.2">
      <c r="A2953" s="2" t="s">
        <v>47</v>
      </c>
      <c r="B2953" s="14">
        <v>38534</v>
      </c>
      <c r="C2953" s="2">
        <v>0.1</v>
      </c>
      <c r="D2953" s="2">
        <v>-1.2206425E-3</v>
      </c>
      <c r="E2953" s="2">
        <v>1</v>
      </c>
      <c r="F2953" s="2">
        <v>2.9860948589110401E-2</v>
      </c>
      <c r="G2953" s="2">
        <v>1</v>
      </c>
    </row>
    <row r="2954" spans="1:7" x14ac:dyDescent="0.2">
      <c r="A2954" s="2" t="s">
        <v>47</v>
      </c>
      <c r="B2954" s="14">
        <v>38565</v>
      </c>
      <c r="C2954" s="2">
        <v>-1.8181818180999999E-2</v>
      </c>
      <c r="D2954" s="2">
        <v>0</v>
      </c>
      <c r="E2954" s="2">
        <v>1</v>
      </c>
      <c r="F2954" s="2">
        <v>3.3962920071299599E-2</v>
      </c>
      <c r="G2954" s="2">
        <v>1</v>
      </c>
    </row>
    <row r="2955" spans="1:7" x14ac:dyDescent="0.2">
      <c r="A2955" s="2" t="s">
        <v>47</v>
      </c>
      <c r="B2955" s="14">
        <v>38596</v>
      </c>
      <c r="C2955" s="2">
        <v>3.7037037036000003E-2</v>
      </c>
      <c r="D2955" s="2">
        <v>0</v>
      </c>
      <c r="E2955" s="2">
        <v>1</v>
      </c>
      <c r="F2955" s="2">
        <v>3.1332405985887497E-2</v>
      </c>
      <c r="G2955" s="2">
        <v>1</v>
      </c>
    </row>
    <row r="2956" spans="1:7" x14ac:dyDescent="0.2">
      <c r="A2956" s="2" t="s">
        <v>47</v>
      </c>
      <c r="B2956" s="14">
        <v>38626</v>
      </c>
      <c r="C2956" s="2">
        <v>-3.5714285714000003E-2</v>
      </c>
      <c r="D2956" s="2">
        <v>0</v>
      </c>
      <c r="E2956" s="2">
        <v>1</v>
      </c>
      <c r="F2956" s="2">
        <v>3.3363906420097199E-2</v>
      </c>
      <c r="G2956" s="2">
        <v>1</v>
      </c>
    </row>
    <row r="2957" spans="1:7" x14ac:dyDescent="0.2">
      <c r="A2957" s="2" t="s">
        <v>47</v>
      </c>
      <c r="B2957" s="14">
        <v>38657</v>
      </c>
      <c r="C2957" s="2">
        <v>-3.7037037037000002E-2</v>
      </c>
      <c r="D2957" s="2">
        <v>0</v>
      </c>
      <c r="E2957" s="2">
        <v>1</v>
      </c>
      <c r="F2957" s="2">
        <v>3.3377254735420303E-2</v>
      </c>
      <c r="G2957" s="2">
        <v>1</v>
      </c>
    </row>
    <row r="2958" spans="1:7" x14ac:dyDescent="0.2">
      <c r="A2958" s="2" t="s">
        <v>47</v>
      </c>
      <c r="B2958" s="14">
        <v>38687</v>
      </c>
      <c r="C2958" s="2">
        <v>-3.8461538461999997E-2</v>
      </c>
      <c r="D2958" s="2">
        <v>0</v>
      </c>
      <c r="E2958" s="2">
        <v>1</v>
      </c>
      <c r="F2958" s="2">
        <v>3.2333291969265501E-2</v>
      </c>
      <c r="G2958" s="2">
        <v>1</v>
      </c>
    </row>
    <row r="2959" spans="1:7" x14ac:dyDescent="0.2">
      <c r="A2959" s="2" t="s">
        <v>47</v>
      </c>
      <c r="B2959" s="14">
        <v>38718</v>
      </c>
      <c r="C2959" s="2">
        <v>0</v>
      </c>
      <c r="D2959" s="2">
        <v>0</v>
      </c>
      <c r="E2959" s="2">
        <v>1</v>
      </c>
      <c r="F2959" s="2">
        <v>3.1313363576122598E-2</v>
      </c>
      <c r="G2959" s="2">
        <v>1</v>
      </c>
    </row>
    <row r="2960" spans="1:7" x14ac:dyDescent="0.2">
      <c r="A2960" s="2" t="s">
        <v>47</v>
      </c>
      <c r="B2960" s="14">
        <v>38749</v>
      </c>
      <c r="C2960" s="2">
        <v>0.12</v>
      </c>
      <c r="D2960" s="2">
        <v>0</v>
      </c>
      <c r="E2960" s="2">
        <v>1</v>
      </c>
      <c r="F2960" s="2">
        <v>2.8424127877313798E-2</v>
      </c>
      <c r="G2960" s="2">
        <v>1</v>
      </c>
    </row>
    <row r="2961" spans="1:7" x14ac:dyDescent="0.2">
      <c r="A2961" s="2" t="s">
        <v>47</v>
      </c>
      <c r="B2961" s="14">
        <v>38777</v>
      </c>
      <c r="C2961" s="2">
        <v>0</v>
      </c>
      <c r="D2961" s="2">
        <v>0</v>
      </c>
      <c r="E2961" s="2">
        <v>1</v>
      </c>
      <c r="F2961" s="2">
        <v>3.2307898937514699E-2</v>
      </c>
      <c r="G2961" s="2">
        <v>1</v>
      </c>
    </row>
    <row r="2962" spans="1:7" x14ac:dyDescent="0.2">
      <c r="A2962" s="2" t="s">
        <v>47</v>
      </c>
      <c r="B2962" s="14">
        <v>38808</v>
      </c>
      <c r="C2962" s="2">
        <v>0</v>
      </c>
      <c r="D2962" s="2">
        <v>0</v>
      </c>
      <c r="E2962" s="2">
        <v>1</v>
      </c>
      <c r="F2962" s="2">
        <v>3.1210789779930401E-2</v>
      </c>
      <c r="G2962" s="2">
        <v>1</v>
      </c>
    </row>
    <row r="2963" spans="1:7" x14ac:dyDescent="0.2">
      <c r="A2963" s="2" t="s">
        <v>47</v>
      </c>
      <c r="B2963" s="14">
        <v>38838</v>
      </c>
      <c r="C2963" s="2">
        <v>6.3237221494999996E-2</v>
      </c>
      <c r="D2963" s="2">
        <v>0</v>
      </c>
      <c r="E2963" s="2">
        <v>1</v>
      </c>
      <c r="F2963" s="2">
        <v>3.2209180153794703E-2</v>
      </c>
      <c r="G2963" s="2">
        <v>1</v>
      </c>
    </row>
    <row r="2964" spans="1:7" x14ac:dyDescent="0.2">
      <c r="A2964" s="2" t="s">
        <v>47</v>
      </c>
      <c r="B2964" s="14">
        <v>38869</v>
      </c>
      <c r="C2964" s="2">
        <v>-1.6813559321999998E-2</v>
      </c>
      <c r="D2964" s="2">
        <v>0</v>
      </c>
      <c r="E2964" s="2">
        <v>1</v>
      </c>
      <c r="F2964" s="2">
        <v>3.5025287992423597E-2</v>
      </c>
      <c r="G2964" s="2">
        <v>1</v>
      </c>
    </row>
    <row r="2965" spans="1:7" x14ac:dyDescent="0.2">
      <c r="A2965" s="2" t="s">
        <v>47</v>
      </c>
      <c r="B2965" s="14">
        <v>38899</v>
      </c>
      <c r="C2965" s="2">
        <v>-1.3791201217E-4</v>
      </c>
      <c r="D2965" s="2">
        <v>0</v>
      </c>
      <c r="E2965" s="2">
        <v>1</v>
      </c>
      <c r="F2965" s="2">
        <v>3.5701912804919002E-2</v>
      </c>
      <c r="G2965" s="2">
        <v>1</v>
      </c>
    </row>
    <row r="2966" spans="1:7" x14ac:dyDescent="0.2">
      <c r="A2966" s="2" t="s">
        <v>47</v>
      </c>
      <c r="B2966" s="14">
        <v>38930</v>
      </c>
      <c r="C2966" s="2">
        <v>-3.4482758619999998E-2</v>
      </c>
      <c r="D2966" s="2">
        <v>0</v>
      </c>
      <c r="E2966" s="2">
        <v>1</v>
      </c>
      <c r="F2966" s="2">
        <v>3.6877102089777902E-2</v>
      </c>
      <c r="G2966" s="2">
        <v>1</v>
      </c>
    </row>
    <row r="2967" spans="1:7" x14ac:dyDescent="0.2">
      <c r="A2967" s="2" t="s">
        <v>47</v>
      </c>
      <c r="B2967" s="14">
        <v>38961</v>
      </c>
      <c r="C2967" s="2">
        <v>2.1428571428E-2</v>
      </c>
      <c r="D2967" s="2">
        <v>0</v>
      </c>
      <c r="E2967" s="2">
        <v>1</v>
      </c>
      <c r="F2967" s="2">
        <v>3.2512502122039898E-2</v>
      </c>
      <c r="G2967" s="2">
        <v>1</v>
      </c>
    </row>
    <row r="2968" spans="1:7" x14ac:dyDescent="0.2">
      <c r="A2968" s="2" t="s">
        <v>47</v>
      </c>
      <c r="B2968" s="14">
        <v>38991</v>
      </c>
      <c r="C2968" s="2">
        <v>-9.0909090908999998E-2</v>
      </c>
      <c r="D2968" s="2">
        <v>0</v>
      </c>
      <c r="E2968" s="2">
        <v>1</v>
      </c>
      <c r="F2968" s="2">
        <v>3.30692805220981E-2</v>
      </c>
      <c r="G2968" s="2">
        <v>1</v>
      </c>
    </row>
    <row r="2969" spans="1:7" x14ac:dyDescent="0.2">
      <c r="A2969" s="2" t="s">
        <v>47</v>
      </c>
      <c r="B2969" s="14">
        <v>39022</v>
      </c>
      <c r="C2969" s="2">
        <v>1.923076923E-2</v>
      </c>
      <c r="D2969" s="2">
        <v>0</v>
      </c>
      <c r="E2969" s="2">
        <v>1</v>
      </c>
      <c r="F2969" s="2">
        <v>3.0780438269935501E-2</v>
      </c>
      <c r="G2969" s="2">
        <v>1</v>
      </c>
    </row>
    <row r="2970" spans="1:7" x14ac:dyDescent="0.2">
      <c r="A2970" s="2" t="s">
        <v>47</v>
      </c>
      <c r="B2970" s="14">
        <v>39052</v>
      </c>
      <c r="C2970" s="2">
        <v>-1.5094339623000001E-2</v>
      </c>
      <c r="D2970" s="2">
        <v>0</v>
      </c>
      <c r="E2970" s="2">
        <v>1</v>
      </c>
      <c r="F2970" s="2">
        <v>2.94473537057366E-2</v>
      </c>
      <c r="G2970" s="2">
        <v>1</v>
      </c>
    </row>
    <row r="2971" spans="1:7" x14ac:dyDescent="0.2">
      <c r="A2971" s="2" t="s">
        <v>47</v>
      </c>
      <c r="B2971" s="14">
        <v>39083</v>
      </c>
      <c r="C2971" s="2">
        <v>0</v>
      </c>
      <c r="D2971" s="2">
        <v>0</v>
      </c>
      <c r="E2971" s="2">
        <v>1</v>
      </c>
      <c r="F2971" s="2">
        <v>2.9507555130917702E-2</v>
      </c>
      <c r="G2971" s="2">
        <v>1</v>
      </c>
    </row>
    <row r="2972" spans="1:7" x14ac:dyDescent="0.2">
      <c r="A2972" s="2" t="s">
        <v>47</v>
      </c>
      <c r="B2972" s="14">
        <v>39114</v>
      </c>
      <c r="C2972" s="2">
        <v>5.3639846743E-2</v>
      </c>
      <c r="D2972" s="2">
        <v>0</v>
      </c>
      <c r="E2972" s="2">
        <v>1</v>
      </c>
      <c r="F2972" s="2">
        <v>2.95115395159046E-2</v>
      </c>
      <c r="G2972" s="2">
        <v>1</v>
      </c>
    </row>
    <row r="2973" spans="1:7" x14ac:dyDescent="0.2">
      <c r="A2973" s="2" t="s">
        <v>47</v>
      </c>
      <c r="B2973" s="14">
        <v>39142</v>
      </c>
      <c r="C2973" s="2">
        <v>1.8181818182999999E-2</v>
      </c>
      <c r="D2973" s="2">
        <v>0</v>
      </c>
      <c r="E2973" s="2">
        <v>1</v>
      </c>
      <c r="F2973" s="2">
        <v>3.1730397320184803E-2</v>
      </c>
      <c r="G2973" s="2">
        <v>1</v>
      </c>
    </row>
    <row r="2974" spans="1:7" x14ac:dyDescent="0.2">
      <c r="A2974" s="2" t="s">
        <v>47</v>
      </c>
      <c r="B2974" s="14">
        <v>39173</v>
      </c>
      <c r="C2974" s="2">
        <v>1.7857142857000002E-2</v>
      </c>
      <c r="D2974" s="2">
        <v>0</v>
      </c>
      <c r="E2974" s="2">
        <v>1</v>
      </c>
      <c r="F2974" s="2">
        <v>3.1602009200027099E-2</v>
      </c>
      <c r="G2974" s="2">
        <v>1</v>
      </c>
    </row>
    <row r="2975" spans="1:7" x14ac:dyDescent="0.2">
      <c r="A2975" s="2" t="s">
        <v>47</v>
      </c>
      <c r="B2975" s="14">
        <v>39203</v>
      </c>
      <c r="C2975" s="2">
        <v>1.6473887137000001E-2</v>
      </c>
      <c r="D2975" s="2">
        <v>0</v>
      </c>
      <c r="E2975" s="2">
        <v>1</v>
      </c>
      <c r="F2975" s="2">
        <v>3.4709078982087298E-2</v>
      </c>
      <c r="G2975" s="2">
        <v>1</v>
      </c>
    </row>
    <row r="2976" spans="1:7" x14ac:dyDescent="0.2">
      <c r="A2976" s="2" t="s">
        <v>47</v>
      </c>
      <c r="B2976" s="14">
        <v>39234</v>
      </c>
      <c r="C2976" s="2">
        <v>5.2631578946999998E-2</v>
      </c>
      <c r="D2976" s="2">
        <v>0</v>
      </c>
      <c r="E2976" s="2">
        <v>1</v>
      </c>
      <c r="F2976" s="2">
        <v>3.4549264352947903E-2</v>
      </c>
      <c r="G2976" s="2">
        <v>1</v>
      </c>
    </row>
    <row r="2977" spans="1:7" x14ac:dyDescent="0.2">
      <c r="A2977" s="2" t="s">
        <v>47</v>
      </c>
      <c r="B2977" s="14">
        <v>39264</v>
      </c>
      <c r="C2977" s="2">
        <v>0</v>
      </c>
      <c r="D2977" s="2">
        <v>0</v>
      </c>
      <c r="E2977" s="2">
        <v>1</v>
      </c>
      <c r="F2977" s="2">
        <v>3.6439067498989099E-2</v>
      </c>
      <c r="G2977" s="2">
        <v>1</v>
      </c>
    </row>
    <row r="2978" spans="1:7" x14ac:dyDescent="0.2">
      <c r="A2978" s="2" t="s">
        <v>47</v>
      </c>
      <c r="B2978" s="14">
        <v>39295</v>
      </c>
      <c r="C2978" s="2">
        <v>-1.6666666665999998E-2</v>
      </c>
      <c r="D2978" s="2">
        <v>0</v>
      </c>
      <c r="E2978" s="2">
        <v>1</v>
      </c>
      <c r="F2978" s="2">
        <v>3.68715763823904E-2</v>
      </c>
      <c r="G2978" s="2">
        <v>1</v>
      </c>
    </row>
    <row r="2979" spans="1:7" x14ac:dyDescent="0.2">
      <c r="A2979" s="2" t="s">
        <v>47</v>
      </c>
      <c r="B2979" s="14">
        <v>39326</v>
      </c>
      <c r="C2979" s="19">
        <v>3.3898304537000001E-5</v>
      </c>
      <c r="D2979" s="2">
        <v>0</v>
      </c>
      <c r="E2979" s="2">
        <v>1</v>
      </c>
      <c r="F2979" s="2">
        <v>3.4853926756155201E-2</v>
      </c>
      <c r="G2979" s="2">
        <v>1</v>
      </c>
    </row>
    <row r="2980" spans="1:7" x14ac:dyDescent="0.2">
      <c r="A2980" s="2" t="s">
        <v>47</v>
      </c>
      <c r="B2980" s="14">
        <v>39356</v>
      </c>
      <c r="C2980" s="19">
        <v>-3.3897154935000001E-5</v>
      </c>
      <c r="D2980" s="2">
        <v>0</v>
      </c>
      <c r="E2980" s="2">
        <v>1</v>
      </c>
      <c r="F2980" s="2">
        <v>3.4324479750205902E-2</v>
      </c>
      <c r="G2980" s="2">
        <v>1</v>
      </c>
    </row>
    <row r="2981" spans="1:7" x14ac:dyDescent="0.2">
      <c r="A2981" s="2" t="s">
        <v>47</v>
      </c>
      <c r="B2981" s="14">
        <v>39387</v>
      </c>
      <c r="C2981" s="2">
        <v>1.6949152541E-2</v>
      </c>
      <c r="D2981" s="2">
        <v>-4.9476088000000003E-3</v>
      </c>
      <c r="E2981" s="2">
        <v>1</v>
      </c>
      <c r="F2981" s="2">
        <v>3.3530444954670502E-2</v>
      </c>
      <c r="G2981" s="2">
        <v>1</v>
      </c>
    </row>
    <row r="2982" spans="1:7" x14ac:dyDescent="0.2">
      <c r="A2982" s="2" t="s">
        <v>47</v>
      </c>
      <c r="B2982" s="14">
        <v>39417</v>
      </c>
      <c r="C2982" s="2">
        <v>0</v>
      </c>
      <c r="D2982" s="2">
        <v>0</v>
      </c>
      <c r="E2982" s="2">
        <v>1</v>
      </c>
      <c r="F2982" s="2">
        <v>3.3504909807742997E-2</v>
      </c>
      <c r="G2982" s="2">
        <v>1</v>
      </c>
    </row>
    <row r="2983" spans="1:7" x14ac:dyDescent="0.2">
      <c r="A2983" s="2" t="s">
        <v>47</v>
      </c>
      <c r="B2983" s="14">
        <v>39448</v>
      </c>
      <c r="D2983" s="2">
        <v>0</v>
      </c>
      <c r="E2983" s="2">
        <v>1</v>
      </c>
      <c r="F2983" s="2">
        <v>3.1960765900838899E-2</v>
      </c>
      <c r="G2983" s="2">
        <v>1</v>
      </c>
    </row>
    <row r="2984" spans="1:7" x14ac:dyDescent="0.2">
      <c r="A2984" s="2" t="s">
        <v>47</v>
      </c>
      <c r="B2984" s="14">
        <v>39479</v>
      </c>
      <c r="C2984" s="2">
        <v>-0.13333333333</v>
      </c>
      <c r="D2984" s="2">
        <v>0</v>
      </c>
      <c r="E2984" s="2">
        <v>1</v>
      </c>
      <c r="G2984" s="2">
        <v>1</v>
      </c>
    </row>
    <row r="2985" spans="1:7" x14ac:dyDescent="0.2">
      <c r="A2985" s="2" t="s">
        <v>47</v>
      </c>
      <c r="B2985" s="14">
        <v>39508</v>
      </c>
      <c r="C2985" s="2">
        <v>3.8499999999000001E-2</v>
      </c>
      <c r="D2985" s="2">
        <v>0</v>
      </c>
      <c r="E2985" s="2">
        <v>1</v>
      </c>
      <c r="F2985" s="2">
        <v>2.9393417838647799E-2</v>
      </c>
      <c r="G2985" s="2">
        <v>1</v>
      </c>
    </row>
    <row r="2986" spans="1:7" x14ac:dyDescent="0.2">
      <c r="A2986" s="2" t="s">
        <v>47</v>
      </c>
      <c r="B2986" s="14">
        <v>39539</v>
      </c>
      <c r="C2986" s="2">
        <v>-4.6294581682999998E-2</v>
      </c>
      <c r="D2986" s="2">
        <v>0</v>
      </c>
      <c r="E2986" s="2">
        <v>1</v>
      </c>
      <c r="F2986" s="2">
        <v>3.0442794435135499E-2</v>
      </c>
      <c r="G2986" s="2">
        <v>1</v>
      </c>
    </row>
    <row r="2987" spans="1:7" x14ac:dyDescent="0.2">
      <c r="A2987" s="2" t="s">
        <v>47</v>
      </c>
      <c r="B2987" s="14">
        <v>39569</v>
      </c>
      <c r="C2987" s="2">
        <v>-5.5359820111999997E-2</v>
      </c>
      <c r="D2987" s="2">
        <v>0</v>
      </c>
      <c r="E2987" s="2">
        <v>1</v>
      </c>
      <c r="F2987" s="2">
        <v>2.9240246288981701E-2</v>
      </c>
      <c r="G2987" s="2">
        <v>1</v>
      </c>
    </row>
    <row r="2988" spans="1:7" x14ac:dyDescent="0.2">
      <c r="A2988" s="2" t="s">
        <v>47</v>
      </c>
      <c r="B2988" s="14">
        <v>39600</v>
      </c>
      <c r="C2988" s="2">
        <v>-1.2605042016E-2</v>
      </c>
      <c r="D2988" s="2">
        <v>0</v>
      </c>
      <c r="E2988" s="2">
        <v>1</v>
      </c>
      <c r="F2988" s="2">
        <v>2.7356306857189101E-2</v>
      </c>
      <c r="G2988" s="2">
        <v>1</v>
      </c>
    </row>
    <row r="2989" spans="1:7" x14ac:dyDescent="0.2">
      <c r="A2989" s="2" t="s">
        <v>47</v>
      </c>
      <c r="B2989" s="14">
        <v>39630</v>
      </c>
      <c r="C2989" s="2">
        <v>-2.1276595745000002E-2</v>
      </c>
      <c r="D2989" s="2">
        <v>0</v>
      </c>
      <c r="E2989" s="2">
        <v>1</v>
      </c>
      <c r="F2989" s="2">
        <v>2.6930177313314999E-2</v>
      </c>
      <c r="G2989" s="2">
        <v>1</v>
      </c>
    </row>
    <row r="2990" spans="1:7" x14ac:dyDescent="0.2">
      <c r="A2990" s="2" t="s">
        <v>47</v>
      </c>
      <c r="B2990" s="14">
        <v>39661</v>
      </c>
      <c r="C2990" s="2">
        <v>0</v>
      </c>
      <c r="D2990" s="2">
        <v>0</v>
      </c>
      <c r="E2990" s="2">
        <v>1</v>
      </c>
      <c r="F2990" s="2">
        <v>2.5743912733016901E-2</v>
      </c>
      <c r="G2990" s="2">
        <v>1</v>
      </c>
    </row>
    <row r="2991" spans="1:7" x14ac:dyDescent="0.2">
      <c r="A2991" s="2" t="s">
        <v>47</v>
      </c>
      <c r="B2991" s="14">
        <v>39692</v>
      </c>
      <c r="D2991" s="2">
        <v>0</v>
      </c>
      <c r="E2991" s="2">
        <v>1</v>
      </c>
      <c r="F2991" s="2">
        <v>2.9604070261358702E-2</v>
      </c>
      <c r="G2991" s="2">
        <v>1</v>
      </c>
    </row>
    <row r="2992" spans="1:7" x14ac:dyDescent="0.2">
      <c r="A2992" s="2" t="s">
        <v>47</v>
      </c>
      <c r="B2992" s="14">
        <v>39722</v>
      </c>
      <c r="C2992" s="2">
        <v>-0.10869565217</v>
      </c>
      <c r="D2992" s="2">
        <v>0</v>
      </c>
      <c r="E2992" s="2">
        <v>1</v>
      </c>
      <c r="G2992" s="2">
        <v>1</v>
      </c>
    </row>
    <row r="2993" spans="1:7" x14ac:dyDescent="0.2">
      <c r="A2993" s="2" t="s">
        <v>47</v>
      </c>
      <c r="B2993" s="14">
        <v>39753</v>
      </c>
      <c r="D2993" s="2">
        <v>0</v>
      </c>
      <c r="E2993" s="2">
        <v>1</v>
      </c>
      <c r="F2993" s="2">
        <v>2.7110083425509499E-2</v>
      </c>
      <c r="G2993" s="2">
        <v>1</v>
      </c>
    </row>
    <row r="2994" spans="1:7" x14ac:dyDescent="0.2">
      <c r="A2994" s="2" t="s">
        <v>47</v>
      </c>
      <c r="B2994" s="14">
        <v>39783</v>
      </c>
      <c r="C2994" s="2">
        <v>-4.8780487805E-3</v>
      </c>
      <c r="D2994" s="2">
        <v>0</v>
      </c>
      <c r="E2994" s="2">
        <v>1</v>
      </c>
      <c r="G2994" s="2">
        <v>1</v>
      </c>
    </row>
    <row r="2995" spans="1:7" x14ac:dyDescent="0.2">
      <c r="A2995" s="2" t="s">
        <v>48</v>
      </c>
      <c r="B2995" s="14">
        <v>37591</v>
      </c>
      <c r="C2995" s="2">
        <v>5.0000000001000001E-2</v>
      </c>
      <c r="E2995" s="2">
        <v>1</v>
      </c>
      <c r="G2995" s="2">
        <v>1</v>
      </c>
    </row>
    <row r="2996" spans="1:7" x14ac:dyDescent="0.2">
      <c r="A2996" s="2" t="s">
        <v>48</v>
      </c>
      <c r="B2996" s="14">
        <v>37622</v>
      </c>
      <c r="C2996" s="2">
        <v>-6.6843531922000002E-2</v>
      </c>
      <c r="E2996" s="2">
        <v>1</v>
      </c>
      <c r="G2996" s="2">
        <v>1</v>
      </c>
    </row>
    <row r="2997" spans="1:7" x14ac:dyDescent="0.2">
      <c r="A2997" s="2" t="s">
        <v>48</v>
      </c>
      <c r="B2997" s="14">
        <v>37653</v>
      </c>
      <c r="C2997" s="2">
        <v>2.1837659661999999E-2</v>
      </c>
      <c r="E2997" s="2">
        <v>1</v>
      </c>
      <c r="G2997" s="2">
        <v>1</v>
      </c>
    </row>
    <row r="2998" spans="1:7" x14ac:dyDescent="0.2">
      <c r="A2998" s="2" t="s">
        <v>48</v>
      </c>
      <c r="B2998" s="14">
        <v>37681</v>
      </c>
      <c r="C2998" s="2">
        <v>2.8225806453000001E-2</v>
      </c>
      <c r="E2998" s="2">
        <v>1</v>
      </c>
      <c r="G2998" s="2">
        <v>1</v>
      </c>
    </row>
    <row r="2999" spans="1:7" x14ac:dyDescent="0.2">
      <c r="A2999" s="2" t="s">
        <v>48</v>
      </c>
      <c r="B2999" s="14">
        <v>37712</v>
      </c>
      <c r="C2999" s="2">
        <v>0.10772655821</v>
      </c>
      <c r="E2999" s="2">
        <v>1</v>
      </c>
      <c r="G2999" s="2">
        <v>1</v>
      </c>
    </row>
    <row r="3000" spans="1:7" x14ac:dyDescent="0.2">
      <c r="A3000" s="2" t="s">
        <v>48</v>
      </c>
      <c r="B3000" s="14">
        <v>37742</v>
      </c>
      <c r="C3000" s="2">
        <v>-3.5357142857E-2</v>
      </c>
      <c r="E3000" s="2">
        <v>1</v>
      </c>
      <c r="G3000" s="2">
        <v>1</v>
      </c>
    </row>
    <row r="3001" spans="1:7" x14ac:dyDescent="0.2">
      <c r="A3001" s="2" t="s">
        <v>48</v>
      </c>
      <c r="B3001" s="14">
        <v>37773</v>
      </c>
      <c r="C3001" s="2">
        <v>-3.7393557942E-2</v>
      </c>
      <c r="E3001" s="2">
        <v>1</v>
      </c>
      <c r="G3001" s="2">
        <v>1</v>
      </c>
    </row>
    <row r="3002" spans="1:7" x14ac:dyDescent="0.2">
      <c r="A3002" s="2" t="s">
        <v>48</v>
      </c>
      <c r="B3002" s="14">
        <v>37803</v>
      </c>
      <c r="C3002" s="2">
        <v>6.0513419957999998E-3</v>
      </c>
      <c r="E3002" s="2">
        <v>1</v>
      </c>
      <c r="G3002" s="2">
        <v>1</v>
      </c>
    </row>
    <row r="3003" spans="1:7" x14ac:dyDescent="0.2">
      <c r="A3003" s="2" t="s">
        <v>48</v>
      </c>
      <c r="B3003" s="14">
        <v>37834</v>
      </c>
      <c r="C3003" s="2">
        <v>6.0956790123000003E-2</v>
      </c>
      <c r="E3003" s="2">
        <v>1</v>
      </c>
      <c r="F3003" s="2">
        <v>9.3238461597384102E-3</v>
      </c>
      <c r="G3003" s="2">
        <v>1</v>
      </c>
    </row>
    <row r="3004" spans="1:7" x14ac:dyDescent="0.2">
      <c r="A3004" s="2" t="s">
        <v>48</v>
      </c>
      <c r="B3004" s="14">
        <v>37865</v>
      </c>
      <c r="C3004" s="2">
        <v>1.9999999999000002E-2</v>
      </c>
      <c r="E3004" s="2">
        <v>1</v>
      </c>
      <c r="F3004" s="2">
        <v>1.03093268629869E-2</v>
      </c>
      <c r="G3004" s="2">
        <v>1</v>
      </c>
    </row>
    <row r="3005" spans="1:7" x14ac:dyDescent="0.2">
      <c r="A3005" s="2" t="s">
        <v>48</v>
      </c>
      <c r="B3005" s="14">
        <v>37895</v>
      </c>
      <c r="C3005" s="2">
        <v>6.3802802196999998E-3</v>
      </c>
      <c r="E3005" s="2">
        <v>1</v>
      </c>
      <c r="F3005" s="2">
        <v>9.9591963166733195E-3</v>
      </c>
      <c r="G3005" s="2">
        <v>1</v>
      </c>
    </row>
    <row r="3006" spans="1:7" x14ac:dyDescent="0.2">
      <c r="A3006" s="2" t="s">
        <v>48</v>
      </c>
      <c r="B3006" s="14">
        <v>37926</v>
      </c>
      <c r="C3006" s="2">
        <v>1.7820756617E-2</v>
      </c>
      <c r="E3006" s="2">
        <v>1</v>
      </c>
      <c r="F3006" s="2">
        <v>6.9783657961257498E-3</v>
      </c>
      <c r="G3006" s="2">
        <v>1</v>
      </c>
    </row>
    <row r="3007" spans="1:7" x14ac:dyDescent="0.2">
      <c r="A3007" s="2" t="s">
        <v>48</v>
      </c>
      <c r="B3007" s="14">
        <v>37956</v>
      </c>
      <c r="C3007" s="2">
        <v>2.8070175438E-2</v>
      </c>
      <c r="E3007" s="2">
        <v>1</v>
      </c>
      <c r="F3007" s="2">
        <v>8.4267685563812894E-3</v>
      </c>
      <c r="G3007" s="2">
        <v>1</v>
      </c>
    </row>
    <row r="3008" spans="1:7" x14ac:dyDescent="0.2">
      <c r="A3008" s="2" t="s">
        <v>48</v>
      </c>
      <c r="B3008" s="14">
        <v>37987</v>
      </c>
      <c r="C3008" s="2">
        <v>-7.1261340968999998E-2</v>
      </c>
      <c r="E3008" s="2">
        <v>1</v>
      </c>
      <c r="F3008" s="2">
        <v>1.02178084807191E-2</v>
      </c>
      <c r="G3008" s="2">
        <v>1</v>
      </c>
    </row>
    <row r="3009" spans="1:7" x14ac:dyDescent="0.2">
      <c r="A3009" s="2" t="s">
        <v>48</v>
      </c>
      <c r="B3009" s="14">
        <v>38018</v>
      </c>
      <c r="C3009" s="2">
        <v>3.7421267135999997E-2</v>
      </c>
      <c r="E3009" s="2">
        <v>1</v>
      </c>
      <c r="F3009" s="2">
        <v>8.1843404655575509E-3</v>
      </c>
      <c r="G3009" s="2">
        <v>1</v>
      </c>
    </row>
    <row r="3010" spans="1:7" x14ac:dyDescent="0.2">
      <c r="A3010" s="2" t="s">
        <v>48</v>
      </c>
      <c r="B3010" s="14">
        <v>38047</v>
      </c>
      <c r="C3010" s="2">
        <v>-9.4642857142999998E-2</v>
      </c>
      <c r="E3010" s="2">
        <v>1</v>
      </c>
      <c r="F3010" s="2">
        <v>7.4299820506873596E-3</v>
      </c>
      <c r="G3010" s="2">
        <v>1</v>
      </c>
    </row>
    <row r="3011" spans="1:7" x14ac:dyDescent="0.2">
      <c r="A3011" s="2" t="s">
        <v>48</v>
      </c>
      <c r="B3011" s="14">
        <v>38078</v>
      </c>
      <c r="C3011" s="2">
        <v>-8.1137178439999996E-3</v>
      </c>
      <c r="E3011" s="2">
        <v>1</v>
      </c>
      <c r="F3011" s="2">
        <v>4.5146567814110796E-3</v>
      </c>
      <c r="G3011" s="2">
        <v>1</v>
      </c>
    </row>
    <row r="3012" spans="1:7" x14ac:dyDescent="0.2">
      <c r="A3012" s="2" t="s">
        <v>48</v>
      </c>
      <c r="B3012" s="14">
        <v>38108</v>
      </c>
      <c r="C3012" s="2">
        <v>-5.6224899597999999E-2</v>
      </c>
      <c r="E3012" s="2">
        <v>1</v>
      </c>
      <c r="F3012" s="2">
        <v>3.9400742836021001E-3</v>
      </c>
      <c r="G3012" s="2">
        <v>1</v>
      </c>
    </row>
    <row r="3013" spans="1:7" x14ac:dyDescent="0.2">
      <c r="A3013" s="2" t="s">
        <v>48</v>
      </c>
      <c r="B3013" s="14">
        <v>38139</v>
      </c>
      <c r="C3013" s="2">
        <v>5.3191489362000001E-2</v>
      </c>
      <c r="E3013" s="2">
        <v>1</v>
      </c>
      <c r="F3013" s="2">
        <v>1.96232749324713E-3</v>
      </c>
      <c r="G3013" s="2">
        <v>1</v>
      </c>
    </row>
    <row r="3014" spans="1:7" x14ac:dyDescent="0.2">
      <c r="A3014" s="2" t="s">
        <v>48</v>
      </c>
      <c r="B3014" s="14">
        <v>38169</v>
      </c>
      <c r="C3014" s="2">
        <v>1.1928930842E-2</v>
      </c>
      <c r="E3014" s="2">
        <v>1</v>
      </c>
      <c r="F3014" s="2">
        <v>2.6075422961805402E-3</v>
      </c>
      <c r="G3014" s="2">
        <v>1</v>
      </c>
    </row>
    <row r="3015" spans="1:7" x14ac:dyDescent="0.2">
      <c r="A3015" s="2" t="s">
        <v>48</v>
      </c>
      <c r="B3015" s="14">
        <v>38200</v>
      </c>
      <c r="C3015" s="2">
        <v>4.2338709677999999E-2</v>
      </c>
      <c r="E3015" s="2">
        <v>1</v>
      </c>
      <c r="F3015" s="2">
        <v>2.3134113510440901E-3</v>
      </c>
      <c r="G3015" s="2">
        <v>1</v>
      </c>
    </row>
    <row r="3016" spans="1:7" x14ac:dyDescent="0.2">
      <c r="A3016" s="2" t="s">
        <v>48</v>
      </c>
      <c r="B3016" s="14">
        <v>38231</v>
      </c>
      <c r="C3016" s="2">
        <v>6.2282398448999998E-3</v>
      </c>
      <c r="E3016" s="2">
        <v>1</v>
      </c>
      <c r="F3016" s="2">
        <v>2.3271880240179699E-3</v>
      </c>
      <c r="G3016" s="2">
        <v>1</v>
      </c>
    </row>
    <row r="3017" spans="1:7" x14ac:dyDescent="0.2">
      <c r="A3017" s="2" t="s">
        <v>48</v>
      </c>
      <c r="B3017" s="14">
        <v>38261</v>
      </c>
      <c r="C3017" s="2">
        <v>5.9166916149E-2</v>
      </c>
      <c r="E3017" s="2">
        <v>1</v>
      </c>
      <c r="F3017" s="2">
        <v>5.2199979541853597E-3</v>
      </c>
      <c r="G3017" s="2">
        <v>1</v>
      </c>
    </row>
    <row r="3018" spans="1:7" x14ac:dyDescent="0.2">
      <c r="A3018" s="2" t="s">
        <v>48</v>
      </c>
      <c r="B3018" s="14">
        <v>38292</v>
      </c>
      <c r="C3018" s="2">
        <v>0</v>
      </c>
      <c r="E3018" s="2">
        <v>1</v>
      </c>
      <c r="F3018" s="2">
        <v>7.1141433046466897E-3</v>
      </c>
      <c r="G3018" s="2">
        <v>1</v>
      </c>
    </row>
    <row r="3019" spans="1:7" x14ac:dyDescent="0.2">
      <c r="A3019" s="2" t="s">
        <v>48</v>
      </c>
      <c r="B3019" s="14">
        <v>38322</v>
      </c>
      <c r="C3019" s="2">
        <v>3.6630036630000001E-3</v>
      </c>
      <c r="E3019" s="2">
        <v>1</v>
      </c>
      <c r="F3019" s="2">
        <v>8.7340064269918003E-3</v>
      </c>
      <c r="G3019" s="2">
        <v>1</v>
      </c>
    </row>
    <row r="3020" spans="1:7" x14ac:dyDescent="0.2">
      <c r="A3020" s="2" t="s">
        <v>48</v>
      </c>
      <c r="B3020" s="14">
        <v>38353</v>
      </c>
      <c r="C3020" s="2">
        <v>-1.1618644118E-2</v>
      </c>
      <c r="E3020" s="2">
        <v>1</v>
      </c>
      <c r="F3020" s="2">
        <v>7.2812573359529904E-3</v>
      </c>
      <c r="G3020" s="2">
        <v>1</v>
      </c>
    </row>
    <row r="3021" spans="1:7" x14ac:dyDescent="0.2">
      <c r="A3021" s="2" t="s">
        <v>48</v>
      </c>
      <c r="B3021" s="14">
        <v>38384</v>
      </c>
      <c r="C3021" s="2">
        <v>-6.7164179103999994E-2</v>
      </c>
      <c r="E3021" s="2">
        <v>1</v>
      </c>
      <c r="F3021" s="2">
        <v>6.5594072692040598E-3</v>
      </c>
      <c r="G3021" s="2">
        <v>1</v>
      </c>
    </row>
    <row r="3022" spans="1:7" x14ac:dyDescent="0.2">
      <c r="A3022" s="2" t="s">
        <v>48</v>
      </c>
      <c r="B3022" s="14">
        <v>38412</v>
      </c>
      <c r="C3022" s="2">
        <v>-7.9999999998000004E-3</v>
      </c>
      <c r="E3022" s="2">
        <v>1</v>
      </c>
      <c r="F3022" s="2">
        <v>3.6085994443371102E-3</v>
      </c>
      <c r="G3022" s="2">
        <v>1</v>
      </c>
    </row>
    <row r="3023" spans="1:7" x14ac:dyDescent="0.2">
      <c r="A3023" s="2" t="s">
        <v>48</v>
      </c>
      <c r="B3023" s="14">
        <v>38443</v>
      </c>
      <c r="C3023" s="2">
        <v>1.8621441017000001E-2</v>
      </c>
      <c r="E3023" s="2">
        <v>1</v>
      </c>
      <c r="F3023" s="2">
        <v>3.0445626048051602E-3</v>
      </c>
      <c r="G3023" s="2">
        <v>1</v>
      </c>
    </row>
    <row r="3024" spans="1:7" x14ac:dyDescent="0.2">
      <c r="A3024" s="2" t="s">
        <v>48</v>
      </c>
      <c r="B3024" s="14">
        <v>38473</v>
      </c>
      <c r="C3024" s="2">
        <v>1.9999999999000002E-2</v>
      </c>
      <c r="E3024" s="2">
        <v>1</v>
      </c>
      <c r="F3024" s="2">
        <v>1.85729617242177E-3</v>
      </c>
      <c r="G3024" s="2">
        <v>1</v>
      </c>
    </row>
    <row r="3025" spans="1:7" x14ac:dyDescent="0.2">
      <c r="A3025" s="2" t="s">
        <v>48</v>
      </c>
      <c r="B3025" s="14">
        <v>38504</v>
      </c>
      <c r="C3025" s="2">
        <v>2.9925790152E-2</v>
      </c>
      <c r="E3025" s="2">
        <v>1</v>
      </c>
      <c r="F3025" s="2">
        <v>2.29770844850823E-3</v>
      </c>
      <c r="G3025" s="2">
        <v>1</v>
      </c>
    </row>
    <row r="3026" spans="1:7" x14ac:dyDescent="0.2">
      <c r="A3026" s="2" t="s">
        <v>48</v>
      </c>
      <c r="B3026" s="14">
        <v>38534</v>
      </c>
      <c r="C3026" s="2">
        <v>1.1500000001E-2</v>
      </c>
      <c r="E3026" s="2">
        <v>1</v>
      </c>
      <c r="F3026" s="2">
        <v>2.97351524053646E-3</v>
      </c>
      <c r="G3026" s="2">
        <v>1</v>
      </c>
    </row>
    <row r="3027" spans="1:7" x14ac:dyDescent="0.2">
      <c r="A3027" s="2" t="s">
        <v>48</v>
      </c>
      <c r="B3027" s="14">
        <v>38565</v>
      </c>
      <c r="C3027" s="2">
        <v>9.3197459979000002E-2</v>
      </c>
      <c r="E3027" s="2">
        <v>1</v>
      </c>
      <c r="F3027" s="2">
        <v>5.8593965799249399E-3</v>
      </c>
      <c r="G3027" s="2">
        <v>1</v>
      </c>
    </row>
    <row r="3028" spans="1:7" x14ac:dyDescent="0.2">
      <c r="A3028" s="2" t="s">
        <v>48</v>
      </c>
      <c r="B3028" s="14">
        <v>38596</v>
      </c>
      <c r="C3028" s="2">
        <v>2.4953982313999999E-2</v>
      </c>
      <c r="E3028" s="2">
        <v>1</v>
      </c>
      <c r="F3028" s="2">
        <v>1.04296076177374E-2</v>
      </c>
      <c r="G3028" s="2">
        <v>1</v>
      </c>
    </row>
    <row r="3029" spans="1:7" x14ac:dyDescent="0.2">
      <c r="A3029" s="2" t="s">
        <v>48</v>
      </c>
      <c r="B3029" s="14">
        <v>38626</v>
      </c>
      <c r="C3029" s="2">
        <v>-3.4246575342E-3</v>
      </c>
      <c r="E3029" s="2">
        <v>1</v>
      </c>
      <c r="F3029" s="2">
        <v>1.1347853262816E-2</v>
      </c>
      <c r="G3029" s="2">
        <v>1</v>
      </c>
    </row>
    <row r="3030" spans="1:7" x14ac:dyDescent="0.2">
      <c r="A3030" s="2" t="s">
        <v>48</v>
      </c>
      <c r="B3030" s="14">
        <v>38657</v>
      </c>
      <c r="C3030" s="2">
        <v>-3.7800687285000002E-2</v>
      </c>
      <c r="E3030" s="2">
        <v>1</v>
      </c>
      <c r="F3030" s="2">
        <v>1.0673778274659901E-2</v>
      </c>
      <c r="G3030" s="2">
        <v>1</v>
      </c>
    </row>
    <row r="3031" spans="1:7" x14ac:dyDescent="0.2">
      <c r="A3031" s="2" t="s">
        <v>48</v>
      </c>
      <c r="B3031" s="14">
        <v>38687</v>
      </c>
      <c r="C3031" s="2">
        <v>8.1598931233999999E-2</v>
      </c>
      <c r="E3031" s="2">
        <v>1</v>
      </c>
      <c r="F3031" s="2">
        <v>9.1368267351653598E-3</v>
      </c>
      <c r="G3031" s="2">
        <v>1</v>
      </c>
    </row>
    <row r="3032" spans="1:7" x14ac:dyDescent="0.2">
      <c r="A3032" s="2" t="s">
        <v>48</v>
      </c>
      <c r="B3032" s="14">
        <v>38718</v>
      </c>
      <c r="C3032" s="2">
        <v>-2.6333333334000002E-2</v>
      </c>
      <c r="E3032" s="2">
        <v>1</v>
      </c>
      <c r="F3032" s="2">
        <v>1.0578074465727101E-2</v>
      </c>
      <c r="G3032" s="2">
        <v>1</v>
      </c>
    </row>
    <row r="3033" spans="1:7" x14ac:dyDescent="0.2">
      <c r="A3033" s="2" t="s">
        <v>48</v>
      </c>
      <c r="B3033" s="14">
        <v>38749</v>
      </c>
      <c r="C3033" s="2">
        <v>1.3693940436E-3</v>
      </c>
      <c r="E3033" s="2">
        <v>1</v>
      </c>
      <c r="F3033" s="2">
        <v>9.5629693044865897E-3</v>
      </c>
      <c r="G3033" s="2">
        <v>1</v>
      </c>
    </row>
    <row r="3034" spans="1:7" x14ac:dyDescent="0.2">
      <c r="A3034" s="2" t="s">
        <v>48</v>
      </c>
      <c r="B3034" s="14">
        <v>38777</v>
      </c>
      <c r="C3034" s="2">
        <v>4.2735042735999998E-2</v>
      </c>
      <c r="E3034" s="2">
        <v>1</v>
      </c>
      <c r="F3034" s="2">
        <v>6.77612089222796E-3</v>
      </c>
      <c r="G3034" s="2">
        <v>1</v>
      </c>
    </row>
    <row r="3035" spans="1:7" x14ac:dyDescent="0.2">
      <c r="A3035" s="2" t="s">
        <v>48</v>
      </c>
      <c r="B3035" s="14">
        <v>38808</v>
      </c>
      <c r="C3035" s="2">
        <v>7.5318847548000001E-2</v>
      </c>
      <c r="E3035" s="2">
        <v>1</v>
      </c>
      <c r="F3035" s="2">
        <v>7.19040582668737E-3</v>
      </c>
      <c r="G3035" s="2">
        <v>1</v>
      </c>
    </row>
    <row r="3036" spans="1:7" x14ac:dyDescent="0.2">
      <c r="A3036" s="2" t="s">
        <v>48</v>
      </c>
      <c r="B3036" s="14">
        <v>38838</v>
      </c>
      <c r="C3036" s="2">
        <v>1.5569230769000001E-2</v>
      </c>
      <c r="E3036" s="2">
        <v>1</v>
      </c>
      <c r="F3036" s="2">
        <v>9.3771256762597392E-3</v>
      </c>
      <c r="G3036" s="2">
        <v>1</v>
      </c>
    </row>
    <row r="3037" spans="1:7" x14ac:dyDescent="0.2">
      <c r="A3037" s="2" t="s">
        <v>48</v>
      </c>
      <c r="B3037" s="14">
        <v>38869</v>
      </c>
      <c r="C3037" s="2">
        <v>-2.0408742463999999E-2</v>
      </c>
      <c r="E3037" s="2">
        <v>1</v>
      </c>
      <c r="F3037" s="2">
        <v>1.08853541049785E-2</v>
      </c>
      <c r="G3037" s="2">
        <v>1</v>
      </c>
    </row>
    <row r="3038" spans="1:7" x14ac:dyDescent="0.2">
      <c r="A3038" s="2" t="s">
        <v>48</v>
      </c>
      <c r="B3038" s="14">
        <v>38899</v>
      </c>
      <c r="C3038" s="2">
        <v>5.46875E-2</v>
      </c>
      <c r="E3038" s="2">
        <v>1</v>
      </c>
      <c r="F3038" s="2">
        <v>8.0467434369719208E-3</v>
      </c>
      <c r="G3038" s="2">
        <v>1</v>
      </c>
    </row>
    <row r="3039" spans="1:7" x14ac:dyDescent="0.2">
      <c r="A3039" s="2" t="s">
        <v>48</v>
      </c>
      <c r="B3039" s="14">
        <v>38930</v>
      </c>
      <c r="C3039" s="2">
        <v>8.1481481482000004E-2</v>
      </c>
      <c r="E3039" s="2">
        <v>1</v>
      </c>
      <c r="F3039" s="2">
        <v>9.5881522552362392E-3</v>
      </c>
      <c r="G3039" s="2">
        <v>1</v>
      </c>
    </row>
    <row r="3040" spans="1:7" x14ac:dyDescent="0.2">
      <c r="A3040" s="2" t="s">
        <v>48</v>
      </c>
      <c r="B3040" s="14">
        <v>38961</v>
      </c>
      <c r="C3040" s="2">
        <v>0.15398397167</v>
      </c>
      <c r="E3040" s="2">
        <v>1</v>
      </c>
      <c r="F3040" s="2">
        <v>1.1695757454382401E-2</v>
      </c>
      <c r="G3040" s="2">
        <v>1</v>
      </c>
    </row>
    <row r="3041" spans="1:7" x14ac:dyDescent="0.2">
      <c r="A3041" s="2" t="s">
        <v>48</v>
      </c>
      <c r="B3041" s="14">
        <v>38991</v>
      </c>
      <c r="C3041" s="2">
        <v>-5.3892215569999999E-2</v>
      </c>
      <c r="E3041" s="2">
        <v>1</v>
      </c>
      <c r="F3041" s="2">
        <v>1.4868105661422999E-2</v>
      </c>
      <c r="G3041" s="2">
        <v>1</v>
      </c>
    </row>
    <row r="3042" spans="1:7" x14ac:dyDescent="0.2">
      <c r="A3042" s="2" t="s">
        <v>48</v>
      </c>
      <c r="B3042" s="14">
        <v>39022</v>
      </c>
      <c r="C3042" s="2">
        <v>0.10759493671000001</v>
      </c>
      <c r="E3042" s="2">
        <v>1</v>
      </c>
      <c r="F3042" s="2">
        <v>1.13501843455006E-2</v>
      </c>
      <c r="G3042" s="2">
        <v>1</v>
      </c>
    </row>
    <row r="3043" spans="1:7" x14ac:dyDescent="0.2">
      <c r="A3043" s="2" t="s">
        <v>48</v>
      </c>
      <c r="B3043" s="14">
        <v>39052</v>
      </c>
      <c r="C3043" s="2">
        <v>4.2578955980999998E-2</v>
      </c>
      <c r="E3043" s="2">
        <v>1</v>
      </c>
      <c r="F3043" s="2">
        <v>1.37689239464083E-2</v>
      </c>
      <c r="G3043" s="2">
        <v>1</v>
      </c>
    </row>
    <row r="3044" spans="1:7" x14ac:dyDescent="0.2">
      <c r="A3044" s="2" t="s">
        <v>48</v>
      </c>
      <c r="B3044" s="14">
        <v>39083</v>
      </c>
      <c r="C3044" s="2">
        <v>-8.1060773480000001E-2</v>
      </c>
      <c r="E3044" s="2">
        <v>1</v>
      </c>
      <c r="F3044" s="2">
        <v>1.5489097551489601E-2</v>
      </c>
      <c r="G3044" s="2">
        <v>1</v>
      </c>
    </row>
    <row r="3045" spans="1:7" x14ac:dyDescent="0.2">
      <c r="A3045" s="2" t="s">
        <v>48</v>
      </c>
      <c r="B3045" s="14">
        <v>39114</v>
      </c>
      <c r="C3045" s="2">
        <v>3.1936895771999999E-2</v>
      </c>
      <c r="D3045" s="2">
        <v>-4.0588289000000001E-4</v>
      </c>
      <c r="E3045" s="2">
        <v>1</v>
      </c>
      <c r="F3045" s="2">
        <v>1.1892816528510101E-2</v>
      </c>
      <c r="G3045" s="2">
        <v>1</v>
      </c>
    </row>
    <row r="3046" spans="1:7" x14ac:dyDescent="0.2">
      <c r="A3046" s="2" t="s">
        <v>48</v>
      </c>
      <c r="B3046" s="14">
        <v>39142</v>
      </c>
      <c r="C3046" s="2">
        <v>6.7350268002000002E-2</v>
      </c>
      <c r="D3046" s="2">
        <v>-1.7924124999999999E-3</v>
      </c>
      <c r="E3046" s="2">
        <v>1</v>
      </c>
      <c r="F3046" s="2">
        <v>1.0374618415464099E-2</v>
      </c>
      <c r="G3046" s="2">
        <v>1</v>
      </c>
    </row>
    <row r="3047" spans="1:7" x14ac:dyDescent="0.2">
      <c r="A3047" s="2" t="s">
        <v>48</v>
      </c>
      <c r="B3047" s="14">
        <v>39173</v>
      </c>
      <c r="C3047" s="2">
        <v>3.8608525789000002E-2</v>
      </c>
      <c r="D3047" s="2">
        <v>4.5669629000000001E-4</v>
      </c>
      <c r="E3047" s="2">
        <v>1</v>
      </c>
      <c r="F3047" s="2">
        <v>7.7337798318763496E-3</v>
      </c>
      <c r="G3047" s="2">
        <v>1</v>
      </c>
    </row>
    <row r="3048" spans="1:7" x14ac:dyDescent="0.2">
      <c r="A3048" s="2" t="s">
        <v>48</v>
      </c>
      <c r="B3048" s="14">
        <v>39203</v>
      </c>
      <c r="C3048" s="2">
        <v>6.3559322025000002E-3</v>
      </c>
      <c r="D3048" s="2">
        <v>-2.7049350999999999E-3</v>
      </c>
      <c r="E3048" s="2">
        <v>1</v>
      </c>
      <c r="F3048" s="2">
        <v>1.0319913671011901E-2</v>
      </c>
      <c r="G3048" s="2">
        <v>1</v>
      </c>
    </row>
    <row r="3049" spans="1:7" x14ac:dyDescent="0.2">
      <c r="A3049" s="2" t="s">
        <v>48</v>
      </c>
      <c r="B3049" s="14">
        <v>39234</v>
      </c>
      <c r="C3049" s="2">
        <v>-4.0724549862999997E-3</v>
      </c>
      <c r="D3049" s="19">
        <v>5.0524398999999998E-5</v>
      </c>
      <c r="E3049" s="2">
        <v>1</v>
      </c>
      <c r="F3049" s="2">
        <v>7.3866029623960404E-3</v>
      </c>
      <c r="G3049" s="2">
        <v>1</v>
      </c>
    </row>
    <row r="3050" spans="1:7" x14ac:dyDescent="0.2">
      <c r="A3050" s="2" t="s">
        <v>48</v>
      </c>
      <c r="B3050" s="14">
        <v>39264</v>
      </c>
      <c r="C3050" s="2">
        <v>-6.8336208181000002E-2</v>
      </c>
      <c r="D3050" s="2">
        <v>-5.3035444999999996E-4</v>
      </c>
      <c r="E3050" s="2">
        <v>1</v>
      </c>
      <c r="F3050" s="2">
        <v>6.0442611867065404E-3</v>
      </c>
      <c r="G3050" s="2">
        <v>1</v>
      </c>
    </row>
    <row r="3051" spans="1:7" x14ac:dyDescent="0.2">
      <c r="A3051" s="2" t="s">
        <v>48</v>
      </c>
      <c r="B3051" s="14">
        <v>39295</v>
      </c>
      <c r="C3051" s="2">
        <v>-2.8799999999999999E-2</v>
      </c>
      <c r="D3051" s="2">
        <v>-1.9775925E-3</v>
      </c>
      <c r="E3051" s="2">
        <v>1</v>
      </c>
      <c r="F3051" s="2">
        <v>2.5262307633921901E-4</v>
      </c>
      <c r="G3051" s="2">
        <v>1</v>
      </c>
    </row>
    <row r="3052" spans="1:7" x14ac:dyDescent="0.2">
      <c r="A3052" s="2" t="s">
        <v>48</v>
      </c>
      <c r="B3052" s="14">
        <v>39326</v>
      </c>
      <c r="C3052" s="2">
        <v>-1.4822491109E-2</v>
      </c>
      <c r="D3052" s="2">
        <v>-1.2854317000000001E-3</v>
      </c>
      <c r="E3052" s="2">
        <v>1</v>
      </c>
      <c r="F3052" s="2">
        <v>-1.4463269986784799E-3</v>
      </c>
      <c r="G3052" s="2">
        <v>1</v>
      </c>
    </row>
    <row r="3053" spans="1:7" x14ac:dyDescent="0.2">
      <c r="A3053" s="2" t="s">
        <v>48</v>
      </c>
      <c r="B3053" s="14">
        <v>39356</v>
      </c>
      <c r="C3053" s="2">
        <v>-2.4096385541999998E-2</v>
      </c>
      <c r="D3053" s="2">
        <v>-3.5329799000000002E-3</v>
      </c>
      <c r="E3053" s="2">
        <v>1</v>
      </c>
      <c r="F3053" s="2">
        <v>-4.0318735206474098E-3</v>
      </c>
      <c r="G3053" s="2">
        <v>1</v>
      </c>
    </row>
    <row r="3054" spans="1:7" x14ac:dyDescent="0.2">
      <c r="A3054" s="2" t="s">
        <v>48</v>
      </c>
      <c r="B3054" s="14">
        <v>39387</v>
      </c>
      <c r="C3054" s="2">
        <v>9.0525304185999998E-3</v>
      </c>
      <c r="D3054" s="2">
        <v>-9.2385411000000008E-3</v>
      </c>
      <c r="E3054" s="2">
        <v>1</v>
      </c>
      <c r="F3054" s="2">
        <v>-5.8278901009896598E-3</v>
      </c>
      <c r="G3054" s="2">
        <v>1</v>
      </c>
    </row>
    <row r="3055" spans="1:7" x14ac:dyDescent="0.2">
      <c r="A3055" s="2" t="s">
        <v>48</v>
      </c>
      <c r="B3055" s="14">
        <v>39417</v>
      </c>
      <c r="C3055" s="2">
        <v>-2.7357734099999999E-2</v>
      </c>
      <c r="D3055" s="2">
        <v>-1.0115950999999999E-3</v>
      </c>
      <c r="E3055" s="2">
        <v>1</v>
      </c>
      <c r="F3055" s="2">
        <v>-6.1724652903092604E-3</v>
      </c>
      <c r="G3055" s="2">
        <v>1</v>
      </c>
    </row>
    <row r="3056" spans="1:7" x14ac:dyDescent="0.2">
      <c r="A3056" s="2" t="s">
        <v>48</v>
      </c>
      <c r="B3056" s="14">
        <v>39448</v>
      </c>
      <c r="C3056" s="2">
        <v>-0.16708860759999999</v>
      </c>
      <c r="D3056" s="2">
        <v>-3.5494629000000001E-3</v>
      </c>
      <c r="E3056" s="2">
        <v>1</v>
      </c>
      <c r="F3056" s="2">
        <v>-6.7949109813085903E-3</v>
      </c>
      <c r="G3056" s="2">
        <v>1</v>
      </c>
    </row>
    <row r="3057" spans="1:7" x14ac:dyDescent="0.2">
      <c r="A3057" s="2" t="s">
        <v>48</v>
      </c>
      <c r="B3057" s="14">
        <v>39479</v>
      </c>
      <c r="C3057" s="2">
        <v>3.0395136781999998E-3</v>
      </c>
      <c r="D3057" s="2">
        <v>-1.881983E-3</v>
      </c>
      <c r="E3057" s="2">
        <v>1</v>
      </c>
      <c r="F3057" s="2">
        <v>-8.9103165909519902E-3</v>
      </c>
      <c r="G3057" s="2">
        <v>1</v>
      </c>
    </row>
    <row r="3058" spans="1:7" x14ac:dyDescent="0.2">
      <c r="A3058" s="2" t="s">
        <v>48</v>
      </c>
      <c r="B3058" s="14">
        <v>39508</v>
      </c>
      <c r="C3058" s="2">
        <v>1.5151515152E-2</v>
      </c>
      <c r="D3058" s="2">
        <v>-1.450406E-3</v>
      </c>
      <c r="E3058" s="2">
        <v>1</v>
      </c>
      <c r="F3058" s="2">
        <v>-8.0255007786988308E-3</v>
      </c>
      <c r="G3058" s="2">
        <v>1</v>
      </c>
    </row>
    <row r="3059" spans="1:7" x14ac:dyDescent="0.2">
      <c r="A3059" s="2" t="s">
        <v>48</v>
      </c>
      <c r="B3059" s="14">
        <v>39539</v>
      </c>
      <c r="C3059" s="2">
        <v>7.1269621441000006E-2</v>
      </c>
      <c r="D3059" s="2">
        <v>-1.1415842E-3</v>
      </c>
      <c r="E3059" s="2">
        <v>1</v>
      </c>
      <c r="F3059" s="2">
        <v>-7.2909140428142998E-3</v>
      </c>
      <c r="G3059" s="2">
        <v>1</v>
      </c>
    </row>
    <row r="3060" spans="1:7" x14ac:dyDescent="0.2">
      <c r="A3060" s="2" t="s">
        <v>48</v>
      </c>
      <c r="B3060" s="14">
        <v>39569</v>
      </c>
      <c r="C3060" s="2">
        <v>-2.8169014084999999E-2</v>
      </c>
      <c r="D3060" s="2">
        <v>-8.3825521999999998E-4</v>
      </c>
      <c r="E3060" s="2">
        <v>1</v>
      </c>
      <c r="F3060" s="2">
        <v>-4.59160012943327E-3</v>
      </c>
      <c r="G3060" s="2">
        <v>1</v>
      </c>
    </row>
    <row r="3061" spans="1:7" x14ac:dyDescent="0.2">
      <c r="A3061" s="2" t="s">
        <v>48</v>
      </c>
      <c r="B3061" s="14">
        <v>39600</v>
      </c>
      <c r="C3061" s="2">
        <v>-6.6058825005000004E-3</v>
      </c>
      <c r="D3061" s="2">
        <v>-7.9110509000000003E-4</v>
      </c>
      <c r="E3061" s="2">
        <v>1</v>
      </c>
      <c r="F3061" s="2">
        <v>-5.6119416171050897E-3</v>
      </c>
      <c r="G3061" s="2">
        <v>1</v>
      </c>
    </row>
    <row r="3062" spans="1:7" x14ac:dyDescent="0.2">
      <c r="A3062" s="2" t="s">
        <v>48</v>
      </c>
      <c r="B3062" s="14">
        <v>39630</v>
      </c>
      <c r="C3062" s="2">
        <v>-8.5545722714000003E-2</v>
      </c>
      <c r="D3062" s="2">
        <v>-2.4018020000000002E-3</v>
      </c>
      <c r="E3062" s="2">
        <v>1</v>
      </c>
      <c r="F3062" s="2">
        <v>-4.9737686538571801E-3</v>
      </c>
      <c r="G3062" s="2">
        <v>1</v>
      </c>
    </row>
    <row r="3063" spans="1:7" x14ac:dyDescent="0.2">
      <c r="A3063" s="2" t="s">
        <v>48</v>
      </c>
      <c r="B3063" s="14">
        <v>39661</v>
      </c>
      <c r="C3063" s="2">
        <v>-3.2903225807000003E-2</v>
      </c>
      <c r="D3063" s="2">
        <v>-1.6715750000000001E-4</v>
      </c>
      <c r="E3063" s="2">
        <v>1</v>
      </c>
      <c r="F3063" s="2">
        <v>5.4983621758424601E-3</v>
      </c>
      <c r="G3063" s="2">
        <v>1</v>
      </c>
    </row>
    <row r="3064" spans="1:7" x14ac:dyDescent="0.2">
      <c r="A3064" s="2" t="s">
        <v>48</v>
      </c>
      <c r="B3064" s="14">
        <v>39692</v>
      </c>
      <c r="C3064" s="2">
        <v>-1.9728943307999999E-2</v>
      </c>
      <c r="D3064" s="2">
        <v>1.9089637000000001E-4</v>
      </c>
      <c r="E3064" s="2">
        <v>1</v>
      </c>
      <c r="F3064" s="2">
        <v>4.5369083476414001E-3</v>
      </c>
      <c r="G3064" s="2">
        <v>1</v>
      </c>
    </row>
    <row r="3065" spans="1:7" x14ac:dyDescent="0.2">
      <c r="A3065" s="2" t="s">
        <v>48</v>
      </c>
      <c r="B3065" s="14">
        <v>39722</v>
      </c>
      <c r="C3065" s="2">
        <v>-6.896551723E-3</v>
      </c>
      <c r="D3065" s="2">
        <v>-1.4432751E-4</v>
      </c>
      <c r="E3065" s="2">
        <v>1</v>
      </c>
      <c r="F3065" s="2">
        <v>3.60379836340917E-3</v>
      </c>
      <c r="G3065" s="2">
        <v>1</v>
      </c>
    </row>
    <row r="3066" spans="1:7" x14ac:dyDescent="0.2">
      <c r="A3066" s="2" t="s">
        <v>48</v>
      </c>
      <c r="B3066" s="14">
        <v>39753</v>
      </c>
      <c r="C3066" s="2">
        <v>-2.4652777777999998E-2</v>
      </c>
      <c r="D3066" s="2">
        <v>1.3964315E-4</v>
      </c>
      <c r="E3066" s="2">
        <v>1</v>
      </c>
      <c r="F3066" s="2">
        <v>1.3653904453811299E-3</v>
      </c>
      <c r="G3066" s="2">
        <v>1</v>
      </c>
    </row>
    <row r="3067" spans="1:7" x14ac:dyDescent="0.2">
      <c r="A3067" s="2" t="s">
        <v>48</v>
      </c>
      <c r="B3067" s="14">
        <v>39783</v>
      </c>
      <c r="C3067" s="2">
        <v>-3.2605963411999998E-2</v>
      </c>
      <c r="D3067" s="2">
        <v>-6.4155691999999995E-4</v>
      </c>
      <c r="E3067" s="2">
        <v>1</v>
      </c>
      <c r="F3067" s="2">
        <v>1.5073114486727701E-3</v>
      </c>
      <c r="G3067" s="2">
        <v>1</v>
      </c>
    </row>
    <row r="3068" spans="1:7" x14ac:dyDescent="0.2">
      <c r="A3068" s="2" t="s">
        <v>49</v>
      </c>
      <c r="B3068" s="14">
        <v>37591</v>
      </c>
      <c r="C3068" s="2">
        <v>0.1875</v>
      </c>
      <c r="E3068" s="2">
        <v>1</v>
      </c>
      <c r="G3068" s="2">
        <v>2</v>
      </c>
    </row>
    <row r="3069" spans="1:7" x14ac:dyDescent="0.2">
      <c r="A3069" s="2" t="s">
        <v>49</v>
      </c>
      <c r="B3069" s="14">
        <v>37622</v>
      </c>
      <c r="C3069" s="2">
        <v>-5.2631578948000003E-2</v>
      </c>
      <c r="E3069" s="2">
        <v>1</v>
      </c>
      <c r="G3069" s="2">
        <v>2</v>
      </c>
    </row>
    <row r="3070" spans="1:7" x14ac:dyDescent="0.2">
      <c r="A3070" s="2" t="s">
        <v>49</v>
      </c>
      <c r="B3070" s="14">
        <v>37653</v>
      </c>
      <c r="C3070" s="2">
        <v>-1.8518518518000002E-2</v>
      </c>
      <c r="E3070" s="2">
        <v>1</v>
      </c>
      <c r="G3070" s="2">
        <v>2</v>
      </c>
    </row>
    <row r="3071" spans="1:7" x14ac:dyDescent="0.2">
      <c r="A3071" s="2" t="s">
        <v>49</v>
      </c>
      <c r="B3071" s="14">
        <v>37681</v>
      </c>
      <c r="C3071" s="2">
        <v>1.5094325227000001E-2</v>
      </c>
      <c r="E3071" s="2">
        <v>1</v>
      </c>
      <c r="G3071" s="2">
        <v>2</v>
      </c>
    </row>
    <row r="3072" spans="1:7" x14ac:dyDescent="0.2">
      <c r="A3072" s="2" t="s">
        <v>49</v>
      </c>
      <c r="B3072" s="14">
        <v>37712</v>
      </c>
      <c r="C3072" s="2">
        <v>5.7405998312000002E-2</v>
      </c>
      <c r="E3072" s="2">
        <v>1</v>
      </c>
      <c r="G3072" s="2">
        <v>2</v>
      </c>
    </row>
    <row r="3073" spans="1:7" x14ac:dyDescent="0.2">
      <c r="A3073" s="2" t="s">
        <v>49</v>
      </c>
      <c r="B3073" s="14">
        <v>37742</v>
      </c>
      <c r="C3073" s="2">
        <v>8.7557603686999996E-2</v>
      </c>
      <c r="E3073" s="2">
        <v>1</v>
      </c>
      <c r="G3073" s="2">
        <v>2</v>
      </c>
    </row>
    <row r="3074" spans="1:7" x14ac:dyDescent="0.2">
      <c r="A3074" s="2" t="s">
        <v>49</v>
      </c>
      <c r="B3074" s="14">
        <v>37773</v>
      </c>
      <c r="C3074" s="2">
        <v>-0.15254237288</v>
      </c>
      <c r="E3074" s="2">
        <v>1</v>
      </c>
      <c r="G3074" s="2">
        <v>2</v>
      </c>
    </row>
    <row r="3075" spans="1:7" x14ac:dyDescent="0.2">
      <c r="A3075" s="2" t="s">
        <v>49</v>
      </c>
      <c r="B3075" s="14">
        <v>37803</v>
      </c>
      <c r="C3075" s="2">
        <v>4.0000000001E-2</v>
      </c>
      <c r="E3075" s="2">
        <v>1</v>
      </c>
      <c r="G3075" s="2">
        <v>2</v>
      </c>
    </row>
    <row r="3076" spans="1:7" x14ac:dyDescent="0.2">
      <c r="A3076" s="2" t="s">
        <v>49</v>
      </c>
      <c r="B3076" s="14">
        <v>37834</v>
      </c>
      <c r="C3076" s="2">
        <v>2.8846153845999999E-2</v>
      </c>
      <c r="E3076" s="2">
        <v>1</v>
      </c>
      <c r="G3076" s="2">
        <v>2</v>
      </c>
    </row>
    <row r="3077" spans="1:7" x14ac:dyDescent="0.2">
      <c r="A3077" s="2" t="s">
        <v>49</v>
      </c>
      <c r="B3077" s="14">
        <v>37865</v>
      </c>
      <c r="C3077" s="2">
        <v>0.12149532709999999</v>
      </c>
      <c r="E3077" s="2">
        <v>1</v>
      </c>
      <c r="G3077" s="2">
        <v>2</v>
      </c>
    </row>
    <row r="3078" spans="1:7" x14ac:dyDescent="0.2">
      <c r="A3078" s="2" t="s">
        <v>49</v>
      </c>
      <c r="B3078" s="14">
        <v>37895</v>
      </c>
      <c r="C3078" s="2">
        <v>-6.2499999999000001E-2</v>
      </c>
      <c r="E3078" s="2">
        <v>1</v>
      </c>
      <c r="G3078" s="2">
        <v>2</v>
      </c>
    </row>
    <row r="3079" spans="1:7" x14ac:dyDescent="0.2">
      <c r="A3079" s="2" t="s">
        <v>49</v>
      </c>
      <c r="B3079" s="14">
        <v>37926</v>
      </c>
      <c r="C3079" s="2">
        <v>2.24E-2</v>
      </c>
      <c r="E3079" s="2">
        <v>1</v>
      </c>
      <c r="G3079" s="2">
        <v>2</v>
      </c>
    </row>
    <row r="3080" spans="1:7" x14ac:dyDescent="0.2">
      <c r="A3080" s="2" t="s">
        <v>49</v>
      </c>
      <c r="B3080" s="14">
        <v>37956</v>
      </c>
      <c r="C3080" s="2">
        <v>-3.4950443401000002E-2</v>
      </c>
      <c r="E3080" s="2">
        <v>1</v>
      </c>
      <c r="G3080" s="2">
        <v>2</v>
      </c>
    </row>
    <row r="3081" spans="1:7" x14ac:dyDescent="0.2">
      <c r="A3081" s="2" t="s">
        <v>49</v>
      </c>
      <c r="B3081" s="14">
        <v>37987</v>
      </c>
      <c r="C3081" s="2">
        <v>-2.7027027027000002E-2</v>
      </c>
      <c r="E3081" s="2">
        <v>1</v>
      </c>
      <c r="G3081" s="2">
        <v>2</v>
      </c>
    </row>
    <row r="3082" spans="1:7" x14ac:dyDescent="0.2">
      <c r="A3082" s="2" t="s">
        <v>49</v>
      </c>
      <c r="B3082" s="14">
        <v>38018</v>
      </c>
      <c r="C3082" s="2">
        <v>2.7777777776999999E-2</v>
      </c>
      <c r="E3082" s="2">
        <v>1</v>
      </c>
      <c r="G3082" s="2">
        <v>2</v>
      </c>
    </row>
    <row r="3083" spans="1:7" x14ac:dyDescent="0.2">
      <c r="A3083" s="2" t="s">
        <v>49</v>
      </c>
      <c r="B3083" s="14">
        <v>38047</v>
      </c>
      <c r="C3083" s="2">
        <v>-6.3063063062999997E-2</v>
      </c>
      <c r="E3083" s="2">
        <v>1</v>
      </c>
      <c r="G3083" s="2">
        <v>2</v>
      </c>
    </row>
    <row r="3084" spans="1:7" x14ac:dyDescent="0.2">
      <c r="A3084" s="2" t="s">
        <v>49</v>
      </c>
      <c r="B3084" s="14">
        <v>38078</v>
      </c>
      <c r="C3084" s="2">
        <v>5.7692307690999999E-2</v>
      </c>
      <c r="E3084" s="2">
        <v>1</v>
      </c>
      <c r="G3084" s="2">
        <v>2</v>
      </c>
    </row>
    <row r="3085" spans="1:7" x14ac:dyDescent="0.2">
      <c r="A3085" s="2" t="s">
        <v>49</v>
      </c>
      <c r="B3085" s="14">
        <v>38108</v>
      </c>
      <c r="C3085" s="2">
        <v>-1.3461538461000001E-2</v>
      </c>
      <c r="E3085" s="2">
        <v>1</v>
      </c>
      <c r="G3085" s="2">
        <v>2</v>
      </c>
    </row>
    <row r="3086" spans="1:7" x14ac:dyDescent="0.2">
      <c r="A3086" s="2" t="s">
        <v>49</v>
      </c>
      <c r="B3086" s="14">
        <v>38139</v>
      </c>
      <c r="C3086" s="2">
        <v>0.14832535885000001</v>
      </c>
      <c r="E3086" s="2">
        <v>1</v>
      </c>
      <c r="G3086" s="2">
        <v>2</v>
      </c>
    </row>
    <row r="3087" spans="1:7" x14ac:dyDescent="0.2">
      <c r="A3087" s="2" t="s">
        <v>49</v>
      </c>
      <c r="B3087" s="14">
        <v>38169</v>
      </c>
      <c r="C3087" s="2">
        <v>1.6500000000000001E-2</v>
      </c>
      <c r="E3087" s="2">
        <v>1</v>
      </c>
      <c r="G3087" s="2">
        <v>2</v>
      </c>
    </row>
    <row r="3088" spans="1:7" x14ac:dyDescent="0.2">
      <c r="A3088" s="2" t="s">
        <v>49</v>
      </c>
      <c r="B3088" s="14">
        <v>38200</v>
      </c>
      <c r="C3088" s="2">
        <v>-9.6737170024000004E-3</v>
      </c>
      <c r="E3088" s="2">
        <v>1</v>
      </c>
      <c r="F3088" s="2">
        <v>3.0845072447549901E-2</v>
      </c>
      <c r="G3088" s="2">
        <v>2</v>
      </c>
    </row>
    <row r="3089" spans="1:7" x14ac:dyDescent="0.2">
      <c r="A3089" s="2" t="s">
        <v>49</v>
      </c>
      <c r="B3089" s="14">
        <v>38231</v>
      </c>
      <c r="C3089" s="2">
        <v>4.1390728475999998E-2</v>
      </c>
      <c r="E3089" s="2">
        <v>1</v>
      </c>
      <c r="F3089" s="2">
        <v>2.97923989822057E-2</v>
      </c>
      <c r="G3089" s="2">
        <v>2</v>
      </c>
    </row>
    <row r="3090" spans="1:7" x14ac:dyDescent="0.2">
      <c r="A3090" s="2" t="s">
        <v>49</v>
      </c>
      <c r="B3090" s="14">
        <v>38261</v>
      </c>
      <c r="C3090" s="2">
        <v>6.5182829888999996E-2</v>
      </c>
      <c r="E3090" s="2">
        <v>1</v>
      </c>
      <c r="F3090" s="2">
        <v>3.2566561288990901E-2</v>
      </c>
      <c r="G3090" s="2">
        <v>2</v>
      </c>
    </row>
    <row r="3091" spans="1:7" x14ac:dyDescent="0.2">
      <c r="A3091" s="2" t="s">
        <v>49</v>
      </c>
      <c r="B3091" s="14">
        <v>38292</v>
      </c>
      <c r="C3091" s="2">
        <v>-1.4925373134000001E-2</v>
      </c>
      <c r="E3091" s="2">
        <v>1</v>
      </c>
      <c r="F3091" s="2">
        <v>3.2591534298812098E-2</v>
      </c>
      <c r="G3091" s="2">
        <v>2</v>
      </c>
    </row>
    <row r="3092" spans="1:7" x14ac:dyDescent="0.2">
      <c r="A3092" s="2" t="s">
        <v>49</v>
      </c>
      <c r="B3092" s="14">
        <v>38322</v>
      </c>
      <c r="C3092" s="2">
        <v>6.1252525252999998E-2</v>
      </c>
      <c r="E3092" s="2">
        <v>1</v>
      </c>
      <c r="F3092" s="2">
        <v>3.2599172367727899E-2</v>
      </c>
      <c r="G3092" s="2">
        <v>2</v>
      </c>
    </row>
    <row r="3093" spans="1:7" x14ac:dyDescent="0.2">
      <c r="A3093" s="2" t="s">
        <v>49</v>
      </c>
      <c r="B3093" s="14">
        <v>38353</v>
      </c>
      <c r="C3093" s="2">
        <v>-3.6777583188E-2</v>
      </c>
      <c r="E3093" s="2">
        <v>1</v>
      </c>
      <c r="F3093" s="2">
        <v>2.9977958185574999E-2</v>
      </c>
      <c r="G3093" s="2">
        <v>2</v>
      </c>
    </row>
    <row r="3094" spans="1:7" x14ac:dyDescent="0.2">
      <c r="A3094" s="2" t="s">
        <v>49</v>
      </c>
      <c r="B3094" s="14">
        <v>38384</v>
      </c>
      <c r="C3094" s="2">
        <v>3.7878787880000001E-2</v>
      </c>
      <c r="E3094" s="2">
        <v>1</v>
      </c>
      <c r="F3094" s="2">
        <v>2.8540407107082898E-2</v>
      </c>
      <c r="G3094" s="2">
        <v>2</v>
      </c>
    </row>
    <row r="3095" spans="1:7" x14ac:dyDescent="0.2">
      <c r="A3095" s="2" t="s">
        <v>49</v>
      </c>
      <c r="B3095" s="14">
        <v>38412</v>
      </c>
      <c r="C3095" s="2">
        <v>0</v>
      </c>
      <c r="E3095" s="2">
        <v>1</v>
      </c>
      <c r="F3095" s="2">
        <v>2.98323957862828E-2</v>
      </c>
      <c r="G3095" s="2">
        <v>2</v>
      </c>
    </row>
    <row r="3096" spans="1:7" x14ac:dyDescent="0.2">
      <c r="A3096" s="2" t="s">
        <v>49</v>
      </c>
      <c r="B3096" s="14">
        <v>38443</v>
      </c>
      <c r="C3096" s="2">
        <v>-1.6967100453000001E-2</v>
      </c>
      <c r="E3096" s="2">
        <v>1</v>
      </c>
      <c r="F3096" s="2">
        <v>2.8519934972849801E-2</v>
      </c>
      <c r="G3096" s="2">
        <v>2</v>
      </c>
    </row>
    <row r="3097" spans="1:7" x14ac:dyDescent="0.2">
      <c r="A3097" s="2" t="s">
        <v>49</v>
      </c>
      <c r="B3097" s="14">
        <v>38473</v>
      </c>
      <c r="C3097" s="2">
        <v>4.9618320611000001E-2</v>
      </c>
      <c r="E3097" s="2">
        <v>1</v>
      </c>
      <c r="F3097" s="2">
        <v>2.6263339146554099E-2</v>
      </c>
      <c r="G3097" s="2">
        <v>2</v>
      </c>
    </row>
    <row r="3098" spans="1:7" x14ac:dyDescent="0.2">
      <c r="A3098" s="2" t="s">
        <v>49</v>
      </c>
      <c r="B3098" s="14">
        <v>38504</v>
      </c>
      <c r="C3098" s="2">
        <v>0.10545454545000001</v>
      </c>
      <c r="E3098" s="2">
        <v>1</v>
      </c>
      <c r="F3098" s="2">
        <v>2.80014918676612E-2</v>
      </c>
      <c r="G3098" s="2">
        <v>2</v>
      </c>
    </row>
    <row r="3099" spans="1:7" x14ac:dyDescent="0.2">
      <c r="A3099" s="2" t="s">
        <v>49</v>
      </c>
      <c r="B3099" s="14">
        <v>38534</v>
      </c>
      <c r="C3099" s="2">
        <v>1.3157894737000001E-2</v>
      </c>
      <c r="E3099" s="2">
        <v>1</v>
      </c>
      <c r="F3099" s="2">
        <v>2.8892507246727601E-2</v>
      </c>
      <c r="G3099" s="2">
        <v>2</v>
      </c>
    </row>
    <row r="3100" spans="1:7" x14ac:dyDescent="0.2">
      <c r="A3100" s="2" t="s">
        <v>49</v>
      </c>
      <c r="B3100" s="14">
        <v>38565</v>
      </c>
      <c r="C3100" s="2">
        <v>-1.9736842106000001E-2</v>
      </c>
      <c r="E3100" s="2">
        <v>1</v>
      </c>
      <c r="F3100" s="2">
        <v>2.7104218920579601E-2</v>
      </c>
      <c r="G3100" s="2">
        <v>2</v>
      </c>
    </row>
    <row r="3101" spans="1:7" x14ac:dyDescent="0.2">
      <c r="A3101" s="2" t="s">
        <v>49</v>
      </c>
      <c r="B3101" s="14">
        <v>38596</v>
      </c>
      <c r="C3101" s="2">
        <v>2.0134228189E-2</v>
      </c>
      <c r="E3101" s="2">
        <v>1</v>
      </c>
      <c r="F3101" s="2">
        <v>2.55006683617671E-2</v>
      </c>
      <c r="G3101" s="2">
        <v>2</v>
      </c>
    </row>
    <row r="3102" spans="1:7" x14ac:dyDescent="0.2">
      <c r="A3102" s="2" t="s">
        <v>49</v>
      </c>
      <c r="B3102" s="14">
        <v>38626</v>
      </c>
      <c r="C3102" s="2">
        <v>-1.3157894737000001E-2</v>
      </c>
      <c r="E3102" s="2">
        <v>1</v>
      </c>
      <c r="F3102" s="2">
        <v>2.6030372994629701E-2</v>
      </c>
      <c r="G3102" s="2">
        <v>2</v>
      </c>
    </row>
    <row r="3103" spans="1:7" x14ac:dyDescent="0.2">
      <c r="A3103" s="2" t="s">
        <v>49</v>
      </c>
      <c r="B3103" s="14">
        <v>38657</v>
      </c>
      <c r="C3103" s="2">
        <v>-1.3466666667000001E-2</v>
      </c>
      <c r="E3103" s="2">
        <v>1</v>
      </c>
      <c r="F3103" s="2">
        <v>2.61475398709267E-2</v>
      </c>
      <c r="G3103" s="2">
        <v>2</v>
      </c>
    </row>
    <row r="3104" spans="1:7" x14ac:dyDescent="0.2">
      <c r="A3104" s="2" t="s">
        <v>49</v>
      </c>
      <c r="B3104" s="14">
        <v>38687</v>
      </c>
      <c r="C3104" s="2">
        <v>-3.7032031355000002E-2</v>
      </c>
      <c r="E3104" s="2">
        <v>1</v>
      </c>
      <c r="F3104" s="2">
        <v>2.4354025396439501E-2</v>
      </c>
      <c r="G3104" s="2">
        <v>2</v>
      </c>
    </row>
    <row r="3105" spans="1:7" x14ac:dyDescent="0.2">
      <c r="A3105" s="2" t="s">
        <v>49</v>
      </c>
      <c r="B3105" s="14">
        <v>38718</v>
      </c>
      <c r="C3105" s="2">
        <v>-3.1681393265000003E-2</v>
      </c>
      <c r="E3105" s="2">
        <v>1</v>
      </c>
      <c r="F3105" s="2">
        <v>2.0320936309102401E-2</v>
      </c>
      <c r="G3105" s="2">
        <v>2</v>
      </c>
    </row>
    <row r="3106" spans="1:7" x14ac:dyDescent="0.2">
      <c r="A3106" s="2" t="s">
        <v>49</v>
      </c>
      <c r="B3106" s="14">
        <v>38749</v>
      </c>
      <c r="C3106" s="2">
        <v>5.1470588236000002E-2</v>
      </c>
      <c r="E3106" s="2">
        <v>1</v>
      </c>
      <c r="F3106" s="2">
        <v>1.9122841972863801E-2</v>
      </c>
      <c r="G3106" s="2">
        <v>2</v>
      </c>
    </row>
    <row r="3107" spans="1:7" x14ac:dyDescent="0.2">
      <c r="A3107" s="2" t="s">
        <v>49</v>
      </c>
      <c r="B3107" s="14">
        <v>38777</v>
      </c>
      <c r="C3107" s="2">
        <v>-2.0979020979999999E-2</v>
      </c>
      <c r="E3107" s="2">
        <v>1</v>
      </c>
      <c r="F3107" s="2">
        <v>2.10862273685858E-2</v>
      </c>
      <c r="G3107" s="2">
        <v>2</v>
      </c>
    </row>
    <row r="3108" spans="1:7" x14ac:dyDescent="0.2">
      <c r="A3108" s="2" t="s">
        <v>49</v>
      </c>
      <c r="B3108" s="14">
        <v>38808</v>
      </c>
      <c r="C3108" s="2">
        <v>2.4601726915E-2</v>
      </c>
      <c r="E3108" s="2">
        <v>1</v>
      </c>
      <c r="F3108" s="2">
        <v>1.9962400817703601E-2</v>
      </c>
      <c r="G3108" s="2">
        <v>2</v>
      </c>
    </row>
    <row r="3109" spans="1:7" x14ac:dyDescent="0.2">
      <c r="A3109" s="2" t="s">
        <v>49</v>
      </c>
      <c r="B3109" s="14">
        <v>38838</v>
      </c>
      <c r="C3109" s="2">
        <v>-2.8571428571999999E-2</v>
      </c>
      <c r="E3109" s="2">
        <v>1</v>
      </c>
      <c r="F3109" s="2">
        <v>2.1044714343140598E-2</v>
      </c>
      <c r="G3109" s="2">
        <v>2</v>
      </c>
    </row>
    <row r="3110" spans="1:7" x14ac:dyDescent="0.2">
      <c r="A3110" s="2" t="s">
        <v>49</v>
      </c>
      <c r="B3110" s="14">
        <v>38869</v>
      </c>
      <c r="C3110" s="2">
        <v>-4.7794117646999999E-2</v>
      </c>
      <c r="E3110" s="2">
        <v>1</v>
      </c>
      <c r="F3110" s="2">
        <v>2.0664486881151099E-2</v>
      </c>
      <c r="G3110" s="2">
        <v>2</v>
      </c>
    </row>
    <row r="3111" spans="1:7" x14ac:dyDescent="0.2">
      <c r="A3111" s="2" t="s">
        <v>49</v>
      </c>
      <c r="B3111" s="14">
        <v>38899</v>
      </c>
      <c r="C3111" s="2">
        <v>-1.1583011584E-2</v>
      </c>
      <c r="E3111" s="2">
        <v>1</v>
      </c>
      <c r="F3111" s="2">
        <v>2.0237557315480499E-2</v>
      </c>
      <c r="G3111" s="2">
        <v>2</v>
      </c>
    </row>
    <row r="3112" spans="1:7" x14ac:dyDescent="0.2">
      <c r="A3112" s="2" t="s">
        <v>49</v>
      </c>
      <c r="B3112" s="14">
        <v>38930</v>
      </c>
      <c r="C3112" s="2">
        <v>9.4970703125E-2</v>
      </c>
      <c r="E3112" s="2">
        <v>1</v>
      </c>
      <c r="F3112" s="2">
        <v>2.12083199341352E-2</v>
      </c>
      <c r="G3112" s="2">
        <v>2</v>
      </c>
    </row>
    <row r="3113" spans="1:7" x14ac:dyDescent="0.2">
      <c r="A3113" s="2" t="s">
        <v>49</v>
      </c>
      <c r="B3113" s="14">
        <v>38961</v>
      </c>
      <c r="C3113" s="2">
        <v>1.4637681159E-2</v>
      </c>
      <c r="E3113" s="2">
        <v>1</v>
      </c>
      <c r="F3113" s="2">
        <v>2.2535384186508099E-2</v>
      </c>
      <c r="G3113" s="2">
        <v>2</v>
      </c>
    </row>
    <row r="3114" spans="1:7" x14ac:dyDescent="0.2">
      <c r="A3114" s="2" t="s">
        <v>49</v>
      </c>
      <c r="B3114" s="14">
        <v>38991</v>
      </c>
      <c r="C3114" s="2">
        <v>1.4283673772E-3</v>
      </c>
      <c r="E3114" s="2">
        <v>1</v>
      </c>
      <c r="F3114" s="2">
        <v>2.3527100117221599E-2</v>
      </c>
      <c r="G3114" s="2">
        <v>2</v>
      </c>
    </row>
    <row r="3115" spans="1:7" x14ac:dyDescent="0.2">
      <c r="A3115" s="2" t="s">
        <v>49</v>
      </c>
      <c r="B3115" s="14">
        <v>39022</v>
      </c>
      <c r="C3115" s="2">
        <v>6.2615889317000004E-2</v>
      </c>
      <c r="E3115" s="2">
        <v>1</v>
      </c>
      <c r="F3115" s="2">
        <v>2.28513964730905E-2</v>
      </c>
      <c r="G3115" s="2">
        <v>2</v>
      </c>
    </row>
    <row r="3116" spans="1:7" x14ac:dyDescent="0.2">
      <c r="A3116" s="2" t="s">
        <v>49</v>
      </c>
      <c r="B3116" s="14">
        <v>39052</v>
      </c>
      <c r="C3116" s="2">
        <v>2.8322147650999999E-2</v>
      </c>
      <c r="E3116" s="2">
        <v>1</v>
      </c>
      <c r="F3116" s="2">
        <v>2.54132132234949E-2</v>
      </c>
      <c r="G3116" s="2">
        <v>2</v>
      </c>
    </row>
    <row r="3117" spans="1:7" x14ac:dyDescent="0.2">
      <c r="A3117" s="2" t="s">
        <v>49</v>
      </c>
      <c r="B3117" s="14">
        <v>39083</v>
      </c>
      <c r="C3117" s="2">
        <v>0.1029891659</v>
      </c>
      <c r="E3117" s="2">
        <v>1</v>
      </c>
      <c r="F3117" s="2">
        <v>2.7515520995191001E-2</v>
      </c>
      <c r="G3117" s="2">
        <v>2</v>
      </c>
    </row>
    <row r="3118" spans="1:7" x14ac:dyDescent="0.2">
      <c r="A3118" s="2" t="s">
        <v>49</v>
      </c>
      <c r="B3118" s="14">
        <v>39114</v>
      </c>
      <c r="C3118" s="2">
        <v>-1.8031873335999999E-2</v>
      </c>
      <c r="D3118" s="19">
        <v>1.5485611999999999E-5</v>
      </c>
      <c r="E3118" s="2">
        <v>1</v>
      </c>
      <c r="F3118" s="2">
        <v>3.0696359723175099E-2</v>
      </c>
      <c r="G3118" s="2">
        <v>2</v>
      </c>
    </row>
    <row r="3119" spans="1:7" x14ac:dyDescent="0.2">
      <c r="A3119" s="2" t="s">
        <v>49</v>
      </c>
      <c r="B3119" s="14">
        <v>39142</v>
      </c>
      <c r="C3119" s="2">
        <v>1.8292682926999999E-2</v>
      </c>
      <c r="D3119" s="19">
        <v>-2.6733900000000002E-5</v>
      </c>
      <c r="E3119" s="2">
        <v>1</v>
      </c>
      <c r="F3119" s="2">
        <v>2.75074732186146E-2</v>
      </c>
      <c r="G3119" s="2">
        <v>2</v>
      </c>
    </row>
    <row r="3120" spans="1:7" x14ac:dyDescent="0.2">
      <c r="A3120" s="2" t="s">
        <v>49</v>
      </c>
      <c r="B3120" s="14">
        <v>39173</v>
      </c>
      <c r="C3120" s="2">
        <v>7.3977637143E-2</v>
      </c>
      <c r="D3120" s="2">
        <v>1.9149466E-4</v>
      </c>
      <c r="E3120" s="2">
        <v>1</v>
      </c>
      <c r="F3120" s="2">
        <v>2.4923140053740699E-2</v>
      </c>
      <c r="G3120" s="2">
        <v>2</v>
      </c>
    </row>
    <row r="3121" spans="1:7" x14ac:dyDescent="0.2">
      <c r="A3121" s="2" t="s">
        <v>49</v>
      </c>
      <c r="B3121" s="14">
        <v>39203</v>
      </c>
      <c r="C3121" s="2">
        <v>4.5714285713999998E-2</v>
      </c>
      <c r="D3121" s="2">
        <v>3.0864047999999998E-4</v>
      </c>
      <c r="E3121" s="2">
        <v>1</v>
      </c>
      <c r="F3121" s="2">
        <v>2.95807754747918E-2</v>
      </c>
      <c r="G3121" s="2">
        <v>2</v>
      </c>
    </row>
    <row r="3122" spans="1:7" x14ac:dyDescent="0.2">
      <c r="A3122" s="2" t="s">
        <v>49</v>
      </c>
      <c r="B3122" s="14">
        <v>39234</v>
      </c>
      <c r="C3122" s="2">
        <v>3.8251366118999999E-2</v>
      </c>
      <c r="D3122" s="2">
        <v>0</v>
      </c>
      <c r="E3122" s="2">
        <v>1</v>
      </c>
      <c r="F3122" s="2">
        <v>2.89413308141401E-2</v>
      </c>
      <c r="G3122" s="2">
        <v>2</v>
      </c>
    </row>
    <row r="3123" spans="1:7" x14ac:dyDescent="0.2">
      <c r="A3123" s="2" t="s">
        <v>49</v>
      </c>
      <c r="B3123" s="14">
        <v>39264</v>
      </c>
      <c r="C3123" s="2">
        <v>7.3684210526999999E-2</v>
      </c>
      <c r="D3123" s="2">
        <v>0</v>
      </c>
      <c r="E3123" s="2">
        <v>1</v>
      </c>
      <c r="F3123" s="2">
        <v>2.9011296551942699E-2</v>
      </c>
      <c r="G3123" s="2">
        <v>2</v>
      </c>
    </row>
    <row r="3124" spans="1:7" x14ac:dyDescent="0.2">
      <c r="A3124" s="2" t="s">
        <v>49</v>
      </c>
      <c r="B3124" s="14">
        <v>39295</v>
      </c>
      <c r="C3124" s="2">
        <v>1.9752728678000001E-2</v>
      </c>
      <c r="D3124" s="2">
        <v>0</v>
      </c>
      <c r="E3124" s="2">
        <v>1</v>
      </c>
      <c r="F3124" s="2">
        <v>2.7943076217847002E-2</v>
      </c>
      <c r="G3124" s="2">
        <v>2</v>
      </c>
    </row>
    <row r="3125" spans="1:7" x14ac:dyDescent="0.2">
      <c r="A3125" s="2" t="s">
        <v>49</v>
      </c>
      <c r="B3125" s="14">
        <v>39326</v>
      </c>
      <c r="C3125" s="2">
        <v>1.4563106797E-2</v>
      </c>
      <c r="D3125" s="2">
        <v>-8.8317256000000003E-4</v>
      </c>
      <c r="E3125" s="2">
        <v>1</v>
      </c>
      <c r="F3125" s="2">
        <v>2.8956803341226401E-2</v>
      </c>
      <c r="G3125" s="2">
        <v>2</v>
      </c>
    </row>
    <row r="3126" spans="1:7" x14ac:dyDescent="0.2">
      <c r="A3126" s="2" t="s">
        <v>49</v>
      </c>
      <c r="B3126" s="14">
        <v>39356</v>
      </c>
      <c r="C3126" s="2">
        <v>1.4354066985E-2</v>
      </c>
      <c r="D3126" s="2">
        <v>-4.2841074000000002E-4</v>
      </c>
      <c r="E3126" s="2">
        <v>1</v>
      </c>
      <c r="F3126" s="2">
        <v>2.8816247203351901E-2</v>
      </c>
      <c r="G3126" s="2">
        <v>2</v>
      </c>
    </row>
    <row r="3127" spans="1:7" x14ac:dyDescent="0.2">
      <c r="A3127" s="2" t="s">
        <v>49</v>
      </c>
      <c r="B3127" s="14">
        <v>39387</v>
      </c>
      <c r="C3127" s="2">
        <v>1.8867924518E-4</v>
      </c>
      <c r="D3127" s="2">
        <v>-5.0127558999999995E-4</v>
      </c>
      <c r="E3127" s="2">
        <v>1</v>
      </c>
      <c r="F3127" s="2">
        <v>2.70412409011897E-2</v>
      </c>
      <c r="G3127" s="2">
        <v>2</v>
      </c>
    </row>
    <row r="3128" spans="1:7" x14ac:dyDescent="0.2">
      <c r="A3128" s="2" t="s">
        <v>49</v>
      </c>
      <c r="B3128" s="14">
        <v>39417</v>
      </c>
      <c r="C3128" s="2">
        <v>-1.8864365211000001E-4</v>
      </c>
      <c r="E3128" s="2">
        <v>1</v>
      </c>
      <c r="F3128" s="2">
        <v>2.5742779902428101E-2</v>
      </c>
      <c r="G3128" s="2">
        <v>2</v>
      </c>
    </row>
    <row r="3129" spans="1:7" x14ac:dyDescent="0.2">
      <c r="A3129" s="2" t="s">
        <v>49</v>
      </c>
      <c r="B3129" s="14">
        <v>39448</v>
      </c>
      <c r="E3129" s="2">
        <v>1</v>
      </c>
      <c r="F3129" s="2">
        <v>2.46588898587723E-2</v>
      </c>
      <c r="G3129" s="2">
        <v>2</v>
      </c>
    </row>
    <row r="3130" spans="1:7" x14ac:dyDescent="0.2">
      <c r="A3130" s="2" t="s">
        <v>49</v>
      </c>
      <c r="B3130" s="14">
        <v>39479</v>
      </c>
      <c r="C3130" s="19">
        <v>1.8189894035000001E-12</v>
      </c>
      <c r="E3130" s="2">
        <v>1</v>
      </c>
      <c r="G3130" s="2">
        <v>2</v>
      </c>
    </row>
    <row r="3131" spans="1:7" x14ac:dyDescent="0.2">
      <c r="A3131" s="2" t="s">
        <v>49</v>
      </c>
      <c r="B3131" s="14">
        <v>39508</v>
      </c>
      <c r="E3131" s="2">
        <v>1</v>
      </c>
      <c r="F3131" s="2">
        <v>2.1840754088721999E-2</v>
      </c>
      <c r="G3131" s="2">
        <v>2</v>
      </c>
    </row>
    <row r="3132" spans="1:7" x14ac:dyDescent="0.2">
      <c r="A3132" s="2" t="s">
        <v>49</v>
      </c>
      <c r="B3132" s="14">
        <v>39539</v>
      </c>
      <c r="C3132" s="2">
        <v>1.6006901178000001E-2</v>
      </c>
      <c r="E3132" s="2">
        <v>1</v>
      </c>
      <c r="F3132" s="2">
        <v>2.1444642894467701E-2</v>
      </c>
      <c r="G3132" s="2">
        <v>2</v>
      </c>
    </row>
    <row r="3133" spans="1:7" x14ac:dyDescent="0.2">
      <c r="A3133" s="2" t="s">
        <v>49</v>
      </c>
      <c r="B3133" s="14">
        <v>39569</v>
      </c>
      <c r="C3133" s="2">
        <v>3.2027392888000002E-2</v>
      </c>
      <c r="E3133" s="2">
        <v>1</v>
      </c>
      <c r="F3133" s="2">
        <v>2.1679942054223699E-2</v>
      </c>
      <c r="G3133" s="2">
        <v>2</v>
      </c>
    </row>
    <row r="3134" spans="1:7" x14ac:dyDescent="0.2">
      <c r="A3134" s="2" t="s">
        <v>49</v>
      </c>
      <c r="B3134" s="14">
        <v>39600</v>
      </c>
      <c r="C3134" s="2">
        <v>0</v>
      </c>
      <c r="E3134" s="2">
        <v>1</v>
      </c>
      <c r="F3134" s="2">
        <v>2.2388892356146699E-2</v>
      </c>
      <c r="G3134" s="2">
        <v>2</v>
      </c>
    </row>
    <row r="3135" spans="1:7" x14ac:dyDescent="0.2">
      <c r="A3135" s="2" t="s">
        <v>49</v>
      </c>
      <c r="B3135" s="14">
        <v>39630</v>
      </c>
      <c r="C3135" s="2">
        <v>0</v>
      </c>
      <c r="E3135" s="2">
        <v>1</v>
      </c>
      <c r="F3135" s="2">
        <v>2.2393730048192E-2</v>
      </c>
      <c r="G3135" s="2">
        <v>2</v>
      </c>
    </row>
    <row r="3136" spans="1:7" x14ac:dyDescent="0.2">
      <c r="A3136" s="2" t="s">
        <v>49</v>
      </c>
      <c r="B3136" s="14">
        <v>39661</v>
      </c>
      <c r="C3136" s="2">
        <v>9.5238095236999994E-3</v>
      </c>
      <c r="E3136" s="2">
        <v>1</v>
      </c>
      <c r="F3136" s="2">
        <v>1.7769289401741599E-2</v>
      </c>
      <c r="G3136" s="2">
        <v>2</v>
      </c>
    </row>
    <row r="3137" spans="1:7" x14ac:dyDescent="0.2">
      <c r="A3137" s="2" t="s">
        <v>49</v>
      </c>
      <c r="B3137" s="14">
        <v>39692</v>
      </c>
      <c r="E3137" s="2">
        <v>1</v>
      </c>
      <c r="F3137" s="2">
        <v>1.9331542574778902E-2</v>
      </c>
      <c r="G3137" s="2">
        <v>2</v>
      </c>
    </row>
    <row r="3138" spans="1:7" x14ac:dyDescent="0.2">
      <c r="A3138" s="2" t="s">
        <v>49</v>
      </c>
      <c r="B3138" s="14">
        <v>39722</v>
      </c>
      <c r="C3138" s="2">
        <v>0</v>
      </c>
      <c r="E3138" s="2">
        <v>1</v>
      </c>
      <c r="F3138" s="2">
        <v>1.8729856323588701E-2</v>
      </c>
      <c r="G3138" s="2">
        <v>2</v>
      </c>
    </row>
    <row r="3139" spans="1:7" x14ac:dyDescent="0.2">
      <c r="A3139" s="2" t="s">
        <v>49</v>
      </c>
      <c r="B3139" s="14">
        <v>39753</v>
      </c>
      <c r="E3139" s="2">
        <v>1</v>
      </c>
      <c r="F3139" s="2">
        <v>1.8551895928505899E-2</v>
      </c>
      <c r="G3139" s="2">
        <v>2</v>
      </c>
    </row>
    <row r="3140" spans="1:7" x14ac:dyDescent="0.2">
      <c r="A3140" s="2" t="s">
        <v>49</v>
      </c>
      <c r="B3140" s="14">
        <v>39783</v>
      </c>
      <c r="E3140" s="2">
        <v>1</v>
      </c>
      <c r="F3140" s="2">
        <v>1.7636512554634699E-2</v>
      </c>
      <c r="G3140" s="2">
        <v>2</v>
      </c>
    </row>
    <row r="3141" spans="1:7" x14ac:dyDescent="0.2">
      <c r="A3141" s="2" t="s">
        <v>50</v>
      </c>
      <c r="B3141" s="14">
        <v>37591</v>
      </c>
      <c r="C3141" s="2">
        <v>0.1011235955</v>
      </c>
      <c r="E3141" s="2">
        <v>1</v>
      </c>
      <c r="G3141" s="2">
        <v>1</v>
      </c>
    </row>
    <row r="3142" spans="1:7" x14ac:dyDescent="0.2">
      <c r="A3142" s="2" t="s">
        <v>50</v>
      </c>
      <c r="B3142" s="14">
        <v>37622</v>
      </c>
      <c r="C3142" s="2">
        <v>-3.0480295567999999E-2</v>
      </c>
      <c r="E3142" s="2">
        <v>1</v>
      </c>
      <c r="G3142" s="2">
        <v>1</v>
      </c>
    </row>
    <row r="3143" spans="1:7" x14ac:dyDescent="0.2">
      <c r="A3143" s="2" t="s">
        <v>50</v>
      </c>
      <c r="B3143" s="14">
        <v>37653</v>
      </c>
      <c r="C3143" s="2">
        <v>-3.8297872338999998E-2</v>
      </c>
      <c r="E3143" s="2">
        <v>1</v>
      </c>
      <c r="G3143" s="2">
        <v>1</v>
      </c>
    </row>
    <row r="3144" spans="1:7" x14ac:dyDescent="0.2">
      <c r="A3144" s="2" t="s">
        <v>50</v>
      </c>
      <c r="B3144" s="14">
        <v>37681</v>
      </c>
      <c r="C3144" s="2">
        <v>-0.10619469026</v>
      </c>
      <c r="E3144" s="2">
        <v>1</v>
      </c>
      <c r="G3144" s="2">
        <v>1</v>
      </c>
    </row>
    <row r="3145" spans="1:7" x14ac:dyDescent="0.2">
      <c r="A3145" s="2" t="s">
        <v>50</v>
      </c>
      <c r="B3145" s="14">
        <v>37712</v>
      </c>
      <c r="C3145" s="2">
        <v>0.23762376237999999</v>
      </c>
      <c r="E3145" s="2">
        <v>1</v>
      </c>
      <c r="G3145" s="2">
        <v>1</v>
      </c>
    </row>
    <row r="3146" spans="1:7" x14ac:dyDescent="0.2">
      <c r="A3146" s="2" t="s">
        <v>50</v>
      </c>
      <c r="B3146" s="14">
        <v>37742</v>
      </c>
      <c r="C3146" s="2">
        <v>9.2304565436000005E-2</v>
      </c>
      <c r="E3146" s="2">
        <v>1</v>
      </c>
      <c r="G3146" s="2">
        <v>1</v>
      </c>
    </row>
    <row r="3147" spans="1:7" x14ac:dyDescent="0.2">
      <c r="A3147" s="2" t="s">
        <v>50</v>
      </c>
      <c r="B3147" s="14">
        <v>37773</v>
      </c>
      <c r="C3147" s="2">
        <v>0.10905730129000001</v>
      </c>
      <c r="E3147" s="2">
        <v>1</v>
      </c>
      <c r="G3147" s="2">
        <v>1</v>
      </c>
    </row>
    <row r="3148" spans="1:7" x14ac:dyDescent="0.2">
      <c r="A3148" s="2" t="s">
        <v>50</v>
      </c>
      <c r="B3148" s="14">
        <v>37803</v>
      </c>
      <c r="C3148" s="2">
        <v>8.1666666666999996E-2</v>
      </c>
      <c r="E3148" s="2">
        <v>1</v>
      </c>
      <c r="G3148" s="2">
        <v>1</v>
      </c>
    </row>
    <row r="3149" spans="1:7" x14ac:dyDescent="0.2">
      <c r="A3149" s="2" t="s">
        <v>50</v>
      </c>
      <c r="B3149" s="14">
        <v>37834</v>
      </c>
      <c r="C3149" s="2">
        <v>5.7010785824000001E-2</v>
      </c>
      <c r="E3149" s="2">
        <v>1</v>
      </c>
      <c r="F3149" s="2">
        <v>1.9167368005527801E-2</v>
      </c>
      <c r="G3149" s="2">
        <v>1</v>
      </c>
    </row>
    <row r="3150" spans="1:7" x14ac:dyDescent="0.2">
      <c r="A3150" s="2" t="s">
        <v>50</v>
      </c>
      <c r="B3150" s="14">
        <v>37865</v>
      </c>
      <c r="C3150" s="2">
        <v>0.10641399417</v>
      </c>
      <c r="E3150" s="2">
        <v>1</v>
      </c>
      <c r="F3150" s="2">
        <v>2.1634749422441198E-2</v>
      </c>
      <c r="G3150" s="2">
        <v>1</v>
      </c>
    </row>
    <row r="3151" spans="1:7" x14ac:dyDescent="0.2">
      <c r="A3151" s="2" t="s">
        <v>50</v>
      </c>
      <c r="B3151" s="14">
        <v>37895</v>
      </c>
      <c r="C3151" s="2">
        <v>5.4018445323999999E-2</v>
      </c>
      <c r="E3151" s="2">
        <v>1</v>
      </c>
      <c r="F3151" s="2">
        <v>2.7449989564037099E-2</v>
      </c>
      <c r="G3151" s="2">
        <v>1</v>
      </c>
    </row>
    <row r="3152" spans="1:7" x14ac:dyDescent="0.2">
      <c r="A3152" s="2" t="s">
        <v>50</v>
      </c>
      <c r="B3152" s="14">
        <v>37926</v>
      </c>
      <c r="C3152" s="2">
        <v>-2.5000000001E-2</v>
      </c>
      <c r="E3152" s="2">
        <v>1</v>
      </c>
      <c r="F3152" s="2">
        <v>2.19167066325772E-2</v>
      </c>
      <c r="G3152" s="2">
        <v>1</v>
      </c>
    </row>
    <row r="3153" spans="1:7" x14ac:dyDescent="0.2">
      <c r="A3153" s="2" t="s">
        <v>50</v>
      </c>
      <c r="B3153" s="14">
        <v>37956</v>
      </c>
      <c r="C3153" s="2">
        <v>7.0711896797999996E-2</v>
      </c>
      <c r="E3153" s="2">
        <v>1</v>
      </c>
      <c r="F3153" s="2">
        <v>1.8553672915179301E-2</v>
      </c>
      <c r="G3153" s="2">
        <v>1</v>
      </c>
    </row>
    <row r="3154" spans="1:7" x14ac:dyDescent="0.2">
      <c r="A3154" s="2" t="s">
        <v>50</v>
      </c>
      <c r="B3154" s="14">
        <v>37987</v>
      </c>
      <c r="C3154" s="2">
        <v>-0.20207228916</v>
      </c>
      <c r="E3154" s="2">
        <v>1</v>
      </c>
      <c r="F3154" s="2">
        <v>1.7226333613011201E-2</v>
      </c>
      <c r="G3154" s="2">
        <v>1</v>
      </c>
    </row>
    <row r="3155" spans="1:7" x14ac:dyDescent="0.2">
      <c r="A3155" s="2" t="s">
        <v>50</v>
      </c>
      <c r="B3155" s="14">
        <v>38018</v>
      </c>
      <c r="C3155" s="2">
        <v>0.19864709790000001</v>
      </c>
      <c r="E3155" s="2">
        <v>1</v>
      </c>
      <c r="F3155" s="2">
        <v>9.9989864977494593E-3</v>
      </c>
      <c r="G3155" s="2">
        <v>1</v>
      </c>
    </row>
    <row r="3156" spans="1:7" x14ac:dyDescent="0.2">
      <c r="A3156" s="2" t="s">
        <v>50</v>
      </c>
      <c r="B3156" s="14">
        <v>38047</v>
      </c>
      <c r="C3156" s="2">
        <v>-0.1056132218</v>
      </c>
      <c r="E3156" s="2">
        <v>1</v>
      </c>
      <c r="F3156" s="2">
        <v>1.37949379484442E-2</v>
      </c>
      <c r="G3156" s="2">
        <v>1</v>
      </c>
    </row>
    <row r="3157" spans="1:7" x14ac:dyDescent="0.2">
      <c r="A3157" s="2" t="s">
        <v>50</v>
      </c>
      <c r="B3157" s="14">
        <v>38078</v>
      </c>
      <c r="C3157" s="2">
        <v>-0.10563380281</v>
      </c>
      <c r="E3157" s="2">
        <v>1</v>
      </c>
      <c r="F3157" s="2">
        <v>7.9219121892113702E-3</v>
      </c>
      <c r="G3157" s="2">
        <v>1</v>
      </c>
    </row>
    <row r="3158" spans="1:7" x14ac:dyDescent="0.2">
      <c r="A3158" s="2" t="s">
        <v>50</v>
      </c>
      <c r="B3158" s="14">
        <v>38108</v>
      </c>
      <c r="C3158" s="2">
        <v>3.8585814218000001E-3</v>
      </c>
      <c r="E3158" s="2">
        <v>1</v>
      </c>
      <c r="F3158" s="2">
        <v>3.4436272713195899E-3</v>
      </c>
      <c r="G3158" s="2">
        <v>1</v>
      </c>
    </row>
    <row r="3159" spans="1:7" x14ac:dyDescent="0.2">
      <c r="A3159" s="2" t="s">
        <v>50</v>
      </c>
      <c r="B3159" s="14">
        <v>38139</v>
      </c>
      <c r="C3159" s="2">
        <v>2.4000000000999999E-2</v>
      </c>
      <c r="E3159" s="2">
        <v>1</v>
      </c>
      <c r="F3159" s="2">
        <v>4.28141822928304E-3</v>
      </c>
      <c r="G3159" s="2">
        <v>1</v>
      </c>
    </row>
    <row r="3160" spans="1:7" x14ac:dyDescent="0.2">
      <c r="A3160" s="2" t="s">
        <v>50</v>
      </c>
      <c r="B3160" s="14">
        <v>38169</v>
      </c>
      <c r="C3160" s="2">
        <v>3.125E-2</v>
      </c>
      <c r="E3160" s="2">
        <v>1</v>
      </c>
      <c r="F3160" s="2">
        <v>2.81278782436982E-3</v>
      </c>
      <c r="G3160" s="2">
        <v>1</v>
      </c>
    </row>
    <row r="3161" spans="1:7" x14ac:dyDescent="0.2">
      <c r="A3161" s="2" t="s">
        <v>50</v>
      </c>
      <c r="B3161" s="14">
        <v>38200</v>
      </c>
      <c r="C3161" s="2">
        <v>5.5263651705999998E-2</v>
      </c>
      <c r="E3161" s="2">
        <v>1</v>
      </c>
      <c r="F3161" s="2">
        <v>-4.61763430204922E-4</v>
      </c>
      <c r="G3161" s="2">
        <v>1</v>
      </c>
    </row>
    <row r="3162" spans="1:7" x14ac:dyDescent="0.2">
      <c r="A3162" s="2" t="s">
        <v>50</v>
      </c>
      <c r="B3162" s="14">
        <v>38231</v>
      </c>
      <c r="C3162" s="2">
        <v>-7.0057971014999998E-2</v>
      </c>
      <c r="E3162" s="2">
        <v>1</v>
      </c>
      <c r="F3162" s="2">
        <v>-5.0854548522589801E-3</v>
      </c>
      <c r="G3162" s="2">
        <v>1</v>
      </c>
    </row>
    <row r="3163" spans="1:7" x14ac:dyDescent="0.2">
      <c r="A3163" s="2" t="s">
        <v>50</v>
      </c>
      <c r="B3163" s="14">
        <v>38261</v>
      </c>
      <c r="C3163" s="2">
        <v>-8.0509927376000004E-2</v>
      </c>
      <c r="E3163" s="2">
        <v>1</v>
      </c>
      <c r="F3163" s="2">
        <v>-3.9404604575502301E-3</v>
      </c>
      <c r="G3163" s="2">
        <v>1</v>
      </c>
    </row>
    <row r="3164" spans="1:7" x14ac:dyDescent="0.2">
      <c r="A3164" s="2" t="s">
        <v>50</v>
      </c>
      <c r="B3164" s="14">
        <v>38292</v>
      </c>
      <c r="C3164" s="2">
        <v>0.11864406779</v>
      </c>
      <c r="E3164" s="2">
        <v>1</v>
      </c>
      <c r="F3164" s="2">
        <v>-3.01981056820975E-3</v>
      </c>
      <c r="G3164" s="2">
        <v>1</v>
      </c>
    </row>
    <row r="3165" spans="1:7" x14ac:dyDescent="0.2">
      <c r="A3165" s="2" t="s">
        <v>50</v>
      </c>
      <c r="B3165" s="14">
        <v>38322</v>
      </c>
      <c r="C3165" s="2">
        <v>9.0909090903999994E-3</v>
      </c>
      <c r="E3165" s="2">
        <v>1</v>
      </c>
      <c r="F3165" s="2">
        <v>1.7230166555943401E-4</v>
      </c>
      <c r="G3165" s="2">
        <v>1</v>
      </c>
    </row>
    <row r="3166" spans="1:7" x14ac:dyDescent="0.2">
      <c r="A3166" s="2" t="s">
        <v>50</v>
      </c>
      <c r="B3166" s="14">
        <v>38353</v>
      </c>
      <c r="C3166" s="2">
        <v>-8.8888888876999996E-3</v>
      </c>
      <c r="E3166" s="2">
        <v>1</v>
      </c>
      <c r="F3166" s="2">
        <v>-3.24216041690402E-4</v>
      </c>
      <c r="G3166" s="2">
        <v>1</v>
      </c>
    </row>
    <row r="3167" spans="1:7" x14ac:dyDescent="0.2">
      <c r="A3167" s="2" t="s">
        <v>50</v>
      </c>
      <c r="B3167" s="14">
        <v>38384</v>
      </c>
      <c r="C3167" s="2">
        <v>2.7148224456999999E-2</v>
      </c>
      <c r="E3167" s="2">
        <v>1</v>
      </c>
      <c r="F3167" s="2">
        <v>-1.8023678665889701E-3</v>
      </c>
      <c r="G3167" s="2">
        <v>1</v>
      </c>
    </row>
    <row r="3168" spans="1:7" x14ac:dyDescent="0.2">
      <c r="A3168" s="2" t="s">
        <v>50</v>
      </c>
      <c r="B3168" s="14">
        <v>38412</v>
      </c>
      <c r="C3168" s="2">
        <v>9.4336283186E-2</v>
      </c>
      <c r="E3168" s="2">
        <v>1</v>
      </c>
      <c r="F3168" s="2">
        <v>-3.0918463056577102E-3</v>
      </c>
      <c r="G3168" s="2">
        <v>1</v>
      </c>
    </row>
    <row r="3169" spans="1:7" x14ac:dyDescent="0.2">
      <c r="A3169" s="2" t="s">
        <v>50</v>
      </c>
      <c r="B3169" s="14">
        <v>38443</v>
      </c>
      <c r="C3169" s="2">
        <v>-1.8815030459000001E-2</v>
      </c>
      <c r="E3169" s="2">
        <v>1</v>
      </c>
      <c r="F3169" s="2">
        <v>1.42503744930858E-3</v>
      </c>
      <c r="G3169" s="2">
        <v>1</v>
      </c>
    </row>
    <row r="3170" spans="1:7" x14ac:dyDescent="0.2">
      <c r="A3170" s="2" t="s">
        <v>50</v>
      </c>
      <c r="B3170" s="14">
        <v>38473</v>
      </c>
      <c r="C3170" s="2">
        <v>5.4945054943999995E-4</v>
      </c>
      <c r="E3170" s="2">
        <v>1</v>
      </c>
      <c r="F3170" s="2">
        <v>3.0766500543814202E-3</v>
      </c>
      <c r="G3170" s="2">
        <v>1</v>
      </c>
    </row>
    <row r="3171" spans="1:7" x14ac:dyDescent="0.2">
      <c r="A3171" s="2" t="s">
        <v>50</v>
      </c>
      <c r="B3171" s="14">
        <v>38504</v>
      </c>
      <c r="C3171" s="2">
        <v>4.3382756727000003E-2</v>
      </c>
      <c r="E3171" s="2">
        <v>1</v>
      </c>
      <c r="F3171" s="2">
        <v>-3.35178492947056E-4</v>
      </c>
      <c r="G3171" s="2">
        <v>1</v>
      </c>
    </row>
    <row r="3172" spans="1:7" x14ac:dyDescent="0.2">
      <c r="A3172" s="2" t="s">
        <v>50</v>
      </c>
      <c r="B3172" s="14">
        <v>38534</v>
      </c>
      <c r="C3172" s="2">
        <v>4.2105263157E-2</v>
      </c>
      <c r="E3172" s="2">
        <v>1</v>
      </c>
      <c r="F3172" s="2">
        <v>5.6889994127981797E-4</v>
      </c>
      <c r="G3172" s="2">
        <v>1</v>
      </c>
    </row>
    <row r="3173" spans="1:7" x14ac:dyDescent="0.2">
      <c r="A3173" s="2" t="s">
        <v>50</v>
      </c>
      <c r="B3173" s="14">
        <v>38565</v>
      </c>
      <c r="C3173" s="2">
        <v>-7.8486212805999999E-3</v>
      </c>
      <c r="E3173" s="2">
        <v>1</v>
      </c>
      <c r="F3173" s="2">
        <v>1.0899687307695799E-2</v>
      </c>
      <c r="G3173" s="2">
        <v>1</v>
      </c>
    </row>
    <row r="3174" spans="1:7" x14ac:dyDescent="0.2">
      <c r="A3174" s="2" t="s">
        <v>50</v>
      </c>
      <c r="B3174" s="14">
        <v>38596</v>
      </c>
      <c r="C3174" s="2">
        <v>-3.8560411313000001E-3</v>
      </c>
      <c r="E3174" s="2">
        <v>1</v>
      </c>
      <c r="F3174" s="2">
        <v>9.9133599328438595E-3</v>
      </c>
      <c r="G3174" s="2">
        <v>1</v>
      </c>
    </row>
    <row r="3175" spans="1:7" x14ac:dyDescent="0.2">
      <c r="A3175" s="2" t="s">
        <v>50</v>
      </c>
      <c r="B3175" s="14">
        <v>38626</v>
      </c>
      <c r="C3175" s="2">
        <v>-5.6774193548E-2</v>
      </c>
      <c r="E3175" s="2">
        <v>1</v>
      </c>
      <c r="F3175" s="2">
        <v>6.9794356767325502E-3</v>
      </c>
      <c r="G3175" s="2">
        <v>1</v>
      </c>
    </row>
    <row r="3176" spans="1:7" x14ac:dyDescent="0.2">
      <c r="A3176" s="2" t="s">
        <v>50</v>
      </c>
      <c r="B3176" s="14">
        <v>38657</v>
      </c>
      <c r="C3176" s="2">
        <v>-3.1463748290000003E-2</v>
      </c>
      <c r="E3176" s="2">
        <v>1</v>
      </c>
      <c r="F3176" s="2">
        <v>5.9461281130501796E-3</v>
      </c>
      <c r="G3176" s="2">
        <v>1</v>
      </c>
    </row>
    <row r="3177" spans="1:7" x14ac:dyDescent="0.2">
      <c r="A3177" s="2" t="s">
        <v>50</v>
      </c>
      <c r="B3177" s="14">
        <v>38687</v>
      </c>
      <c r="C3177" s="2">
        <v>-6.0734463277000002E-2</v>
      </c>
      <c r="E3177" s="2">
        <v>1</v>
      </c>
      <c r="F3177" s="2">
        <v>4.9216949154978901E-3</v>
      </c>
      <c r="G3177" s="2">
        <v>1</v>
      </c>
    </row>
    <row r="3178" spans="1:7" x14ac:dyDescent="0.2">
      <c r="A3178" s="2" t="s">
        <v>50</v>
      </c>
      <c r="B3178" s="14">
        <v>38718</v>
      </c>
      <c r="C3178" s="2">
        <v>-8.7819548879999997E-3</v>
      </c>
      <c r="E3178" s="2">
        <v>1</v>
      </c>
      <c r="F3178" s="2">
        <v>2.1418962025689099E-3</v>
      </c>
      <c r="G3178" s="2">
        <v>1</v>
      </c>
    </row>
    <row r="3179" spans="1:7" x14ac:dyDescent="0.2">
      <c r="A3179" s="2" t="s">
        <v>50</v>
      </c>
      <c r="B3179" s="14">
        <v>38749</v>
      </c>
      <c r="C3179" s="2">
        <v>7.4397718308000002E-2</v>
      </c>
      <c r="E3179" s="2">
        <v>1</v>
      </c>
      <c r="F3179" s="2">
        <v>6.9174990234644297E-4</v>
      </c>
      <c r="G3179" s="2">
        <v>1</v>
      </c>
    </row>
    <row r="3180" spans="1:7" x14ac:dyDescent="0.2">
      <c r="A3180" s="2" t="s">
        <v>50</v>
      </c>
      <c r="B3180" s="14">
        <v>38777</v>
      </c>
      <c r="C3180" s="2">
        <v>-2.8969760210000001E-2</v>
      </c>
      <c r="E3180" s="2">
        <v>1</v>
      </c>
      <c r="F3180" s="2">
        <v>2.9862438575222199E-3</v>
      </c>
      <c r="G3180" s="2">
        <v>1</v>
      </c>
    </row>
    <row r="3181" spans="1:7" x14ac:dyDescent="0.2">
      <c r="A3181" s="2" t="s">
        <v>50</v>
      </c>
      <c r="B3181" s="14">
        <v>38808</v>
      </c>
      <c r="C3181" s="2">
        <v>-0.05</v>
      </c>
      <c r="E3181" s="2">
        <v>1</v>
      </c>
      <c r="F3181" s="2">
        <v>2.20141689829186E-3</v>
      </c>
      <c r="G3181" s="2">
        <v>1</v>
      </c>
    </row>
    <row r="3182" spans="1:7" x14ac:dyDescent="0.2">
      <c r="A3182" s="2" t="s">
        <v>50</v>
      </c>
      <c r="B3182" s="14">
        <v>38838</v>
      </c>
      <c r="C3182" s="2">
        <v>-8.3591331268999994E-2</v>
      </c>
      <c r="E3182" s="2">
        <v>1</v>
      </c>
      <c r="F3182" s="2">
        <v>2.55004961975395E-3</v>
      </c>
      <c r="G3182" s="2">
        <v>1</v>
      </c>
    </row>
    <row r="3183" spans="1:7" x14ac:dyDescent="0.2">
      <c r="A3183" s="2" t="s">
        <v>50</v>
      </c>
      <c r="B3183" s="14">
        <v>38869</v>
      </c>
      <c r="C3183" s="2">
        <v>-2.6756756755999998E-2</v>
      </c>
      <c r="E3183" s="2">
        <v>1</v>
      </c>
      <c r="F3183" s="2">
        <v>1.3399928207126E-3</v>
      </c>
      <c r="G3183" s="2">
        <v>1</v>
      </c>
    </row>
    <row r="3184" spans="1:7" x14ac:dyDescent="0.2">
      <c r="A3184" s="2" t="s">
        <v>50</v>
      </c>
      <c r="B3184" s="14">
        <v>38899</v>
      </c>
      <c r="C3184" s="2">
        <v>-1.3676756456E-2</v>
      </c>
      <c r="E3184" s="2">
        <v>1</v>
      </c>
      <c r="F3184" s="2">
        <v>2.3168926846140001E-3</v>
      </c>
      <c r="G3184" s="2">
        <v>1</v>
      </c>
    </row>
    <row r="3185" spans="1:7" x14ac:dyDescent="0.2">
      <c r="A3185" s="2" t="s">
        <v>50</v>
      </c>
      <c r="B3185" s="14">
        <v>38930</v>
      </c>
      <c r="C3185" s="2">
        <v>6.0533539799999996E-3</v>
      </c>
      <c r="E3185" s="2">
        <v>1</v>
      </c>
      <c r="F3185" s="2">
        <v>3.3453660775263302E-3</v>
      </c>
      <c r="G3185" s="2">
        <v>1</v>
      </c>
    </row>
    <row r="3186" spans="1:7" x14ac:dyDescent="0.2">
      <c r="A3186" s="2" t="s">
        <v>50</v>
      </c>
      <c r="B3186" s="14">
        <v>38961</v>
      </c>
      <c r="C3186" s="2">
        <v>8.5706289790000001E-2</v>
      </c>
      <c r="E3186" s="2">
        <v>1</v>
      </c>
      <c r="F3186" s="2">
        <v>1.37089017998885E-3</v>
      </c>
      <c r="G3186" s="2">
        <v>1</v>
      </c>
    </row>
    <row r="3187" spans="1:7" x14ac:dyDescent="0.2">
      <c r="A3187" s="2" t="s">
        <v>50</v>
      </c>
      <c r="B3187" s="14">
        <v>38991</v>
      </c>
      <c r="C3187" s="2">
        <v>5.0844180952000002E-2</v>
      </c>
      <c r="E3187" s="2">
        <v>1</v>
      </c>
      <c r="F3187" s="2">
        <v>4.6991257237642796E-3</v>
      </c>
      <c r="G3187" s="2">
        <v>1</v>
      </c>
    </row>
    <row r="3188" spans="1:7" x14ac:dyDescent="0.2">
      <c r="A3188" s="2" t="s">
        <v>50</v>
      </c>
      <c r="B3188" s="14">
        <v>39022</v>
      </c>
      <c r="C3188" s="2">
        <v>9.7688109401000006E-2</v>
      </c>
      <c r="E3188" s="2">
        <v>1</v>
      </c>
      <c r="F3188" s="2">
        <v>7.53058701239827E-3</v>
      </c>
      <c r="G3188" s="2">
        <v>1</v>
      </c>
    </row>
    <row r="3189" spans="1:7" x14ac:dyDescent="0.2">
      <c r="A3189" s="2" t="s">
        <v>50</v>
      </c>
      <c r="B3189" s="14">
        <v>39052</v>
      </c>
      <c r="C3189" s="2">
        <v>3.0930574047E-2</v>
      </c>
      <c r="E3189" s="2">
        <v>1</v>
      </c>
      <c r="F3189" s="2">
        <v>1.2691822988764199E-2</v>
      </c>
      <c r="G3189" s="2">
        <v>1</v>
      </c>
    </row>
    <row r="3190" spans="1:7" x14ac:dyDescent="0.2">
      <c r="A3190" s="2" t="s">
        <v>50</v>
      </c>
      <c r="B3190" s="14">
        <v>39083</v>
      </c>
      <c r="C3190" s="2">
        <v>4.7885163271000002E-2</v>
      </c>
      <c r="E3190" s="2">
        <v>1</v>
      </c>
      <c r="F3190" s="2">
        <v>1.42549395697079E-2</v>
      </c>
      <c r="G3190" s="2">
        <v>1</v>
      </c>
    </row>
    <row r="3191" spans="1:7" x14ac:dyDescent="0.2">
      <c r="A3191" s="2" t="s">
        <v>50</v>
      </c>
      <c r="B3191" s="14">
        <v>39114</v>
      </c>
      <c r="C3191" s="2">
        <v>-0.11126215622000001</v>
      </c>
      <c r="D3191" s="2">
        <v>1.6057387E-3</v>
      </c>
      <c r="E3191" s="2">
        <v>1</v>
      </c>
      <c r="F3191" s="2">
        <v>1.5937261846186799E-2</v>
      </c>
      <c r="G3191" s="2">
        <v>1</v>
      </c>
    </row>
    <row r="3192" spans="1:7" x14ac:dyDescent="0.2">
      <c r="A3192" s="2" t="s">
        <v>50</v>
      </c>
      <c r="B3192" s="14">
        <v>39142</v>
      </c>
      <c r="C3192" s="2">
        <v>9.7952700316999999E-2</v>
      </c>
      <c r="D3192" s="2">
        <v>3.4223511000000002E-3</v>
      </c>
      <c r="E3192" s="2">
        <v>1</v>
      </c>
      <c r="F3192" s="2">
        <v>1.29534526152948E-2</v>
      </c>
      <c r="G3192" s="2">
        <v>1</v>
      </c>
    </row>
    <row r="3193" spans="1:7" x14ac:dyDescent="0.2">
      <c r="A3193" s="2" t="s">
        <v>50</v>
      </c>
      <c r="B3193" s="14">
        <v>39173</v>
      </c>
      <c r="C3193" s="2">
        <v>0.11450463483999999</v>
      </c>
      <c r="D3193" s="2">
        <v>4.7852759999999998E-3</v>
      </c>
      <c r="E3193" s="2">
        <v>1</v>
      </c>
      <c r="F3193" s="2">
        <v>1.3187059793319E-2</v>
      </c>
      <c r="G3193" s="2">
        <v>1</v>
      </c>
    </row>
    <row r="3194" spans="1:7" x14ac:dyDescent="0.2">
      <c r="A3194" s="2" t="s">
        <v>50</v>
      </c>
      <c r="B3194" s="14">
        <v>39203</v>
      </c>
      <c r="C3194" s="2">
        <v>0.30917986851000001</v>
      </c>
      <c r="D3194" s="2">
        <v>-3.6656442000000001E-3</v>
      </c>
      <c r="E3194" s="2">
        <v>1</v>
      </c>
      <c r="F3194" s="2">
        <v>1.48362309385474E-2</v>
      </c>
      <c r="G3194" s="2">
        <v>1</v>
      </c>
    </row>
    <row r="3195" spans="1:7" x14ac:dyDescent="0.2">
      <c r="A3195" s="2" t="s">
        <v>50</v>
      </c>
      <c r="B3195" s="14">
        <v>39234</v>
      </c>
      <c r="C3195" s="2">
        <v>4.7310314167000003E-2</v>
      </c>
      <c r="D3195" s="2">
        <v>2.9141103999999999E-4</v>
      </c>
      <c r="E3195" s="2">
        <v>1</v>
      </c>
      <c r="F3195" s="2">
        <v>2.0902028431429898E-2</v>
      </c>
      <c r="G3195" s="2">
        <v>1</v>
      </c>
    </row>
    <row r="3196" spans="1:7" x14ac:dyDescent="0.2">
      <c r="A3196" s="2" t="s">
        <v>50</v>
      </c>
      <c r="B3196" s="14">
        <v>39264</v>
      </c>
      <c r="C3196" s="2">
        <v>-2.0481799852E-2</v>
      </c>
      <c r="D3196" s="2">
        <v>-1.6878288E-3</v>
      </c>
      <c r="E3196" s="2">
        <v>1</v>
      </c>
      <c r="F3196" s="2">
        <v>2.1207002628561501E-2</v>
      </c>
      <c r="G3196" s="2">
        <v>1</v>
      </c>
    </row>
    <row r="3197" spans="1:7" x14ac:dyDescent="0.2">
      <c r="A3197" s="2" t="s">
        <v>50</v>
      </c>
      <c r="B3197" s="14">
        <v>39295</v>
      </c>
      <c r="C3197" s="2">
        <v>-6.8183459732999996E-2</v>
      </c>
      <c r="D3197" s="2">
        <v>2.1273883000000001E-3</v>
      </c>
      <c r="E3197" s="2">
        <v>1</v>
      </c>
      <c r="F3197" s="2">
        <v>1.8596172514498001E-2</v>
      </c>
      <c r="G3197" s="2">
        <v>1</v>
      </c>
    </row>
    <row r="3198" spans="1:7" x14ac:dyDescent="0.2">
      <c r="A3198" s="2" t="s">
        <v>50</v>
      </c>
      <c r="B3198" s="14">
        <v>39326</v>
      </c>
      <c r="C3198" s="2">
        <v>2.6742113005E-3</v>
      </c>
      <c r="D3198" s="2">
        <v>-1.0736196E-4</v>
      </c>
      <c r="E3198" s="2">
        <v>1</v>
      </c>
      <c r="F3198" s="2">
        <v>2.01139193661065E-2</v>
      </c>
      <c r="G3198" s="2">
        <v>1</v>
      </c>
    </row>
    <row r="3199" spans="1:7" x14ac:dyDescent="0.2">
      <c r="A3199" s="2" t="s">
        <v>50</v>
      </c>
      <c r="B3199" s="14">
        <v>39356</v>
      </c>
      <c r="C3199" s="2">
        <v>0.16064319122000001</v>
      </c>
      <c r="D3199" s="2">
        <v>1.001275E-3</v>
      </c>
      <c r="E3199" s="2">
        <v>1</v>
      </c>
      <c r="F3199" s="2">
        <v>1.7367481164984599E-2</v>
      </c>
      <c r="G3199" s="2">
        <v>1</v>
      </c>
    </row>
    <row r="3200" spans="1:7" x14ac:dyDescent="0.2">
      <c r="A3200" s="2" t="s">
        <v>50</v>
      </c>
      <c r="B3200" s="14">
        <v>39387</v>
      </c>
      <c r="C3200" s="2">
        <v>-5.7394238904E-2</v>
      </c>
      <c r="D3200" s="2">
        <v>-5.8119306000000001E-3</v>
      </c>
      <c r="E3200" s="2">
        <v>1</v>
      </c>
      <c r="F3200" s="2">
        <v>1.8450039749167198E-2</v>
      </c>
      <c r="G3200" s="2">
        <v>1</v>
      </c>
    </row>
    <row r="3201" spans="1:7" x14ac:dyDescent="0.2">
      <c r="A3201" s="2" t="s">
        <v>50</v>
      </c>
      <c r="B3201" s="14">
        <v>39417</v>
      </c>
      <c r="C3201" s="2">
        <v>-7.4661921707999998E-2</v>
      </c>
      <c r="D3201" s="2">
        <v>8.0903590000000003E-4</v>
      </c>
      <c r="E3201" s="2">
        <v>1</v>
      </c>
      <c r="F3201" s="2">
        <v>8.0864232312762001E-3</v>
      </c>
      <c r="G3201" s="2">
        <v>1</v>
      </c>
    </row>
    <row r="3202" spans="1:7" x14ac:dyDescent="0.2">
      <c r="A3202" s="2" t="s">
        <v>50</v>
      </c>
      <c r="B3202" s="14">
        <v>39448</v>
      </c>
      <c r="C3202" s="2">
        <v>-0.13879701560999999</v>
      </c>
      <c r="D3202" s="2">
        <v>6.2007820000000002E-3</v>
      </c>
      <c r="E3202" s="2">
        <v>1</v>
      </c>
      <c r="F3202" s="2">
        <v>4.8366094301111502E-3</v>
      </c>
      <c r="G3202" s="2">
        <v>1</v>
      </c>
    </row>
    <row r="3203" spans="1:7" x14ac:dyDescent="0.2">
      <c r="A3203" s="2" t="s">
        <v>50</v>
      </c>
      <c r="B3203" s="14">
        <v>39479</v>
      </c>
      <c r="C3203" s="2">
        <v>-8.3361572199999998E-2</v>
      </c>
      <c r="D3203" s="2">
        <v>5.2498216000000002E-3</v>
      </c>
      <c r="E3203" s="2">
        <v>1</v>
      </c>
      <c r="F3203" s="2">
        <v>1.9491746151195899E-3</v>
      </c>
      <c r="G3203" s="2">
        <v>1</v>
      </c>
    </row>
    <row r="3204" spans="1:7" x14ac:dyDescent="0.2">
      <c r="A3204" s="2" t="s">
        <v>50</v>
      </c>
      <c r="B3204" s="14">
        <v>39508</v>
      </c>
      <c r="C3204" s="2">
        <v>-0.109558715</v>
      </c>
      <c r="D3204" s="2">
        <v>2.3414045999999998E-3</v>
      </c>
      <c r="E3204" s="2">
        <v>1</v>
      </c>
      <c r="F3204" s="2">
        <v>1.6865563325970301E-3</v>
      </c>
      <c r="G3204" s="2">
        <v>1</v>
      </c>
    </row>
    <row r="3205" spans="1:7" x14ac:dyDescent="0.2">
      <c r="A3205" s="2" t="s">
        <v>50</v>
      </c>
      <c r="B3205" s="14">
        <v>39539</v>
      </c>
      <c r="C3205" s="2">
        <v>4.9723756904999999E-2</v>
      </c>
      <c r="D3205" s="2">
        <v>1.1800407000000001E-3</v>
      </c>
      <c r="E3205" s="2">
        <v>1</v>
      </c>
      <c r="F3205" s="2">
        <v>-1.2337913824808601E-3</v>
      </c>
      <c r="G3205" s="2">
        <v>1</v>
      </c>
    </row>
    <row r="3206" spans="1:7" x14ac:dyDescent="0.2">
      <c r="A3206" s="2" t="s">
        <v>50</v>
      </c>
      <c r="B3206" s="14">
        <v>39569</v>
      </c>
      <c r="C3206" s="2">
        <v>-4.7046143158999999E-2</v>
      </c>
      <c r="D3206" s="2">
        <v>-2.8941905999999998E-3</v>
      </c>
      <c r="E3206" s="2">
        <v>1</v>
      </c>
      <c r="F3206" s="2">
        <v>-4.6154205654637698E-3</v>
      </c>
      <c r="G3206" s="2">
        <v>1</v>
      </c>
    </row>
    <row r="3207" spans="1:7" x14ac:dyDescent="0.2">
      <c r="A3207" s="2" t="s">
        <v>50</v>
      </c>
      <c r="B3207" s="14">
        <v>39600</v>
      </c>
      <c r="C3207" s="2">
        <v>2.85395141E-2</v>
      </c>
      <c r="D3207" s="2">
        <v>-2.3731478000000002E-3</v>
      </c>
      <c r="E3207" s="2">
        <v>1</v>
      </c>
      <c r="F3207" s="2">
        <v>-5.0162903828158403E-3</v>
      </c>
      <c r="G3207" s="2">
        <v>1</v>
      </c>
    </row>
    <row r="3208" spans="1:7" x14ac:dyDescent="0.2">
      <c r="A3208" s="2" t="s">
        <v>50</v>
      </c>
      <c r="B3208" s="14">
        <v>39630</v>
      </c>
      <c r="C3208" s="2">
        <v>2.6498696786999999E-2</v>
      </c>
      <c r="D3208" s="2">
        <v>2.8106901999999998E-4</v>
      </c>
      <c r="E3208" s="2">
        <v>1</v>
      </c>
      <c r="F3208" s="2">
        <v>-2.1248407060405899E-3</v>
      </c>
      <c r="G3208" s="2">
        <v>1</v>
      </c>
    </row>
    <row r="3209" spans="1:7" x14ac:dyDescent="0.2">
      <c r="A3209" s="2" t="s">
        <v>50</v>
      </c>
      <c r="B3209" s="14">
        <v>39661</v>
      </c>
      <c r="C3209" s="2">
        <v>4.4939737246999997E-2</v>
      </c>
      <c r="D3209" s="2">
        <v>-1.5562700000000001E-4</v>
      </c>
      <c r="E3209" s="2">
        <v>1</v>
      </c>
      <c r="F3209" s="2">
        <v>-2.8160549286541702E-3</v>
      </c>
      <c r="G3209" s="2">
        <v>1</v>
      </c>
    </row>
    <row r="3210" spans="1:7" x14ac:dyDescent="0.2">
      <c r="A3210" s="2" t="s">
        <v>50</v>
      </c>
      <c r="B3210" s="14">
        <v>39692</v>
      </c>
      <c r="C3210" s="2">
        <v>2.4547407180000001E-2</v>
      </c>
      <c r="D3210" s="2">
        <v>-2.3348301E-3</v>
      </c>
      <c r="E3210" s="2">
        <v>1</v>
      </c>
      <c r="F3210" s="2">
        <v>8.3584415037527395E-4</v>
      </c>
      <c r="G3210" s="2">
        <v>1</v>
      </c>
    </row>
    <row r="3211" spans="1:7" x14ac:dyDescent="0.2">
      <c r="A3211" s="2" t="s">
        <v>50</v>
      </c>
      <c r="B3211" s="14">
        <v>39722</v>
      </c>
      <c r="C3211" s="2">
        <v>-5.2660477189E-2</v>
      </c>
      <c r="D3211" s="2">
        <v>-1.1705168E-3</v>
      </c>
      <c r="E3211" s="2">
        <v>1</v>
      </c>
      <c r="F3211" s="2">
        <v>4.6679736892337696E-3</v>
      </c>
      <c r="G3211" s="2">
        <v>1</v>
      </c>
    </row>
    <row r="3212" spans="1:7" x14ac:dyDescent="0.2">
      <c r="A3212" s="2" t="s">
        <v>50</v>
      </c>
      <c r="B3212" s="14">
        <v>39753</v>
      </c>
      <c r="C3212" s="2">
        <v>-1.9969439907000001E-2</v>
      </c>
      <c r="D3212" s="2">
        <v>1.6834232999999999E-4</v>
      </c>
      <c r="E3212" s="2">
        <v>1</v>
      </c>
      <c r="F3212" s="2">
        <v>1.4562357101363401E-3</v>
      </c>
      <c r="G3212" s="2">
        <v>1</v>
      </c>
    </row>
    <row r="3213" spans="1:7" x14ac:dyDescent="0.2">
      <c r="A3213" s="2" t="s">
        <v>50</v>
      </c>
      <c r="B3213" s="14">
        <v>39783</v>
      </c>
      <c r="C3213" s="2">
        <v>0.37747311828000002</v>
      </c>
      <c r="D3213" s="2">
        <v>-3.2486379999999999E-3</v>
      </c>
      <c r="E3213" s="2">
        <v>1</v>
      </c>
      <c r="F3213" s="2">
        <v>2.2766794467873599E-3</v>
      </c>
      <c r="G3213" s="2">
        <v>1</v>
      </c>
    </row>
    <row r="3214" spans="1:7" x14ac:dyDescent="0.2">
      <c r="A3214" s="2" t="s">
        <v>51</v>
      </c>
      <c r="B3214" s="14">
        <v>37591</v>
      </c>
      <c r="C3214" s="2">
        <v>0.19006479481999999</v>
      </c>
      <c r="D3214" s="2">
        <v>1.4730729000000001E-3</v>
      </c>
      <c r="E3214" s="2">
        <v>1</v>
      </c>
      <c r="G3214" s="2">
        <v>1</v>
      </c>
    </row>
    <row r="3215" spans="1:7" x14ac:dyDescent="0.2">
      <c r="A3215" s="2" t="s">
        <v>51</v>
      </c>
      <c r="B3215" s="14">
        <v>37622</v>
      </c>
      <c r="C3215" s="2">
        <v>-8.3484573502999995E-2</v>
      </c>
      <c r="D3215" s="2">
        <v>2.9939488999999999E-4</v>
      </c>
      <c r="E3215" s="2">
        <v>1</v>
      </c>
      <c r="G3215" s="2">
        <v>1</v>
      </c>
    </row>
    <row r="3216" spans="1:7" x14ac:dyDescent="0.2">
      <c r="A3216" s="2" t="s">
        <v>51</v>
      </c>
      <c r="B3216" s="14">
        <v>37653</v>
      </c>
      <c r="C3216" s="2">
        <v>2.9504998840000001E-2</v>
      </c>
      <c r="D3216" s="2">
        <v>1.0588982E-3</v>
      </c>
      <c r="E3216" s="2">
        <v>1</v>
      </c>
      <c r="G3216" s="2">
        <v>1</v>
      </c>
    </row>
    <row r="3217" spans="1:7" x14ac:dyDescent="0.2">
      <c r="A3217" s="2" t="s">
        <v>51</v>
      </c>
      <c r="B3217" s="14">
        <v>37681</v>
      </c>
      <c r="C3217" s="2">
        <v>3.8661232242E-2</v>
      </c>
      <c r="D3217" s="2">
        <v>6.2969333000000005E-4</v>
      </c>
      <c r="E3217" s="2">
        <v>1</v>
      </c>
      <c r="G3217" s="2">
        <v>1</v>
      </c>
    </row>
    <row r="3218" spans="1:7" x14ac:dyDescent="0.2">
      <c r="A3218" s="2" t="s">
        <v>51</v>
      </c>
      <c r="B3218" s="14">
        <v>37712</v>
      </c>
      <c r="C3218" s="2">
        <v>0.25925925925999999</v>
      </c>
      <c r="D3218" s="19">
        <v>-9.0631300000000001E-5</v>
      </c>
      <c r="E3218" s="2">
        <v>1</v>
      </c>
      <c r="G3218" s="2">
        <v>1</v>
      </c>
    </row>
    <row r="3219" spans="1:7" x14ac:dyDescent="0.2">
      <c r="A3219" s="2" t="s">
        <v>51</v>
      </c>
      <c r="B3219" s="14">
        <v>37742</v>
      </c>
      <c r="C3219" s="2">
        <v>4.5158163197000001E-2</v>
      </c>
      <c r="D3219" s="2">
        <v>1.9662151000000001E-4</v>
      </c>
      <c r="E3219" s="2">
        <v>1</v>
      </c>
      <c r="G3219" s="2">
        <v>1</v>
      </c>
    </row>
    <row r="3220" spans="1:7" x14ac:dyDescent="0.2">
      <c r="A3220" s="2" t="s">
        <v>51</v>
      </c>
      <c r="B3220" s="14">
        <v>37773</v>
      </c>
      <c r="C3220" s="2">
        <v>8.5273552761000002E-2</v>
      </c>
      <c r="D3220" s="2">
        <v>6.9583138000000005E-4</v>
      </c>
      <c r="E3220" s="2">
        <v>1</v>
      </c>
      <c r="G3220" s="2">
        <v>1</v>
      </c>
    </row>
    <row r="3221" spans="1:7" x14ac:dyDescent="0.2">
      <c r="A3221" s="2" t="s">
        <v>51</v>
      </c>
      <c r="B3221" s="14">
        <v>37803</v>
      </c>
      <c r="C3221" s="2">
        <v>0.10555411094</v>
      </c>
      <c r="D3221" s="2">
        <v>-2.5798192000000002E-3</v>
      </c>
      <c r="E3221" s="2">
        <v>1</v>
      </c>
      <c r="G3221" s="2">
        <v>1</v>
      </c>
    </row>
    <row r="3222" spans="1:7" x14ac:dyDescent="0.2">
      <c r="A3222" s="2" t="s">
        <v>51</v>
      </c>
      <c r="B3222" s="14">
        <v>37834</v>
      </c>
      <c r="C3222" s="2">
        <v>7.1428571428999998E-2</v>
      </c>
      <c r="D3222" s="2">
        <v>6.0683080999999995E-4</v>
      </c>
      <c r="E3222" s="2">
        <v>1</v>
      </c>
      <c r="F3222" s="2">
        <v>2.3508372596888202E-2</v>
      </c>
      <c r="G3222" s="2">
        <v>1</v>
      </c>
    </row>
    <row r="3223" spans="1:7" x14ac:dyDescent="0.2">
      <c r="A3223" s="2" t="s">
        <v>51</v>
      </c>
      <c r="B3223" s="14">
        <v>37865</v>
      </c>
      <c r="C3223" s="2">
        <v>6.6666666668000002E-2</v>
      </c>
      <c r="D3223" s="2">
        <v>-3.7304565000000002E-4</v>
      </c>
      <c r="E3223" s="2">
        <v>1</v>
      </c>
      <c r="F3223" s="2">
        <v>2.4419044446692299E-2</v>
      </c>
      <c r="G3223" s="2">
        <v>1</v>
      </c>
    </row>
    <row r="3224" spans="1:7" x14ac:dyDescent="0.2">
      <c r="A3224" s="2" t="s">
        <v>51</v>
      </c>
      <c r="B3224" s="14">
        <v>37895</v>
      </c>
      <c r="C3224" s="2">
        <v>0.16666666666999999</v>
      </c>
      <c r="D3224" s="2">
        <v>-2.0862754999999999E-4</v>
      </c>
      <c r="E3224" s="2">
        <v>1</v>
      </c>
      <c r="F3224" s="2">
        <v>2.49655573084475E-2</v>
      </c>
      <c r="G3224" s="2">
        <v>1</v>
      </c>
    </row>
    <row r="3225" spans="1:7" x14ac:dyDescent="0.2">
      <c r="A3225" s="2" t="s">
        <v>51</v>
      </c>
      <c r="B3225" s="14">
        <v>37926</v>
      </c>
      <c r="C3225" s="2">
        <v>-8.9285714284999998E-2</v>
      </c>
      <c r="D3225" s="2">
        <v>-5.2358641000000003E-4</v>
      </c>
      <c r="E3225" s="2">
        <v>1</v>
      </c>
      <c r="F3225" s="2">
        <v>2.1509678927376499E-2</v>
      </c>
      <c r="G3225" s="2">
        <v>1</v>
      </c>
    </row>
    <row r="3226" spans="1:7" x14ac:dyDescent="0.2">
      <c r="A3226" s="2" t="s">
        <v>51</v>
      </c>
      <c r="B3226" s="14">
        <v>37956</v>
      </c>
      <c r="C3226" s="2">
        <v>3.3477085849999998E-2</v>
      </c>
      <c r="D3226" s="2">
        <v>-3.7739233999999999E-4</v>
      </c>
      <c r="E3226" s="2">
        <v>1</v>
      </c>
      <c r="F3226" s="2">
        <v>1.8011699583776599E-2</v>
      </c>
      <c r="G3226" s="2">
        <v>1</v>
      </c>
    </row>
    <row r="3227" spans="1:7" x14ac:dyDescent="0.2">
      <c r="A3227" s="2" t="s">
        <v>51</v>
      </c>
      <c r="B3227" s="14">
        <v>37987</v>
      </c>
      <c r="C3227" s="2">
        <v>-3.6259541984999998E-2</v>
      </c>
      <c r="E3227" s="2">
        <v>1</v>
      </c>
      <c r="F3227" s="2">
        <v>1.63744626308483E-2</v>
      </c>
      <c r="G3227" s="2">
        <v>1</v>
      </c>
    </row>
    <row r="3228" spans="1:7" x14ac:dyDescent="0.2">
      <c r="A3228" s="2" t="s">
        <v>51</v>
      </c>
      <c r="B3228" s="14">
        <v>38018</v>
      </c>
      <c r="C3228" s="2">
        <v>0.20792079208</v>
      </c>
      <c r="E3228" s="2">
        <v>1</v>
      </c>
      <c r="F3228" s="2">
        <v>1.2254289100603E-2</v>
      </c>
      <c r="G3228" s="2">
        <v>1</v>
      </c>
    </row>
    <row r="3229" spans="1:7" x14ac:dyDescent="0.2">
      <c r="A3229" s="2" t="s">
        <v>51</v>
      </c>
      <c r="B3229" s="14">
        <v>38047</v>
      </c>
      <c r="C3229" s="2">
        <v>-2.8688524590999999E-2</v>
      </c>
      <c r="D3229" s="2">
        <v>1.7387148E-3</v>
      </c>
      <c r="E3229" s="2">
        <v>1</v>
      </c>
      <c r="F3229" s="2">
        <v>1.5919748000200299E-2</v>
      </c>
      <c r="G3229" s="2">
        <v>1</v>
      </c>
    </row>
    <row r="3230" spans="1:7" x14ac:dyDescent="0.2">
      <c r="A3230" s="2" t="s">
        <v>51</v>
      </c>
      <c r="B3230" s="14">
        <v>38078</v>
      </c>
      <c r="C3230" s="2">
        <v>-3.7974683544E-2</v>
      </c>
      <c r="D3230" s="2">
        <v>8.3810877000000002E-4</v>
      </c>
      <c r="E3230" s="2">
        <v>1</v>
      </c>
      <c r="F3230" s="2">
        <v>1.33137897056261E-2</v>
      </c>
      <c r="G3230" s="2">
        <v>1</v>
      </c>
    </row>
    <row r="3231" spans="1:7" x14ac:dyDescent="0.2">
      <c r="A3231" s="2" t="s">
        <v>51</v>
      </c>
      <c r="B3231" s="14">
        <v>38108</v>
      </c>
      <c r="C3231" s="2">
        <v>5.4209585625000001E-2</v>
      </c>
      <c r="D3231" s="2">
        <v>2.6371166999999999E-3</v>
      </c>
      <c r="E3231" s="2">
        <v>1</v>
      </c>
      <c r="F3231" s="2">
        <v>7.2272268722600201E-3</v>
      </c>
      <c r="G3231" s="2">
        <v>1</v>
      </c>
    </row>
    <row r="3232" spans="1:7" x14ac:dyDescent="0.2">
      <c r="A3232" s="2" t="s">
        <v>51</v>
      </c>
      <c r="B3232" s="14">
        <v>38139</v>
      </c>
      <c r="C3232" s="2">
        <v>4.2349382403999998E-2</v>
      </c>
      <c r="D3232" s="2">
        <v>1.2250633000000001E-3</v>
      </c>
      <c r="E3232" s="2">
        <v>1</v>
      </c>
      <c r="F3232" s="2">
        <v>1.12750946897726E-2</v>
      </c>
      <c r="G3232" s="2">
        <v>1</v>
      </c>
    </row>
    <row r="3233" spans="1:7" x14ac:dyDescent="0.2">
      <c r="A3233" s="2" t="s">
        <v>51</v>
      </c>
      <c r="B3233" s="14">
        <v>38169</v>
      </c>
      <c r="C3233" s="2">
        <v>0.16880290206000001</v>
      </c>
      <c r="D3233" s="2">
        <v>7.6068979000000004E-4</v>
      </c>
      <c r="E3233" s="2">
        <v>1</v>
      </c>
      <c r="F3233" s="2">
        <v>1.1423935733925699E-2</v>
      </c>
      <c r="G3233" s="2">
        <v>1</v>
      </c>
    </row>
    <row r="3234" spans="1:7" x14ac:dyDescent="0.2">
      <c r="A3234" s="2" t="s">
        <v>51</v>
      </c>
      <c r="B3234" s="14">
        <v>38200</v>
      </c>
      <c r="C3234" s="2">
        <v>-4.1313194014E-2</v>
      </c>
      <c r="D3234" s="2">
        <v>-1.430608E-4</v>
      </c>
      <c r="E3234" s="2">
        <v>1</v>
      </c>
      <c r="F3234" s="2">
        <v>1.1601857955864299E-2</v>
      </c>
      <c r="G3234" s="2">
        <v>1</v>
      </c>
    </row>
    <row r="3235" spans="1:7" x14ac:dyDescent="0.2">
      <c r="A3235" s="2" t="s">
        <v>51</v>
      </c>
      <c r="B3235" s="14">
        <v>38231</v>
      </c>
      <c r="C3235" s="2">
        <v>-5.6258992803999999E-2</v>
      </c>
      <c r="D3235" s="2">
        <v>1.2307428E-3</v>
      </c>
      <c r="E3235" s="2">
        <v>1</v>
      </c>
      <c r="F3235" s="2">
        <v>4.5620796584056201E-3</v>
      </c>
      <c r="G3235" s="2">
        <v>1</v>
      </c>
    </row>
    <row r="3236" spans="1:7" x14ac:dyDescent="0.2">
      <c r="A3236" s="2" t="s">
        <v>51</v>
      </c>
      <c r="B3236" s="14">
        <v>38261</v>
      </c>
      <c r="C3236" s="2">
        <v>4.5128830613999998E-2</v>
      </c>
      <c r="D3236" s="2">
        <v>2.4404455000000001E-4</v>
      </c>
      <c r="E3236" s="2">
        <v>1</v>
      </c>
      <c r="F3236" s="2">
        <v>3.96544737669391E-3</v>
      </c>
      <c r="G3236" s="2">
        <v>1</v>
      </c>
    </row>
    <row r="3237" spans="1:7" x14ac:dyDescent="0.2">
      <c r="A3237" s="2" t="s">
        <v>51</v>
      </c>
      <c r="B3237" s="14">
        <v>38292</v>
      </c>
      <c r="C3237" s="2">
        <v>3.521614696E-2</v>
      </c>
      <c r="D3237" s="2">
        <v>7.8507326999999996E-4</v>
      </c>
      <c r="E3237" s="2">
        <v>1</v>
      </c>
      <c r="F3237" s="2">
        <v>6.0941532504772697E-3</v>
      </c>
      <c r="G3237" s="2">
        <v>1</v>
      </c>
    </row>
    <row r="3238" spans="1:7" x14ac:dyDescent="0.2">
      <c r="A3238" s="2" t="s">
        <v>51</v>
      </c>
      <c r="B3238" s="14">
        <v>38322</v>
      </c>
      <c r="C3238" s="2">
        <v>-4.4143697300999998E-2</v>
      </c>
      <c r="D3238" s="19">
        <v>4.6564623000000001E-5</v>
      </c>
      <c r="E3238" s="2">
        <v>1</v>
      </c>
      <c r="F3238" s="2">
        <v>5.3478574841921396E-3</v>
      </c>
      <c r="G3238" s="2">
        <v>1</v>
      </c>
    </row>
    <row r="3239" spans="1:7" x14ac:dyDescent="0.2">
      <c r="A3239" s="2" t="s">
        <v>51</v>
      </c>
      <c r="B3239" s="14">
        <v>38353</v>
      </c>
      <c r="C3239" s="2">
        <v>-4.3736100814999998E-2</v>
      </c>
      <c r="D3239" s="2">
        <v>3.8901999E-4</v>
      </c>
      <c r="E3239" s="2">
        <v>1</v>
      </c>
      <c r="F3239" s="2">
        <v>3.0050961284142298E-3</v>
      </c>
      <c r="G3239" s="2">
        <v>1</v>
      </c>
    </row>
    <row r="3240" spans="1:7" x14ac:dyDescent="0.2">
      <c r="A3240" s="2" t="s">
        <v>51</v>
      </c>
      <c r="B3240" s="14">
        <v>38384</v>
      </c>
      <c r="C3240" s="2">
        <v>3.8759689923999999E-3</v>
      </c>
      <c r="D3240" s="2">
        <v>-1.0242391E-4</v>
      </c>
      <c r="E3240" s="2">
        <v>1</v>
      </c>
      <c r="F3240" s="2">
        <v>-3.0239631689424401E-3</v>
      </c>
      <c r="G3240" s="2">
        <v>1</v>
      </c>
    </row>
    <row r="3241" spans="1:7" x14ac:dyDescent="0.2">
      <c r="A3241" s="2" t="s">
        <v>51</v>
      </c>
      <c r="B3241" s="14">
        <v>38412</v>
      </c>
      <c r="C3241" s="2">
        <v>-1.1505791506E-2</v>
      </c>
      <c r="D3241" s="2">
        <v>-1.402098E-4</v>
      </c>
      <c r="E3241" s="2">
        <v>1</v>
      </c>
      <c r="F3241" s="2">
        <v>-2.13518687485584E-3</v>
      </c>
      <c r="G3241" s="2">
        <v>1</v>
      </c>
    </row>
    <row r="3242" spans="1:7" x14ac:dyDescent="0.2">
      <c r="A3242" s="2" t="s">
        <v>51</v>
      </c>
      <c r="B3242" s="14">
        <v>38443</v>
      </c>
      <c r="C3242" s="2">
        <v>-4.2262323256000003E-2</v>
      </c>
      <c r="D3242" s="2">
        <v>2.5025706000000002E-4</v>
      </c>
      <c r="E3242" s="2">
        <v>1</v>
      </c>
      <c r="F3242" s="2">
        <v>-8.2896913550283404E-4</v>
      </c>
      <c r="G3242" s="2">
        <v>1</v>
      </c>
    </row>
    <row r="3243" spans="1:7" x14ac:dyDescent="0.2">
      <c r="A3243" s="2" t="s">
        <v>51</v>
      </c>
      <c r="B3243" s="14">
        <v>38473</v>
      </c>
      <c r="C3243" s="2">
        <v>1.9059405939999999E-2</v>
      </c>
      <c r="D3243" s="19">
        <v>9.8329569000000003E-5</v>
      </c>
      <c r="E3243" s="2">
        <v>1</v>
      </c>
      <c r="F3243" s="2">
        <v>-3.2499334672135599E-3</v>
      </c>
      <c r="G3243" s="2">
        <v>1</v>
      </c>
    </row>
    <row r="3244" spans="1:7" x14ac:dyDescent="0.2">
      <c r="A3244" s="2" t="s">
        <v>51</v>
      </c>
      <c r="B3244" s="14">
        <v>38504</v>
      </c>
      <c r="C3244" s="2">
        <v>8.8980649339999995E-2</v>
      </c>
      <c r="D3244" s="2">
        <v>3.1117679000000002E-4</v>
      </c>
      <c r="E3244" s="2">
        <v>1</v>
      </c>
      <c r="F3244" s="2">
        <v>-3.7605560083430098E-3</v>
      </c>
      <c r="G3244" s="2">
        <v>1</v>
      </c>
    </row>
    <row r="3245" spans="1:7" x14ac:dyDescent="0.2">
      <c r="A3245" s="2" t="s">
        <v>51</v>
      </c>
      <c r="B3245" s="14">
        <v>38534</v>
      </c>
      <c r="C3245" s="2">
        <v>8.5991104016999997E-2</v>
      </c>
      <c r="D3245" s="2">
        <v>1.7658986000000001E-4</v>
      </c>
      <c r="E3245" s="2">
        <v>1</v>
      </c>
      <c r="F3245" s="19">
        <v>-3.8424191861802897E-5</v>
      </c>
      <c r="G3245" s="2">
        <v>1</v>
      </c>
    </row>
    <row r="3246" spans="1:7" x14ac:dyDescent="0.2">
      <c r="A3246" s="2" t="s">
        <v>51</v>
      </c>
      <c r="B3246" s="14">
        <v>38565</v>
      </c>
      <c r="C3246" s="2">
        <v>-6.1502636804999997E-2</v>
      </c>
      <c r="D3246" s="2">
        <v>3.1688227E-4</v>
      </c>
      <c r="E3246" s="2">
        <v>1</v>
      </c>
      <c r="F3246" s="2">
        <v>2.8114996045668398E-4</v>
      </c>
      <c r="G3246" s="2">
        <v>1</v>
      </c>
    </row>
    <row r="3247" spans="1:7" x14ac:dyDescent="0.2">
      <c r="A3247" s="2" t="s">
        <v>51</v>
      </c>
      <c r="B3247" s="14">
        <v>38596</v>
      </c>
      <c r="C3247" s="2">
        <v>6.6189885424999997E-2</v>
      </c>
      <c r="D3247" s="2">
        <v>5.8921380000000005E-4</v>
      </c>
      <c r="E3247" s="2">
        <v>1</v>
      </c>
      <c r="F3247" s="2">
        <v>-1.42816643261201E-3</v>
      </c>
      <c r="G3247" s="2">
        <v>1</v>
      </c>
    </row>
    <row r="3248" spans="1:7" x14ac:dyDescent="0.2">
      <c r="A3248" s="2" t="s">
        <v>51</v>
      </c>
      <c r="B3248" s="14">
        <v>38626</v>
      </c>
      <c r="C3248" s="2">
        <v>-8.2819986309999996E-2</v>
      </c>
      <c r="D3248" s="2">
        <v>6.4258545000000003E-4</v>
      </c>
      <c r="E3248" s="2">
        <v>1</v>
      </c>
      <c r="F3248" s="2">
        <v>6.6405237304007902E-4</v>
      </c>
      <c r="G3248" s="2">
        <v>1</v>
      </c>
    </row>
    <row r="3249" spans="1:7" x14ac:dyDescent="0.2">
      <c r="A3249" s="2" t="s">
        <v>51</v>
      </c>
      <c r="B3249" s="14">
        <v>38657</v>
      </c>
      <c r="C3249" s="2">
        <v>2.2499443083E-2</v>
      </c>
      <c r="D3249" s="2">
        <v>-2.2425402000000001E-4</v>
      </c>
      <c r="E3249" s="2">
        <v>1</v>
      </c>
      <c r="F3249" s="2">
        <v>-2.1245305724190599E-4</v>
      </c>
      <c r="G3249" s="2">
        <v>1</v>
      </c>
    </row>
    <row r="3250" spans="1:7" x14ac:dyDescent="0.2">
      <c r="A3250" s="2" t="s">
        <v>51</v>
      </c>
      <c r="B3250" s="14">
        <v>38687</v>
      </c>
      <c r="C3250" s="2">
        <v>3.6764705880999997E-2</v>
      </c>
      <c r="D3250" s="2">
        <v>6.2587776000000005E-4</v>
      </c>
      <c r="E3250" s="2">
        <v>1</v>
      </c>
      <c r="F3250" s="2">
        <v>-1.5728366240750301E-4</v>
      </c>
      <c r="G3250" s="2">
        <v>1</v>
      </c>
    </row>
    <row r="3251" spans="1:7" x14ac:dyDescent="0.2">
      <c r="A3251" s="2" t="s">
        <v>51</v>
      </c>
      <c r="B3251" s="14">
        <v>38718</v>
      </c>
      <c r="C3251" s="2">
        <v>-2.1276595735000002E-3</v>
      </c>
      <c r="D3251" s="2">
        <v>8.9415348999999996E-4</v>
      </c>
      <c r="E3251" s="2">
        <v>1</v>
      </c>
      <c r="F3251" s="2">
        <v>-1.7650208274838501E-3</v>
      </c>
      <c r="G3251" s="2">
        <v>1</v>
      </c>
    </row>
    <row r="3252" spans="1:7" x14ac:dyDescent="0.2">
      <c r="A3252" s="2" t="s">
        <v>51</v>
      </c>
      <c r="B3252" s="14">
        <v>38749</v>
      </c>
      <c r="C3252" s="2">
        <v>7.8535891969000002E-2</v>
      </c>
      <c r="D3252" s="2">
        <v>5.1571644000000002E-4</v>
      </c>
      <c r="E3252" s="2">
        <v>1</v>
      </c>
      <c r="F3252" s="2">
        <v>-4.3457959676038603E-3</v>
      </c>
      <c r="G3252" s="2">
        <v>1</v>
      </c>
    </row>
    <row r="3253" spans="1:7" x14ac:dyDescent="0.2">
      <c r="A3253" s="2" t="s">
        <v>51</v>
      </c>
      <c r="B3253" s="14">
        <v>38777</v>
      </c>
      <c r="C3253" s="2">
        <v>6.3986820427000005E-2</v>
      </c>
      <c r="D3253" s="2">
        <v>-1.1134909000000001E-3</v>
      </c>
      <c r="E3253" s="2">
        <v>1</v>
      </c>
      <c r="F3253" s="2">
        <v>-4.0947082112494402E-4</v>
      </c>
      <c r="G3253" s="2">
        <v>1</v>
      </c>
    </row>
    <row r="3254" spans="1:7" x14ac:dyDescent="0.2">
      <c r="A3254" s="2" t="s">
        <v>51</v>
      </c>
      <c r="B3254" s="14">
        <v>38808</v>
      </c>
      <c r="C3254" s="2">
        <v>5.289235724E-2</v>
      </c>
      <c r="D3254" s="19">
        <v>5.9857712999999997E-5</v>
      </c>
      <c r="E3254" s="2">
        <v>1</v>
      </c>
      <c r="F3254" s="2">
        <v>-5.9973709778424601E-4</v>
      </c>
      <c r="G3254" s="2">
        <v>1</v>
      </c>
    </row>
    <row r="3255" spans="1:7" x14ac:dyDescent="0.2">
      <c r="A3255" s="2" t="s">
        <v>51</v>
      </c>
      <c r="B3255" s="14">
        <v>38838</v>
      </c>
      <c r="C3255" s="2">
        <v>-6.9560047562000002E-2</v>
      </c>
      <c r="D3255" s="2">
        <v>2.6560149999999997E-4</v>
      </c>
      <c r="E3255" s="2">
        <v>1</v>
      </c>
      <c r="F3255" s="2">
        <v>3.1433998973181502E-3</v>
      </c>
      <c r="G3255" s="2">
        <v>1</v>
      </c>
    </row>
    <row r="3256" spans="1:7" x14ac:dyDescent="0.2">
      <c r="A3256" s="2" t="s">
        <v>51</v>
      </c>
      <c r="B3256" s="14">
        <v>38869</v>
      </c>
      <c r="C3256" s="2">
        <v>5.1118210864000001E-2</v>
      </c>
      <c r="D3256" s="2">
        <v>-3.9265924999999999E-4</v>
      </c>
      <c r="E3256" s="2">
        <v>1</v>
      </c>
      <c r="F3256" s="2">
        <v>8.0481484342885697E-4</v>
      </c>
      <c r="G3256" s="2">
        <v>1</v>
      </c>
    </row>
    <row r="3257" spans="1:7" x14ac:dyDescent="0.2">
      <c r="A3257" s="2" t="s">
        <v>51</v>
      </c>
      <c r="B3257" s="14">
        <v>38899</v>
      </c>
      <c r="C3257" s="2">
        <v>-9.1185410338000001E-3</v>
      </c>
      <c r="D3257" s="2">
        <v>3.3062233999999998E-4</v>
      </c>
      <c r="E3257" s="2">
        <v>1</v>
      </c>
      <c r="F3257" s="2">
        <v>1.0554843405635799E-3</v>
      </c>
      <c r="G3257" s="2">
        <v>1</v>
      </c>
    </row>
    <row r="3258" spans="1:7" x14ac:dyDescent="0.2">
      <c r="A3258" s="2" t="s">
        <v>51</v>
      </c>
      <c r="B3258" s="14">
        <v>38930</v>
      </c>
      <c r="C3258" s="2">
        <v>-4.1595092023999997E-2</v>
      </c>
      <c r="D3258" s="2">
        <v>-9.3827861999999998E-4</v>
      </c>
      <c r="E3258" s="2">
        <v>1</v>
      </c>
      <c r="F3258" s="2">
        <v>2.4430915396308501E-3</v>
      </c>
      <c r="G3258" s="2">
        <v>1</v>
      </c>
    </row>
    <row r="3259" spans="1:7" x14ac:dyDescent="0.2">
      <c r="A3259" s="2" t="s">
        <v>51</v>
      </c>
      <c r="B3259" s="14">
        <v>38961</v>
      </c>
      <c r="C3259" s="2">
        <v>5.6202790936000002E-2</v>
      </c>
      <c r="D3259" s="2">
        <v>1.1053097999999999E-3</v>
      </c>
      <c r="E3259" s="2">
        <v>1</v>
      </c>
      <c r="F3259" s="2">
        <v>-9.7012389428711098E-4</v>
      </c>
      <c r="G3259" s="2">
        <v>1</v>
      </c>
    </row>
    <row r="3260" spans="1:7" x14ac:dyDescent="0.2">
      <c r="A3260" s="2" t="s">
        <v>51</v>
      </c>
      <c r="B3260" s="14">
        <v>38991</v>
      </c>
      <c r="C3260" s="2">
        <v>2.7333333333E-2</v>
      </c>
      <c r="D3260" s="2">
        <v>7.1899691999999997E-4</v>
      </c>
      <c r="E3260" s="2">
        <v>1</v>
      </c>
      <c r="F3260" s="2">
        <v>-1.3343156645429599E-3</v>
      </c>
      <c r="G3260" s="2">
        <v>1</v>
      </c>
    </row>
    <row r="3261" spans="1:7" x14ac:dyDescent="0.2">
      <c r="A3261" s="2" t="s">
        <v>51</v>
      </c>
      <c r="B3261" s="14">
        <v>39022</v>
      </c>
      <c r="C3261" s="2">
        <v>5.1479684407000001E-2</v>
      </c>
      <c r="D3261" s="2">
        <v>-4.9248372999999995E-4</v>
      </c>
      <c r="E3261" s="2">
        <v>1</v>
      </c>
      <c r="F3261" s="2">
        <v>-2.3062735216318499E-3</v>
      </c>
      <c r="G3261" s="2">
        <v>1</v>
      </c>
    </row>
    <row r="3262" spans="1:7" x14ac:dyDescent="0.2">
      <c r="A3262" s="2" t="s">
        <v>51</v>
      </c>
      <c r="B3262" s="14">
        <v>39052</v>
      </c>
      <c r="C3262" s="2">
        <v>5.6214689265999998E-2</v>
      </c>
      <c r="D3262" s="2">
        <v>4.9316341999999997E-4</v>
      </c>
      <c r="E3262" s="2">
        <v>1</v>
      </c>
      <c r="F3262" s="2">
        <v>1.10705173939484E-3</v>
      </c>
      <c r="G3262" s="2">
        <v>1</v>
      </c>
    </row>
    <row r="3263" spans="1:7" x14ac:dyDescent="0.2">
      <c r="A3263" s="2" t="s">
        <v>51</v>
      </c>
      <c r="B3263" s="14">
        <v>39083</v>
      </c>
      <c r="C3263" s="2">
        <v>0.19818133191000001</v>
      </c>
      <c r="D3263" s="2">
        <v>1.6999764000000001E-4</v>
      </c>
      <c r="E3263" s="2">
        <v>1</v>
      </c>
      <c r="F3263" s="2">
        <v>1.14498377288969E-3</v>
      </c>
      <c r="G3263" s="2">
        <v>1</v>
      </c>
    </row>
    <row r="3264" spans="1:7" x14ac:dyDescent="0.2">
      <c r="A3264" s="2" t="s">
        <v>51</v>
      </c>
      <c r="B3264" s="14">
        <v>39114</v>
      </c>
      <c r="C3264" s="2">
        <v>-2.0491071428E-2</v>
      </c>
      <c r="D3264" s="19">
        <v>-4.7792924E-5</v>
      </c>
      <c r="E3264" s="2">
        <v>1</v>
      </c>
      <c r="F3264" s="2">
        <v>7.1045046273513403E-3</v>
      </c>
      <c r="G3264" s="2">
        <v>1</v>
      </c>
    </row>
    <row r="3265" spans="1:7" x14ac:dyDescent="0.2">
      <c r="A3265" s="2" t="s">
        <v>51</v>
      </c>
      <c r="B3265" s="14">
        <v>39142</v>
      </c>
      <c r="C3265" s="2">
        <v>4.8220226971999999E-2</v>
      </c>
      <c r="D3265" s="19">
        <v>3.6220724999999999E-5</v>
      </c>
      <c r="E3265" s="2">
        <v>1</v>
      </c>
      <c r="F3265" s="2">
        <v>7.7858689739375101E-3</v>
      </c>
      <c r="G3265" s="2">
        <v>1</v>
      </c>
    </row>
    <row r="3266" spans="1:7" x14ac:dyDescent="0.2">
      <c r="A3266" s="2" t="s">
        <v>51</v>
      </c>
      <c r="B3266" s="14">
        <v>39173</v>
      </c>
      <c r="C3266" s="2">
        <v>0.12970129136</v>
      </c>
      <c r="D3266" s="2">
        <v>-5.9723120999999996E-4</v>
      </c>
      <c r="E3266" s="2">
        <v>1</v>
      </c>
      <c r="F3266" s="2">
        <v>7.4393908671815702E-3</v>
      </c>
      <c r="G3266" s="2">
        <v>1</v>
      </c>
    </row>
    <row r="3267" spans="1:7" x14ac:dyDescent="0.2">
      <c r="A3267" s="2" t="s">
        <v>51</v>
      </c>
      <c r="B3267" s="14">
        <v>39203</v>
      </c>
      <c r="C3267" s="2">
        <v>-2.1985607019999999E-2</v>
      </c>
      <c r="D3267" s="2">
        <v>-5.2189616999999996E-4</v>
      </c>
      <c r="E3267" s="2">
        <v>1</v>
      </c>
      <c r="F3267" s="2">
        <v>1.0221065728148199E-2</v>
      </c>
      <c r="G3267" s="2">
        <v>1</v>
      </c>
    </row>
    <row r="3268" spans="1:7" x14ac:dyDescent="0.2">
      <c r="A3268" s="2" t="s">
        <v>51</v>
      </c>
      <c r="B3268" s="14">
        <v>39234</v>
      </c>
      <c r="C3268" s="2">
        <v>8.1922499078999997E-2</v>
      </c>
      <c r="D3268" s="2">
        <v>1.1605598E-4</v>
      </c>
      <c r="E3268" s="2">
        <v>1</v>
      </c>
      <c r="F3268" s="2">
        <v>8.0672750805984399E-3</v>
      </c>
      <c r="G3268" s="2">
        <v>1</v>
      </c>
    </row>
    <row r="3269" spans="1:7" x14ac:dyDescent="0.2">
      <c r="A3269" s="2" t="s">
        <v>51</v>
      </c>
      <c r="B3269" s="14">
        <v>39264</v>
      </c>
      <c r="C3269" s="2">
        <v>-1.3835737415E-2</v>
      </c>
      <c r="D3269" s="19">
        <v>-7.4482938000000002E-5</v>
      </c>
      <c r="E3269" s="2">
        <v>1</v>
      </c>
      <c r="F3269" s="2">
        <v>8.6548592565596008E-3</v>
      </c>
      <c r="G3269" s="2">
        <v>1</v>
      </c>
    </row>
    <row r="3270" spans="1:7" x14ac:dyDescent="0.2">
      <c r="A3270" s="2" t="s">
        <v>51</v>
      </c>
      <c r="B3270" s="14">
        <v>39295</v>
      </c>
      <c r="C3270" s="2">
        <v>-6.0150283271999998E-2</v>
      </c>
      <c r="D3270" s="2">
        <v>9.6193234999999999E-4</v>
      </c>
      <c r="E3270" s="2">
        <v>1</v>
      </c>
      <c r="F3270" s="2">
        <v>-5.0855690950119903E-4</v>
      </c>
      <c r="G3270" s="2">
        <v>1</v>
      </c>
    </row>
    <row r="3271" spans="1:7" x14ac:dyDescent="0.2">
      <c r="A3271" s="2" t="s">
        <v>51</v>
      </c>
      <c r="B3271" s="14">
        <v>39326</v>
      </c>
      <c r="C3271" s="2">
        <v>4.8052102775000003E-3</v>
      </c>
      <c r="D3271" s="2">
        <v>-2.9518642000000002E-4</v>
      </c>
      <c r="E3271" s="2">
        <v>1</v>
      </c>
      <c r="F3271" s="2">
        <v>-1.47017674622249E-3</v>
      </c>
      <c r="G3271" s="2">
        <v>1</v>
      </c>
    </row>
    <row r="3272" spans="1:7" x14ac:dyDescent="0.2">
      <c r="A3272" s="2" t="s">
        <v>51</v>
      </c>
      <c r="B3272" s="14">
        <v>39356</v>
      </c>
      <c r="C3272" s="2">
        <v>0.16461149316000001</v>
      </c>
      <c r="D3272" s="2">
        <v>-3.4768184000000003E-4</v>
      </c>
      <c r="E3272" s="2">
        <v>1</v>
      </c>
      <c r="F3272" s="2">
        <v>-2.7210181594626102E-3</v>
      </c>
      <c r="G3272" s="2">
        <v>1</v>
      </c>
    </row>
    <row r="3273" spans="1:7" x14ac:dyDescent="0.2">
      <c r="A3273" s="2" t="s">
        <v>51</v>
      </c>
      <c r="B3273" s="14">
        <v>39387</v>
      </c>
      <c r="C3273" s="2">
        <v>-6.2019144888999997E-2</v>
      </c>
      <c r="D3273" s="2">
        <v>-2.7052631999999999E-3</v>
      </c>
      <c r="E3273" s="2">
        <v>1</v>
      </c>
      <c r="F3273" s="2">
        <v>-1.9051923470827E-3</v>
      </c>
      <c r="G3273" s="2">
        <v>1</v>
      </c>
    </row>
    <row r="3274" spans="1:7" x14ac:dyDescent="0.2">
      <c r="A3274" s="2" t="s">
        <v>51</v>
      </c>
      <c r="B3274" s="14">
        <v>39417</v>
      </c>
      <c r="C3274" s="2">
        <v>-0.11855763977</v>
      </c>
      <c r="D3274" s="2">
        <v>-1.5597617E-3</v>
      </c>
      <c r="E3274" s="2">
        <v>1</v>
      </c>
      <c r="F3274" s="2">
        <v>-2.7802525047795901E-3</v>
      </c>
      <c r="G3274" s="2">
        <v>1</v>
      </c>
    </row>
    <row r="3275" spans="1:7" x14ac:dyDescent="0.2">
      <c r="A3275" s="2" t="s">
        <v>51</v>
      </c>
      <c r="B3275" s="14">
        <v>39448</v>
      </c>
      <c r="C3275" s="2">
        <v>4.6198347107E-2</v>
      </c>
      <c r="D3275" s="2">
        <v>-1.5645425000000001E-3</v>
      </c>
      <c r="E3275" s="2">
        <v>1</v>
      </c>
      <c r="F3275" s="2">
        <v>-8.0725248193826097E-3</v>
      </c>
      <c r="G3275" s="2">
        <v>1</v>
      </c>
    </row>
    <row r="3276" spans="1:7" x14ac:dyDescent="0.2">
      <c r="A3276" s="2" t="s">
        <v>51</v>
      </c>
      <c r="B3276" s="14">
        <v>39479</v>
      </c>
      <c r="C3276" s="2">
        <v>-6.1078095228E-2</v>
      </c>
      <c r="D3276" s="2">
        <v>-2.5017688000000002E-4</v>
      </c>
      <c r="E3276" s="2">
        <v>1</v>
      </c>
      <c r="F3276" s="2">
        <v>-6.73027248382477E-3</v>
      </c>
      <c r="G3276" s="2">
        <v>1</v>
      </c>
    </row>
    <row r="3277" spans="1:7" x14ac:dyDescent="0.2">
      <c r="A3277" s="2" t="s">
        <v>51</v>
      </c>
      <c r="B3277" s="14">
        <v>39508</v>
      </c>
      <c r="C3277" s="2">
        <v>2.2460482269000001E-3</v>
      </c>
      <c r="D3277" s="2">
        <v>-3.0107505E-4</v>
      </c>
      <c r="E3277" s="2">
        <v>1</v>
      </c>
      <c r="F3277" s="2">
        <v>-6.55240203064897E-3</v>
      </c>
      <c r="G3277" s="2">
        <v>1</v>
      </c>
    </row>
    <row r="3278" spans="1:7" x14ac:dyDescent="0.2">
      <c r="A3278" s="2" t="s">
        <v>51</v>
      </c>
      <c r="B3278" s="14">
        <v>39539</v>
      </c>
      <c r="C3278" s="2">
        <v>4.8794926002E-2</v>
      </c>
      <c r="D3278" s="2">
        <v>2.2382186999999999E-4</v>
      </c>
      <c r="E3278" s="2">
        <v>1</v>
      </c>
      <c r="F3278" s="2">
        <v>-6.6459412740518097E-3</v>
      </c>
      <c r="G3278" s="2">
        <v>1</v>
      </c>
    </row>
    <row r="3279" spans="1:7" x14ac:dyDescent="0.2">
      <c r="A3279" s="2" t="s">
        <v>51</v>
      </c>
      <c r="B3279" s="14">
        <v>39569</v>
      </c>
      <c r="C3279" s="2">
        <v>4.7129495244000001E-2</v>
      </c>
      <c r="D3279" s="2">
        <v>-1.7475404E-3</v>
      </c>
      <c r="E3279" s="2">
        <v>1</v>
      </c>
      <c r="F3279" s="2">
        <v>-1.02461413902136E-2</v>
      </c>
      <c r="G3279" s="2">
        <v>1</v>
      </c>
    </row>
    <row r="3280" spans="1:7" x14ac:dyDescent="0.2">
      <c r="A3280" s="2" t="s">
        <v>51</v>
      </c>
      <c r="B3280" s="14">
        <v>39600</v>
      </c>
      <c r="C3280" s="2">
        <v>-0.14773033533999999</v>
      </c>
      <c r="D3280" s="2">
        <v>-1.6843750999999999E-3</v>
      </c>
      <c r="E3280" s="2">
        <v>1</v>
      </c>
      <c r="F3280" s="2">
        <v>-7.18406489644837E-3</v>
      </c>
      <c r="G3280" s="2">
        <v>1</v>
      </c>
    </row>
    <row r="3281" spans="1:7" x14ac:dyDescent="0.2">
      <c r="A3281" s="2" t="s">
        <v>51</v>
      </c>
      <c r="B3281" s="14">
        <v>39630</v>
      </c>
      <c r="C3281" s="2">
        <v>-3.3745934226000002E-2</v>
      </c>
      <c r="D3281" s="2">
        <v>-3.6278370000000001E-4</v>
      </c>
      <c r="E3281" s="2">
        <v>1</v>
      </c>
      <c r="F3281" s="2">
        <v>-7.5191348111164503E-3</v>
      </c>
      <c r="G3281" s="2">
        <v>1</v>
      </c>
    </row>
    <row r="3282" spans="1:7" x14ac:dyDescent="0.2">
      <c r="A3282" s="2" t="s">
        <v>51</v>
      </c>
      <c r="B3282" s="14">
        <v>39661</v>
      </c>
      <c r="C3282" s="2">
        <v>-7.0223011828000004E-2</v>
      </c>
      <c r="D3282" s="2">
        <v>-6.8643212000000001E-4</v>
      </c>
      <c r="E3282" s="2">
        <v>1</v>
      </c>
      <c r="F3282" s="2">
        <v>-1.30030417259526E-2</v>
      </c>
      <c r="G3282" s="2">
        <v>1</v>
      </c>
    </row>
    <row r="3283" spans="1:7" x14ac:dyDescent="0.2">
      <c r="A3283" s="2" t="s">
        <v>51</v>
      </c>
      <c r="B3283" s="14">
        <v>39692</v>
      </c>
      <c r="C3283" s="2">
        <v>-2.8360235328999998E-2</v>
      </c>
      <c r="D3283" s="2">
        <v>-1.0017805E-3</v>
      </c>
      <c r="E3283" s="2">
        <v>1</v>
      </c>
      <c r="F3283" s="2">
        <v>-1.30914198181987E-2</v>
      </c>
      <c r="G3283" s="2">
        <v>1</v>
      </c>
    </row>
    <row r="3284" spans="1:7" x14ac:dyDescent="0.2">
      <c r="A3284" s="2" t="s">
        <v>51</v>
      </c>
      <c r="B3284" s="14">
        <v>39722</v>
      </c>
      <c r="C3284" s="2">
        <v>-8.5131708326000005E-2</v>
      </c>
      <c r="D3284" s="2">
        <v>-3.3140091999999999E-4</v>
      </c>
      <c r="E3284" s="2">
        <v>1</v>
      </c>
      <c r="F3284" s="2">
        <v>-1.3913253152032999E-2</v>
      </c>
      <c r="G3284" s="2">
        <v>1</v>
      </c>
    </row>
    <row r="3285" spans="1:7" x14ac:dyDescent="0.2">
      <c r="A3285" s="2" t="s">
        <v>51</v>
      </c>
      <c r="B3285" s="14">
        <v>39753</v>
      </c>
      <c r="C3285" s="2">
        <v>-0.10052042086</v>
      </c>
      <c r="D3285" s="2">
        <v>4.0831594000000001E-4</v>
      </c>
      <c r="E3285" s="2">
        <v>1</v>
      </c>
      <c r="F3285" s="2">
        <v>-1.7963787069884701E-2</v>
      </c>
      <c r="G3285" s="2">
        <v>1</v>
      </c>
    </row>
    <row r="3286" spans="1:7" x14ac:dyDescent="0.2">
      <c r="A3286" s="2" t="s">
        <v>51</v>
      </c>
      <c r="B3286" s="14">
        <v>39783</v>
      </c>
      <c r="C3286" s="2">
        <v>4.9745299037999999E-2</v>
      </c>
      <c r="D3286" s="2">
        <v>-5.1114713999999997E-4</v>
      </c>
      <c r="E3286" s="2">
        <v>1</v>
      </c>
      <c r="F3286" s="2">
        <v>-2.1947686268189898E-2</v>
      </c>
      <c r="G3286" s="2">
        <v>1</v>
      </c>
    </row>
    <row r="3287" spans="1:7" x14ac:dyDescent="0.2">
      <c r="A3287" s="2" t="s">
        <v>52</v>
      </c>
      <c r="B3287" s="14">
        <v>37591</v>
      </c>
      <c r="C3287" s="2">
        <v>6.4356435643000004E-2</v>
      </c>
      <c r="E3287" s="2">
        <v>1</v>
      </c>
      <c r="G3287" s="2">
        <v>1</v>
      </c>
    </row>
    <row r="3288" spans="1:7" x14ac:dyDescent="0.2">
      <c r="A3288" s="2" t="s">
        <v>52</v>
      </c>
      <c r="B3288" s="14">
        <v>37622</v>
      </c>
      <c r="C3288" s="2">
        <v>-5.1162790699000003E-2</v>
      </c>
      <c r="E3288" s="2">
        <v>1</v>
      </c>
      <c r="G3288" s="2">
        <v>1</v>
      </c>
    </row>
    <row r="3289" spans="1:7" x14ac:dyDescent="0.2">
      <c r="A3289" s="2" t="s">
        <v>52</v>
      </c>
      <c r="B3289" s="14">
        <v>37653</v>
      </c>
      <c r="C3289" s="2">
        <v>-5.7843137253999997E-2</v>
      </c>
      <c r="E3289" s="2">
        <v>1</v>
      </c>
      <c r="G3289" s="2">
        <v>1</v>
      </c>
    </row>
    <row r="3290" spans="1:7" x14ac:dyDescent="0.2">
      <c r="A3290" s="2" t="s">
        <v>52</v>
      </c>
      <c r="B3290" s="14">
        <v>37681</v>
      </c>
      <c r="C3290" s="2">
        <v>-3.2258064516000003E-2</v>
      </c>
      <c r="E3290" s="2">
        <v>1</v>
      </c>
      <c r="G3290" s="2">
        <v>1</v>
      </c>
    </row>
    <row r="3291" spans="1:7" x14ac:dyDescent="0.2">
      <c r="A3291" s="2" t="s">
        <v>52</v>
      </c>
      <c r="B3291" s="14">
        <v>37712</v>
      </c>
      <c r="C3291" s="2">
        <v>0.29032258063999999</v>
      </c>
      <c r="E3291" s="2">
        <v>1</v>
      </c>
      <c r="G3291" s="2">
        <v>1</v>
      </c>
    </row>
    <row r="3292" spans="1:7" x14ac:dyDescent="0.2">
      <c r="A3292" s="2" t="s">
        <v>52</v>
      </c>
      <c r="B3292" s="14">
        <v>37742</v>
      </c>
      <c r="C3292" s="2">
        <v>0.12867296966</v>
      </c>
      <c r="E3292" s="2">
        <v>1</v>
      </c>
      <c r="G3292" s="2">
        <v>1</v>
      </c>
    </row>
    <row r="3293" spans="1:7" x14ac:dyDescent="0.2">
      <c r="A3293" s="2" t="s">
        <v>52</v>
      </c>
      <c r="B3293" s="14">
        <v>37773</v>
      </c>
      <c r="C3293" s="2">
        <v>7.4074074074999996E-2</v>
      </c>
      <c r="E3293" s="2">
        <v>1</v>
      </c>
      <c r="G3293" s="2">
        <v>1</v>
      </c>
    </row>
    <row r="3294" spans="1:7" x14ac:dyDescent="0.2">
      <c r="A3294" s="2" t="s">
        <v>52</v>
      </c>
      <c r="B3294" s="14">
        <v>37803</v>
      </c>
      <c r="C3294" s="2">
        <v>-4.8344810749000003E-2</v>
      </c>
      <c r="E3294" s="2">
        <v>1</v>
      </c>
      <c r="G3294" s="2">
        <v>1</v>
      </c>
    </row>
    <row r="3295" spans="1:7" x14ac:dyDescent="0.2">
      <c r="A3295" s="2" t="s">
        <v>52</v>
      </c>
      <c r="B3295" s="14">
        <v>37834</v>
      </c>
      <c r="C3295" s="2">
        <v>5.7975214570000003E-2</v>
      </c>
      <c r="E3295" s="2">
        <v>1</v>
      </c>
      <c r="F3295" s="2">
        <v>1.7495004875625001E-2</v>
      </c>
      <c r="G3295" s="2">
        <v>1</v>
      </c>
    </row>
    <row r="3296" spans="1:7" x14ac:dyDescent="0.2">
      <c r="A3296" s="2" t="s">
        <v>52</v>
      </c>
      <c r="B3296" s="14">
        <v>37865</v>
      </c>
      <c r="C3296" s="2">
        <v>1.7192941412E-2</v>
      </c>
      <c r="E3296" s="2">
        <v>1</v>
      </c>
      <c r="F3296" s="2">
        <v>2.0533246202207402E-2</v>
      </c>
      <c r="G3296" s="2">
        <v>1</v>
      </c>
    </row>
    <row r="3297" spans="1:7" x14ac:dyDescent="0.2">
      <c r="A3297" s="2" t="s">
        <v>52</v>
      </c>
      <c r="B3297" s="14">
        <v>37895</v>
      </c>
      <c r="C3297" s="2">
        <v>0.17129316181000001</v>
      </c>
      <c r="E3297" s="2">
        <v>1</v>
      </c>
      <c r="F3297" s="2">
        <v>2.1783732878999498E-2</v>
      </c>
      <c r="G3297" s="2">
        <v>1</v>
      </c>
    </row>
    <row r="3298" spans="1:7" x14ac:dyDescent="0.2">
      <c r="A3298" s="2" t="s">
        <v>52</v>
      </c>
      <c r="B3298" s="14">
        <v>37926</v>
      </c>
      <c r="C3298" s="2">
        <v>-4.6242774564999999E-2</v>
      </c>
      <c r="E3298" s="2">
        <v>1</v>
      </c>
      <c r="F3298" s="2">
        <v>1.80166416225571E-2</v>
      </c>
      <c r="G3298" s="2">
        <v>1</v>
      </c>
    </row>
    <row r="3299" spans="1:7" x14ac:dyDescent="0.2">
      <c r="A3299" s="2" t="s">
        <v>52</v>
      </c>
      <c r="B3299" s="14">
        <v>37956</v>
      </c>
      <c r="C3299" s="2">
        <v>0.10303030302000001</v>
      </c>
      <c r="E3299" s="2">
        <v>1</v>
      </c>
      <c r="F3299" s="2">
        <v>1.3039293634408099E-2</v>
      </c>
      <c r="G3299" s="2">
        <v>1</v>
      </c>
    </row>
    <row r="3300" spans="1:7" x14ac:dyDescent="0.2">
      <c r="A3300" s="2" t="s">
        <v>52</v>
      </c>
      <c r="B3300" s="14">
        <v>37987</v>
      </c>
      <c r="C3300" s="2">
        <v>-0.17582417582000001</v>
      </c>
      <c r="E3300" s="2">
        <v>1</v>
      </c>
      <c r="F3300" s="2">
        <v>1.35778059133842E-2</v>
      </c>
      <c r="G3300" s="2">
        <v>1</v>
      </c>
    </row>
    <row r="3301" spans="1:7" x14ac:dyDescent="0.2">
      <c r="A3301" s="2" t="s">
        <v>52</v>
      </c>
      <c r="B3301" s="14">
        <v>38018</v>
      </c>
      <c r="C3301" s="2">
        <v>5.4666666665000002E-2</v>
      </c>
      <c r="E3301" s="2">
        <v>1</v>
      </c>
      <c r="F3301" s="2">
        <v>1.0623747557808601E-2</v>
      </c>
      <c r="G3301" s="2">
        <v>1</v>
      </c>
    </row>
    <row r="3302" spans="1:7" x14ac:dyDescent="0.2">
      <c r="A3302" s="2" t="s">
        <v>52</v>
      </c>
      <c r="B3302" s="14">
        <v>38047</v>
      </c>
      <c r="C3302" s="2">
        <v>-2.0227560049999999E-2</v>
      </c>
      <c r="E3302" s="2">
        <v>1</v>
      </c>
      <c r="F3302" s="2">
        <v>1.03344068134868E-2</v>
      </c>
      <c r="G3302" s="2">
        <v>1</v>
      </c>
    </row>
    <row r="3303" spans="1:7" x14ac:dyDescent="0.2">
      <c r="A3303" s="2" t="s">
        <v>52</v>
      </c>
      <c r="B3303" s="14">
        <v>38078</v>
      </c>
      <c r="C3303" s="2">
        <v>3.2258064514999997E-2</v>
      </c>
      <c r="E3303" s="2">
        <v>1</v>
      </c>
      <c r="F3303" s="2">
        <v>9.2867851566224898E-3</v>
      </c>
      <c r="G3303" s="2">
        <v>1</v>
      </c>
    </row>
    <row r="3304" spans="1:7" x14ac:dyDescent="0.2">
      <c r="A3304" s="2" t="s">
        <v>52</v>
      </c>
      <c r="B3304" s="14">
        <v>38108</v>
      </c>
      <c r="C3304" s="2">
        <v>-2.8830193620999998E-2</v>
      </c>
      <c r="E3304" s="2">
        <v>1</v>
      </c>
      <c r="F3304" s="2">
        <v>4.6961822465028504E-3</v>
      </c>
      <c r="G3304" s="2">
        <v>1</v>
      </c>
    </row>
    <row r="3305" spans="1:7" x14ac:dyDescent="0.2">
      <c r="A3305" s="2" t="s">
        <v>52</v>
      </c>
      <c r="B3305" s="14">
        <v>38139</v>
      </c>
      <c r="C3305" s="2">
        <v>-6.4516129023000001E-3</v>
      </c>
      <c r="E3305" s="2">
        <v>1</v>
      </c>
      <c r="F3305" s="2">
        <v>5.19052480198561E-3</v>
      </c>
      <c r="G3305" s="2">
        <v>1</v>
      </c>
    </row>
    <row r="3306" spans="1:7" x14ac:dyDescent="0.2">
      <c r="A3306" s="2" t="s">
        <v>52</v>
      </c>
      <c r="B3306" s="14">
        <v>38169</v>
      </c>
      <c r="C3306" s="2">
        <v>9.7402597403000002E-2</v>
      </c>
      <c r="E3306" s="2">
        <v>1</v>
      </c>
      <c r="F3306" s="2">
        <v>2.0090751089885299E-3</v>
      </c>
      <c r="G3306" s="2">
        <v>1</v>
      </c>
    </row>
    <row r="3307" spans="1:7" x14ac:dyDescent="0.2">
      <c r="A3307" s="2" t="s">
        <v>52</v>
      </c>
      <c r="B3307" s="14">
        <v>38200</v>
      </c>
      <c r="C3307" s="2">
        <v>5.9171597622000001E-3</v>
      </c>
      <c r="E3307" s="2">
        <v>1</v>
      </c>
      <c r="F3307" s="2">
        <v>-6.3477433781400599E-4</v>
      </c>
      <c r="G3307" s="2">
        <v>1</v>
      </c>
    </row>
    <row r="3308" spans="1:7" x14ac:dyDescent="0.2">
      <c r="A3308" s="2" t="s">
        <v>52</v>
      </c>
      <c r="B3308" s="14">
        <v>38231</v>
      </c>
      <c r="C3308" s="2">
        <v>-4.7204902553999999E-2</v>
      </c>
      <c r="E3308" s="2">
        <v>1</v>
      </c>
      <c r="F3308" s="2">
        <v>-2.06945725465536E-3</v>
      </c>
      <c r="G3308" s="2">
        <v>1</v>
      </c>
    </row>
    <row r="3309" spans="1:7" x14ac:dyDescent="0.2">
      <c r="A3309" s="2" t="s">
        <v>52</v>
      </c>
      <c r="B3309" s="14">
        <v>38261</v>
      </c>
      <c r="C3309" s="2">
        <v>-2.4844720498E-2</v>
      </c>
      <c r="E3309" s="2">
        <v>1</v>
      </c>
      <c r="F3309" s="2">
        <v>-2.6888190435265099E-3</v>
      </c>
      <c r="G3309" s="2">
        <v>1</v>
      </c>
    </row>
    <row r="3310" spans="1:7" x14ac:dyDescent="0.2">
      <c r="A3310" s="2" t="s">
        <v>52</v>
      </c>
      <c r="B3310" s="14">
        <v>38292</v>
      </c>
      <c r="C3310" s="2">
        <v>-2.5477707007E-2</v>
      </c>
      <c r="E3310" s="2">
        <v>1</v>
      </c>
      <c r="F3310" s="2">
        <v>-4.5652010495059502E-3</v>
      </c>
      <c r="G3310" s="2">
        <v>1</v>
      </c>
    </row>
    <row r="3311" spans="1:7" x14ac:dyDescent="0.2">
      <c r="A3311" s="2" t="s">
        <v>52</v>
      </c>
      <c r="B3311" s="14">
        <v>38322</v>
      </c>
      <c r="C3311" s="2">
        <v>-3.9215686274000003E-2</v>
      </c>
      <c r="E3311" s="2">
        <v>1</v>
      </c>
      <c r="F3311" s="2">
        <v>-4.4249185199681899E-3</v>
      </c>
      <c r="G3311" s="2">
        <v>1</v>
      </c>
    </row>
    <row r="3312" spans="1:7" x14ac:dyDescent="0.2">
      <c r="A3312" s="2" t="s">
        <v>52</v>
      </c>
      <c r="B3312" s="14">
        <v>38353</v>
      </c>
      <c r="C3312" s="2">
        <v>3.1292517005999998E-2</v>
      </c>
      <c r="E3312" s="2">
        <v>1</v>
      </c>
      <c r="F3312" s="2">
        <v>-5.4218596300658903E-3</v>
      </c>
      <c r="G3312" s="2">
        <v>1</v>
      </c>
    </row>
    <row r="3313" spans="1:7" x14ac:dyDescent="0.2">
      <c r="A3313" s="2" t="s">
        <v>52</v>
      </c>
      <c r="B3313" s="14">
        <v>38384</v>
      </c>
      <c r="C3313" s="2">
        <v>-2.4406332454E-2</v>
      </c>
      <c r="E3313" s="2">
        <v>1</v>
      </c>
      <c r="F3313" s="2">
        <v>-7.8272997825551693E-3</v>
      </c>
      <c r="G3313" s="2">
        <v>1</v>
      </c>
    </row>
    <row r="3314" spans="1:7" x14ac:dyDescent="0.2">
      <c r="A3314" s="2" t="s">
        <v>52</v>
      </c>
      <c r="B3314" s="14">
        <v>38412</v>
      </c>
      <c r="C3314" s="2">
        <v>4.4624746450000002E-2</v>
      </c>
      <c r="E3314" s="2">
        <v>1</v>
      </c>
      <c r="F3314" s="2">
        <v>-8.6983068215660906E-3</v>
      </c>
      <c r="G3314" s="2">
        <v>1</v>
      </c>
    </row>
    <row r="3315" spans="1:7" x14ac:dyDescent="0.2">
      <c r="A3315" s="2" t="s">
        <v>52</v>
      </c>
      <c r="B3315" s="14">
        <v>38443</v>
      </c>
      <c r="C3315" s="2">
        <v>-1.6181229774000001E-2</v>
      </c>
      <c r="E3315" s="2">
        <v>1</v>
      </c>
      <c r="F3315" s="2">
        <v>-6.1084432563051896E-3</v>
      </c>
      <c r="G3315" s="2">
        <v>1</v>
      </c>
    </row>
    <row r="3316" spans="1:7" x14ac:dyDescent="0.2">
      <c r="A3316" s="2" t="s">
        <v>52</v>
      </c>
      <c r="B3316" s="14">
        <v>38473</v>
      </c>
      <c r="C3316" s="2">
        <v>-8.6070882909999993E-2</v>
      </c>
      <c r="E3316" s="2">
        <v>1</v>
      </c>
      <c r="F3316" s="2">
        <v>-5.8382447921525998E-3</v>
      </c>
      <c r="G3316" s="2">
        <v>1</v>
      </c>
    </row>
    <row r="3317" spans="1:7" x14ac:dyDescent="0.2">
      <c r="A3317" s="2" t="s">
        <v>52</v>
      </c>
      <c r="B3317" s="14">
        <v>38504</v>
      </c>
      <c r="C3317" s="2">
        <v>-1.8772563177999999E-2</v>
      </c>
      <c r="E3317" s="2">
        <v>1</v>
      </c>
      <c r="F3317" s="2">
        <v>-7.2633660514040497E-3</v>
      </c>
      <c r="G3317" s="2">
        <v>1</v>
      </c>
    </row>
    <row r="3318" spans="1:7" x14ac:dyDescent="0.2">
      <c r="A3318" s="2" t="s">
        <v>52</v>
      </c>
      <c r="B3318" s="14">
        <v>38534</v>
      </c>
      <c r="C3318" s="2">
        <v>5.2244297278E-2</v>
      </c>
      <c r="E3318" s="2">
        <v>1</v>
      </c>
      <c r="F3318" s="2">
        <v>-6.62763980508853E-3</v>
      </c>
      <c r="G3318" s="2">
        <v>1</v>
      </c>
    </row>
    <row r="3319" spans="1:7" x14ac:dyDescent="0.2">
      <c r="A3319" s="2" t="s">
        <v>52</v>
      </c>
      <c r="B3319" s="14">
        <v>38565</v>
      </c>
      <c r="C3319" s="2">
        <v>-0.12517482517</v>
      </c>
      <c r="E3319" s="2">
        <v>1</v>
      </c>
      <c r="F3319" s="2">
        <v>-1.0058466559939401E-3</v>
      </c>
      <c r="G3319" s="2">
        <v>1</v>
      </c>
    </row>
    <row r="3320" spans="1:7" x14ac:dyDescent="0.2">
      <c r="A3320" s="2" t="s">
        <v>52</v>
      </c>
      <c r="B3320" s="14">
        <v>38596</v>
      </c>
      <c r="C3320" s="2">
        <v>3.9168665067000001E-2</v>
      </c>
      <c r="E3320" s="2">
        <v>1</v>
      </c>
      <c r="F3320" s="2">
        <v>-3.4073178734317501E-3</v>
      </c>
      <c r="G3320" s="2">
        <v>1</v>
      </c>
    </row>
    <row r="3321" spans="1:7" x14ac:dyDescent="0.2">
      <c r="A3321" s="2" t="s">
        <v>52</v>
      </c>
      <c r="B3321" s="14">
        <v>38626</v>
      </c>
      <c r="C3321" s="2">
        <v>-0.11384615384000001</v>
      </c>
      <c r="E3321" s="2">
        <v>1</v>
      </c>
      <c r="F3321" s="2">
        <v>-3.6081662906527001E-3</v>
      </c>
      <c r="G3321" s="2">
        <v>1</v>
      </c>
    </row>
    <row r="3322" spans="1:7" x14ac:dyDescent="0.2">
      <c r="A3322" s="2" t="s">
        <v>52</v>
      </c>
      <c r="B3322" s="14">
        <v>38657</v>
      </c>
      <c r="C3322" s="2">
        <v>0</v>
      </c>
      <c r="E3322" s="2">
        <v>1</v>
      </c>
      <c r="F3322" s="2">
        <v>-6.0225195109436898E-3</v>
      </c>
      <c r="G3322" s="2">
        <v>1</v>
      </c>
    </row>
    <row r="3323" spans="1:7" x14ac:dyDescent="0.2">
      <c r="A3323" s="2" t="s">
        <v>52</v>
      </c>
      <c r="B3323" s="14">
        <v>38687</v>
      </c>
      <c r="C3323" s="2">
        <v>1.5625E-2</v>
      </c>
      <c r="E3323" s="2">
        <v>1</v>
      </c>
      <c r="F3323" s="2">
        <v>-3.52892074919498E-3</v>
      </c>
      <c r="G3323" s="2">
        <v>1</v>
      </c>
    </row>
    <row r="3324" spans="1:7" x14ac:dyDescent="0.2">
      <c r="A3324" s="2" t="s">
        <v>52</v>
      </c>
      <c r="B3324" s="14">
        <v>38718</v>
      </c>
      <c r="C3324" s="2">
        <v>-8.5470085460000005E-3</v>
      </c>
      <c r="E3324" s="2">
        <v>1</v>
      </c>
      <c r="F3324" s="2">
        <v>-2.5592721142600298E-3</v>
      </c>
      <c r="G3324" s="2">
        <v>1</v>
      </c>
    </row>
    <row r="3325" spans="1:7" x14ac:dyDescent="0.2">
      <c r="A3325" s="2" t="s">
        <v>52</v>
      </c>
      <c r="B3325" s="14">
        <v>38749</v>
      </c>
      <c r="C3325" s="2">
        <v>3.9655172412999998E-2</v>
      </c>
      <c r="E3325" s="2">
        <v>1</v>
      </c>
      <c r="F3325" s="2">
        <v>-4.32955567663102E-3</v>
      </c>
      <c r="G3325" s="2">
        <v>1</v>
      </c>
    </row>
    <row r="3326" spans="1:7" x14ac:dyDescent="0.2">
      <c r="A3326" s="2" t="s">
        <v>52</v>
      </c>
      <c r="B3326" s="14">
        <v>38777</v>
      </c>
      <c r="C3326" s="2">
        <v>7.7943615256999998E-2</v>
      </c>
      <c r="E3326" s="2">
        <v>1</v>
      </c>
      <c r="F3326" s="2">
        <v>3.89086181047374E-4</v>
      </c>
      <c r="G3326" s="2">
        <v>1</v>
      </c>
    </row>
    <row r="3327" spans="1:7" x14ac:dyDescent="0.2">
      <c r="A3327" s="2" t="s">
        <v>52</v>
      </c>
      <c r="B3327" s="14">
        <v>38808</v>
      </c>
      <c r="C3327" s="2">
        <v>6.8461538461999996E-2</v>
      </c>
      <c r="E3327" s="2">
        <v>1</v>
      </c>
      <c r="F3327" s="2">
        <v>1.4051039825931401E-3</v>
      </c>
      <c r="G3327" s="2">
        <v>1</v>
      </c>
    </row>
    <row r="3328" spans="1:7" x14ac:dyDescent="0.2">
      <c r="A3328" s="2" t="s">
        <v>52</v>
      </c>
      <c r="B3328" s="14">
        <v>38838</v>
      </c>
      <c r="C3328" s="2">
        <v>-6.6318778026000003E-2</v>
      </c>
      <c r="E3328" s="2">
        <v>1</v>
      </c>
      <c r="F3328" s="2">
        <v>6.5954490207194303E-3</v>
      </c>
      <c r="G3328" s="2">
        <v>1</v>
      </c>
    </row>
    <row r="3329" spans="1:7" x14ac:dyDescent="0.2">
      <c r="A3329" s="2" t="s">
        <v>52</v>
      </c>
      <c r="B3329" s="14">
        <v>38869</v>
      </c>
      <c r="C3329" s="2">
        <v>-2.7056360958E-2</v>
      </c>
      <c r="E3329" s="2">
        <v>1</v>
      </c>
      <c r="F3329" s="2">
        <v>4.8124307565498301E-3</v>
      </c>
      <c r="G3329" s="2">
        <v>1</v>
      </c>
    </row>
    <row r="3330" spans="1:7" x14ac:dyDescent="0.2">
      <c r="A3330" s="2" t="s">
        <v>52</v>
      </c>
      <c r="B3330" s="14">
        <v>38899</v>
      </c>
      <c r="C3330" s="2">
        <v>-3.9840637446000001E-3</v>
      </c>
      <c r="E3330" s="2">
        <v>1</v>
      </c>
      <c r="F3330" s="2">
        <v>3.6457568418250398E-3</v>
      </c>
      <c r="G3330" s="2">
        <v>1</v>
      </c>
    </row>
    <row r="3331" spans="1:7" x14ac:dyDescent="0.2">
      <c r="A3331" s="2" t="s">
        <v>52</v>
      </c>
      <c r="B3331" s="14">
        <v>38930</v>
      </c>
      <c r="C3331" s="2">
        <v>3.1999999999000002E-2</v>
      </c>
      <c r="E3331" s="2">
        <v>1</v>
      </c>
      <c r="F3331" s="2">
        <v>7.2127183496534502E-3</v>
      </c>
      <c r="G3331" s="2">
        <v>1</v>
      </c>
    </row>
    <row r="3332" spans="1:7" x14ac:dyDescent="0.2">
      <c r="A3332" s="2" t="s">
        <v>52</v>
      </c>
      <c r="B3332" s="14">
        <v>38961</v>
      </c>
      <c r="C3332" s="2">
        <v>6.2015503876000001E-2</v>
      </c>
      <c r="E3332" s="2">
        <v>1</v>
      </c>
      <c r="F3332" s="2">
        <v>6.7218860604148804E-3</v>
      </c>
      <c r="G3332" s="2">
        <v>1</v>
      </c>
    </row>
    <row r="3333" spans="1:7" x14ac:dyDescent="0.2">
      <c r="A3333" s="2" t="s">
        <v>52</v>
      </c>
      <c r="B3333" s="14">
        <v>38991</v>
      </c>
      <c r="C3333" s="2">
        <v>5.8248175183000003E-2</v>
      </c>
      <c r="E3333" s="2">
        <v>1</v>
      </c>
      <c r="F3333" s="2">
        <v>6.1564260419317198E-3</v>
      </c>
      <c r="G3333" s="2">
        <v>1</v>
      </c>
    </row>
    <row r="3334" spans="1:7" x14ac:dyDescent="0.2">
      <c r="A3334" s="2" t="s">
        <v>52</v>
      </c>
      <c r="B3334" s="14">
        <v>39022</v>
      </c>
      <c r="C3334" s="2">
        <v>7.1576375067E-2</v>
      </c>
      <c r="E3334" s="2">
        <v>1</v>
      </c>
      <c r="F3334" s="2">
        <v>5.4907738376024301E-3</v>
      </c>
      <c r="G3334" s="2">
        <v>1</v>
      </c>
    </row>
    <row r="3335" spans="1:7" x14ac:dyDescent="0.2">
      <c r="A3335" s="2" t="s">
        <v>52</v>
      </c>
      <c r="B3335" s="14">
        <v>39052</v>
      </c>
      <c r="C3335" s="2">
        <v>9.2038834949999995E-2</v>
      </c>
      <c r="E3335" s="2">
        <v>1</v>
      </c>
      <c r="F3335" s="2">
        <v>9.3632249994517296E-3</v>
      </c>
      <c r="G3335" s="2">
        <v>1</v>
      </c>
    </row>
    <row r="3336" spans="1:7" x14ac:dyDescent="0.2">
      <c r="A3336" s="2" t="s">
        <v>52</v>
      </c>
      <c r="B3336" s="14">
        <v>39083</v>
      </c>
      <c r="C3336" s="2">
        <v>9.6491228070999996E-2</v>
      </c>
      <c r="E3336" s="2">
        <v>1</v>
      </c>
      <c r="F3336" s="2">
        <v>1.2669938050012E-2</v>
      </c>
      <c r="G3336" s="2">
        <v>1</v>
      </c>
    </row>
    <row r="3337" spans="1:7" x14ac:dyDescent="0.2">
      <c r="A3337" s="2" t="s">
        <v>52</v>
      </c>
      <c r="B3337" s="14">
        <v>39114</v>
      </c>
      <c r="C3337" s="2">
        <v>-4.3243243243000003E-2</v>
      </c>
      <c r="D3337" s="2">
        <v>-4.6802001E-4</v>
      </c>
      <c r="E3337" s="2">
        <v>1</v>
      </c>
      <c r="F3337" s="2">
        <v>1.5386977204440801E-2</v>
      </c>
      <c r="G3337" s="2">
        <v>1</v>
      </c>
    </row>
    <row r="3338" spans="1:7" x14ac:dyDescent="0.2">
      <c r="A3338" s="2" t="s">
        <v>52</v>
      </c>
      <c r="B3338" s="14">
        <v>39142</v>
      </c>
      <c r="C3338" s="2">
        <v>9.0395480225000005E-2</v>
      </c>
      <c r="D3338" s="2">
        <v>0</v>
      </c>
      <c r="E3338" s="2">
        <v>1</v>
      </c>
      <c r="F3338" s="2">
        <v>1.34204410991951E-2</v>
      </c>
      <c r="G3338" s="2">
        <v>1</v>
      </c>
    </row>
    <row r="3339" spans="1:7" x14ac:dyDescent="0.2">
      <c r="A3339" s="2" t="s">
        <v>52</v>
      </c>
      <c r="B3339" s="14">
        <v>39173</v>
      </c>
      <c r="C3339" s="2">
        <v>6.2176165803999997E-2</v>
      </c>
      <c r="D3339" s="2">
        <v>0</v>
      </c>
      <c r="E3339" s="2">
        <v>1</v>
      </c>
      <c r="F3339" s="2">
        <v>1.4061833511054901E-2</v>
      </c>
      <c r="G3339" s="2">
        <v>1</v>
      </c>
    </row>
    <row r="3340" spans="1:7" x14ac:dyDescent="0.2">
      <c r="A3340" s="2" t="s">
        <v>52</v>
      </c>
      <c r="B3340" s="14">
        <v>39203</v>
      </c>
      <c r="C3340" s="2">
        <v>6.5105963064999994E-2</v>
      </c>
      <c r="D3340" s="2">
        <v>0</v>
      </c>
      <c r="E3340" s="2">
        <v>1</v>
      </c>
      <c r="F3340" s="2">
        <v>1.4032480513780801E-2</v>
      </c>
      <c r="G3340" s="2">
        <v>1</v>
      </c>
    </row>
    <row r="3341" spans="1:7" x14ac:dyDescent="0.2">
      <c r="A3341" s="2" t="s">
        <v>52</v>
      </c>
      <c r="B3341" s="14">
        <v>39234</v>
      </c>
      <c r="C3341" s="2">
        <v>2.1149425287E-2</v>
      </c>
      <c r="D3341" s="2">
        <v>-2.4666666000000001E-4</v>
      </c>
      <c r="E3341" s="2">
        <v>1</v>
      </c>
      <c r="F3341" s="2">
        <v>1.3531770755369399E-2</v>
      </c>
      <c r="G3341" s="2">
        <v>1</v>
      </c>
    </row>
    <row r="3342" spans="1:7" x14ac:dyDescent="0.2">
      <c r="A3342" s="2" t="s">
        <v>52</v>
      </c>
      <c r="B3342" s="14">
        <v>39264</v>
      </c>
      <c r="C3342" s="2">
        <v>0.10760918505</v>
      </c>
      <c r="D3342" s="2">
        <v>-1.4495333E-4</v>
      </c>
      <c r="E3342" s="2">
        <v>1</v>
      </c>
      <c r="F3342" s="2">
        <v>1.13414789544237E-2</v>
      </c>
      <c r="G3342" s="2">
        <v>1</v>
      </c>
    </row>
    <row r="3343" spans="1:7" x14ac:dyDescent="0.2">
      <c r="A3343" s="2" t="s">
        <v>52</v>
      </c>
      <c r="B3343" s="14">
        <v>39295</v>
      </c>
      <c r="C3343" s="2">
        <v>-6.5040650406000003E-2</v>
      </c>
      <c r="D3343" s="2">
        <v>-1.5138667E-3</v>
      </c>
      <c r="E3343" s="2">
        <v>1</v>
      </c>
      <c r="F3343" s="2">
        <v>6.0719555167611499E-3</v>
      </c>
      <c r="G3343" s="2">
        <v>1</v>
      </c>
    </row>
    <row r="3344" spans="1:7" x14ac:dyDescent="0.2">
      <c r="A3344" s="2" t="s">
        <v>52</v>
      </c>
      <c r="B3344" s="14">
        <v>39326</v>
      </c>
      <c r="C3344" s="2">
        <v>-4.347826087E-2</v>
      </c>
      <c r="D3344" s="2">
        <v>-6.0000003000000004E-4</v>
      </c>
      <c r="E3344" s="2">
        <v>1</v>
      </c>
      <c r="F3344" s="2">
        <v>5.8443394316408997E-3</v>
      </c>
      <c r="G3344" s="2">
        <v>1</v>
      </c>
    </row>
    <row r="3345" spans="1:7" x14ac:dyDescent="0.2">
      <c r="A3345" s="2" t="s">
        <v>52</v>
      </c>
      <c r="B3345" s="14">
        <v>39356</v>
      </c>
      <c r="C3345" s="2">
        <v>4.5454545454000003E-2</v>
      </c>
      <c r="D3345" s="2">
        <v>-2.3983333E-3</v>
      </c>
      <c r="E3345" s="2">
        <v>1</v>
      </c>
      <c r="F3345" s="2">
        <v>2.1958412494698502E-3</v>
      </c>
      <c r="G3345" s="2">
        <v>1</v>
      </c>
    </row>
    <row r="3346" spans="1:7" x14ac:dyDescent="0.2">
      <c r="A3346" s="2" t="s">
        <v>52</v>
      </c>
      <c r="B3346" s="14">
        <v>39387</v>
      </c>
      <c r="C3346" s="2">
        <v>-7.2498260933999997E-2</v>
      </c>
      <c r="D3346" s="2">
        <v>-3.0777266E-3</v>
      </c>
      <c r="E3346" s="2">
        <v>1</v>
      </c>
      <c r="F3346" s="2">
        <v>1.6081521803999999E-3</v>
      </c>
      <c r="G3346" s="2">
        <v>1</v>
      </c>
    </row>
    <row r="3347" spans="1:7" x14ac:dyDescent="0.2">
      <c r="A3347" s="2" t="s">
        <v>52</v>
      </c>
      <c r="B3347" s="14">
        <v>39417</v>
      </c>
      <c r="C3347" s="2">
        <v>-0.12636792452000001</v>
      </c>
      <c r="D3347" s="2">
        <v>-5.6527330999999997E-3</v>
      </c>
      <c r="E3347" s="2">
        <v>1</v>
      </c>
      <c r="F3347" s="2">
        <v>-2.0439647467807502E-3</v>
      </c>
      <c r="G3347" s="2">
        <v>1</v>
      </c>
    </row>
    <row r="3348" spans="1:7" x14ac:dyDescent="0.2">
      <c r="A3348" s="2" t="s">
        <v>52</v>
      </c>
      <c r="B3348" s="14">
        <v>39448</v>
      </c>
      <c r="C3348" s="2">
        <v>-0.16575778846</v>
      </c>
      <c r="D3348" s="2">
        <v>-1.85578E-3</v>
      </c>
      <c r="E3348" s="2">
        <v>1</v>
      </c>
      <c r="F3348" s="2">
        <v>-5.8064008764775101E-3</v>
      </c>
      <c r="G3348" s="2">
        <v>1</v>
      </c>
    </row>
    <row r="3349" spans="1:7" x14ac:dyDescent="0.2">
      <c r="A3349" s="2" t="s">
        <v>52</v>
      </c>
      <c r="B3349" s="14">
        <v>39479</v>
      </c>
      <c r="C3349" s="2">
        <v>0.26205423596999999</v>
      </c>
      <c r="D3349" s="2">
        <v>-2.5633333999999998E-3</v>
      </c>
      <c r="E3349" s="2">
        <v>1</v>
      </c>
      <c r="F3349" s="2">
        <v>-1.31030896589446E-2</v>
      </c>
      <c r="G3349" s="2">
        <v>1</v>
      </c>
    </row>
    <row r="3350" spans="1:7" x14ac:dyDescent="0.2">
      <c r="A3350" s="2" t="s">
        <v>52</v>
      </c>
      <c r="B3350" s="14">
        <v>39508</v>
      </c>
      <c r="C3350" s="2">
        <v>-0.12820512819999999</v>
      </c>
      <c r="D3350" s="2">
        <v>0</v>
      </c>
      <c r="E3350" s="2">
        <v>1</v>
      </c>
      <c r="F3350" s="2">
        <v>-3.6407294473434701E-3</v>
      </c>
      <c r="G3350" s="2">
        <v>1</v>
      </c>
    </row>
    <row r="3351" spans="1:7" x14ac:dyDescent="0.2">
      <c r="A3351" s="2" t="s">
        <v>52</v>
      </c>
      <c r="B3351" s="14">
        <v>39539</v>
      </c>
      <c r="C3351" s="2">
        <v>5.8823529415999998E-3</v>
      </c>
      <c r="D3351" s="2">
        <v>0</v>
      </c>
      <c r="E3351" s="2">
        <v>1</v>
      </c>
      <c r="F3351" s="2">
        <v>-5.69879736550764E-3</v>
      </c>
      <c r="G3351" s="2">
        <v>1</v>
      </c>
    </row>
    <row r="3352" spans="1:7" x14ac:dyDescent="0.2">
      <c r="A3352" s="2" t="s">
        <v>52</v>
      </c>
      <c r="B3352" s="14">
        <v>39569</v>
      </c>
      <c r="C3352" s="2">
        <v>-1.5756469110000001E-2</v>
      </c>
      <c r="D3352" s="2">
        <v>-2.1253333E-4</v>
      </c>
      <c r="E3352" s="2">
        <v>1</v>
      </c>
      <c r="F3352" s="2">
        <v>-6.8868614000792703E-3</v>
      </c>
      <c r="G3352" s="2">
        <v>1</v>
      </c>
    </row>
    <row r="3353" spans="1:7" x14ac:dyDescent="0.2">
      <c r="A3353" s="2" t="s">
        <v>52</v>
      </c>
      <c r="B3353" s="14">
        <v>39600</v>
      </c>
      <c r="C3353" s="2">
        <v>-7.1856287424000007E-2</v>
      </c>
      <c r="D3353" s="2">
        <v>0</v>
      </c>
      <c r="E3353" s="2">
        <v>1</v>
      </c>
      <c r="F3353" s="2">
        <v>-5.23538682773217E-3</v>
      </c>
      <c r="G3353" s="2">
        <v>1</v>
      </c>
    </row>
    <row r="3354" spans="1:7" x14ac:dyDescent="0.2">
      <c r="A3354" s="2" t="s">
        <v>52</v>
      </c>
      <c r="B3354" s="14">
        <v>39630</v>
      </c>
      <c r="C3354" s="2">
        <v>-0.16129032258000001</v>
      </c>
      <c r="D3354" s="2">
        <v>-1.020748E-2</v>
      </c>
      <c r="E3354" s="2">
        <v>1</v>
      </c>
      <c r="F3354" s="2">
        <v>-3.4815692653466499E-3</v>
      </c>
      <c r="G3354" s="2">
        <v>1</v>
      </c>
    </row>
    <row r="3355" spans="1:7" x14ac:dyDescent="0.2">
      <c r="A3355" s="2" t="s">
        <v>52</v>
      </c>
      <c r="B3355" s="14">
        <v>39661</v>
      </c>
      <c r="C3355" s="2">
        <v>-7.6923076923000003E-2</v>
      </c>
      <c r="D3355" s="2">
        <v>0</v>
      </c>
      <c r="E3355" s="2">
        <v>1</v>
      </c>
      <c r="F3355" s="2">
        <v>-2.3039376018873302E-3</v>
      </c>
      <c r="G3355" s="2">
        <v>1</v>
      </c>
    </row>
    <row r="3356" spans="1:7" x14ac:dyDescent="0.2">
      <c r="A3356" s="2" t="s">
        <v>52</v>
      </c>
      <c r="B3356" s="14">
        <v>39692</v>
      </c>
      <c r="C3356" s="2">
        <v>-0.125</v>
      </c>
      <c r="D3356" s="2">
        <v>0</v>
      </c>
      <c r="E3356" s="2">
        <v>1</v>
      </c>
      <c r="F3356" s="2">
        <v>-1.1910686105033701E-2</v>
      </c>
      <c r="G3356" s="2">
        <v>1</v>
      </c>
    </row>
    <row r="3357" spans="1:7" x14ac:dyDescent="0.2">
      <c r="A3357" s="2" t="s">
        <v>52</v>
      </c>
      <c r="B3357" s="14">
        <v>39722</v>
      </c>
      <c r="C3357" s="2">
        <v>-0.15238095237999999</v>
      </c>
      <c r="D3357" s="2">
        <v>-2.3648598999999998E-3</v>
      </c>
      <c r="E3357" s="2">
        <v>1</v>
      </c>
      <c r="F3357" s="2">
        <v>-1.14729351571257E-2</v>
      </c>
      <c r="G3357" s="2">
        <v>1</v>
      </c>
    </row>
    <row r="3358" spans="1:7" x14ac:dyDescent="0.2">
      <c r="A3358" s="2" t="s">
        <v>52</v>
      </c>
      <c r="B3358" s="14">
        <v>39753</v>
      </c>
      <c r="C3358" s="2">
        <v>-5.0561797754E-2</v>
      </c>
      <c r="D3358" s="2">
        <v>0</v>
      </c>
      <c r="E3358" s="2">
        <v>1</v>
      </c>
      <c r="F3358" s="2">
        <v>-1.5689938627230199E-2</v>
      </c>
      <c r="G3358" s="2">
        <v>1</v>
      </c>
    </row>
    <row r="3359" spans="1:7" x14ac:dyDescent="0.2">
      <c r="A3359" s="2" t="s">
        <v>52</v>
      </c>
      <c r="B3359" s="14">
        <v>39783</v>
      </c>
      <c r="C3359" s="2">
        <v>-4.6432520709000003E-2</v>
      </c>
      <c r="D3359" s="2">
        <v>0</v>
      </c>
      <c r="E3359" s="2">
        <v>1</v>
      </c>
      <c r="F3359" s="2">
        <v>-1.65753707684782E-2</v>
      </c>
      <c r="G3359" s="2">
        <v>1</v>
      </c>
    </row>
    <row r="3360" spans="1:7" x14ac:dyDescent="0.2">
      <c r="A3360" s="2" t="s">
        <v>53</v>
      </c>
      <c r="B3360" s="14">
        <v>37591</v>
      </c>
      <c r="E3360" s="2">
        <v>1</v>
      </c>
      <c r="G3360" s="2">
        <v>1</v>
      </c>
    </row>
    <row r="3361" spans="1:7" x14ac:dyDescent="0.2">
      <c r="A3361" s="2" t="s">
        <v>53</v>
      </c>
      <c r="B3361" s="14">
        <v>37622</v>
      </c>
      <c r="E3361" s="2">
        <v>1</v>
      </c>
      <c r="G3361" s="2">
        <v>1</v>
      </c>
    </row>
    <row r="3362" spans="1:7" x14ac:dyDescent="0.2">
      <c r="A3362" s="2" t="s">
        <v>53</v>
      </c>
      <c r="B3362" s="14">
        <v>37653</v>
      </c>
      <c r="E3362" s="2">
        <v>1</v>
      </c>
      <c r="G3362" s="2">
        <v>1</v>
      </c>
    </row>
    <row r="3363" spans="1:7" x14ac:dyDescent="0.2">
      <c r="A3363" s="2" t="s">
        <v>53</v>
      </c>
      <c r="B3363" s="14">
        <v>37681</v>
      </c>
      <c r="E3363" s="2">
        <v>1</v>
      </c>
      <c r="G3363" s="2">
        <v>1</v>
      </c>
    </row>
    <row r="3364" spans="1:7" x14ac:dyDescent="0.2">
      <c r="A3364" s="2" t="s">
        <v>53</v>
      </c>
      <c r="B3364" s="14">
        <v>37712</v>
      </c>
      <c r="E3364" s="2">
        <v>1</v>
      </c>
      <c r="G3364" s="2">
        <v>1</v>
      </c>
    </row>
    <row r="3365" spans="1:7" x14ac:dyDescent="0.2">
      <c r="A3365" s="2" t="s">
        <v>53</v>
      </c>
      <c r="B3365" s="14">
        <v>37742</v>
      </c>
      <c r="E3365" s="2">
        <v>1</v>
      </c>
      <c r="G3365" s="2">
        <v>1</v>
      </c>
    </row>
    <row r="3366" spans="1:7" x14ac:dyDescent="0.2">
      <c r="A3366" s="2" t="s">
        <v>53</v>
      </c>
      <c r="B3366" s="14">
        <v>37773</v>
      </c>
      <c r="E3366" s="2">
        <v>1</v>
      </c>
      <c r="G3366" s="2">
        <v>1</v>
      </c>
    </row>
    <row r="3367" spans="1:7" x14ac:dyDescent="0.2">
      <c r="A3367" s="2" t="s">
        <v>53</v>
      </c>
      <c r="B3367" s="14">
        <v>37803</v>
      </c>
      <c r="E3367" s="2">
        <v>1</v>
      </c>
      <c r="G3367" s="2">
        <v>1</v>
      </c>
    </row>
    <row r="3368" spans="1:7" x14ac:dyDescent="0.2">
      <c r="A3368" s="2" t="s">
        <v>53</v>
      </c>
      <c r="B3368" s="14">
        <v>37834</v>
      </c>
      <c r="E3368" s="2">
        <v>1</v>
      </c>
      <c r="G3368" s="2">
        <v>1</v>
      </c>
    </row>
    <row r="3369" spans="1:7" x14ac:dyDescent="0.2">
      <c r="A3369" s="2" t="s">
        <v>53</v>
      </c>
      <c r="B3369" s="14">
        <v>37865</v>
      </c>
      <c r="E3369" s="2">
        <v>1</v>
      </c>
      <c r="G3369" s="2">
        <v>1</v>
      </c>
    </row>
    <row r="3370" spans="1:7" x14ac:dyDescent="0.2">
      <c r="A3370" s="2" t="s">
        <v>53</v>
      </c>
      <c r="B3370" s="14">
        <v>37895</v>
      </c>
      <c r="E3370" s="2">
        <v>1</v>
      </c>
      <c r="G3370" s="2">
        <v>1</v>
      </c>
    </row>
    <row r="3371" spans="1:7" x14ac:dyDescent="0.2">
      <c r="A3371" s="2" t="s">
        <v>53</v>
      </c>
      <c r="B3371" s="14">
        <v>37926</v>
      </c>
      <c r="E3371" s="2">
        <v>1</v>
      </c>
      <c r="G3371" s="2">
        <v>1</v>
      </c>
    </row>
    <row r="3372" spans="1:7" x14ac:dyDescent="0.2">
      <c r="A3372" s="2" t="s">
        <v>53</v>
      </c>
      <c r="B3372" s="14">
        <v>37956</v>
      </c>
      <c r="E3372" s="2">
        <v>1</v>
      </c>
      <c r="G3372" s="2">
        <v>1</v>
      </c>
    </row>
    <row r="3373" spans="1:7" x14ac:dyDescent="0.2">
      <c r="A3373" s="2" t="s">
        <v>53</v>
      </c>
      <c r="B3373" s="14">
        <v>37987</v>
      </c>
      <c r="E3373" s="2">
        <v>1</v>
      </c>
      <c r="G3373" s="2">
        <v>1</v>
      </c>
    </row>
    <row r="3374" spans="1:7" x14ac:dyDescent="0.2">
      <c r="A3374" s="2" t="s">
        <v>53</v>
      </c>
      <c r="B3374" s="14">
        <v>38018</v>
      </c>
      <c r="E3374" s="2">
        <v>1</v>
      </c>
      <c r="G3374" s="2">
        <v>1</v>
      </c>
    </row>
    <row r="3375" spans="1:7" x14ac:dyDescent="0.2">
      <c r="A3375" s="2" t="s">
        <v>53</v>
      </c>
      <c r="B3375" s="14">
        <v>38047</v>
      </c>
      <c r="E3375" s="2">
        <v>1</v>
      </c>
      <c r="G3375" s="2">
        <v>1</v>
      </c>
    </row>
    <row r="3376" spans="1:7" x14ac:dyDescent="0.2">
      <c r="A3376" s="2" t="s">
        <v>53</v>
      </c>
      <c r="B3376" s="14">
        <v>38078</v>
      </c>
      <c r="E3376" s="2">
        <v>1</v>
      </c>
      <c r="G3376" s="2">
        <v>1</v>
      </c>
    </row>
    <row r="3377" spans="1:7" x14ac:dyDescent="0.2">
      <c r="A3377" s="2" t="s">
        <v>53</v>
      </c>
      <c r="B3377" s="14">
        <v>38108</v>
      </c>
      <c r="E3377" s="2">
        <v>1</v>
      </c>
      <c r="G3377" s="2">
        <v>1</v>
      </c>
    </row>
    <row r="3378" spans="1:7" x14ac:dyDescent="0.2">
      <c r="A3378" s="2" t="s">
        <v>53</v>
      </c>
      <c r="B3378" s="14">
        <v>38139</v>
      </c>
      <c r="E3378" s="2">
        <v>1</v>
      </c>
      <c r="G3378" s="2">
        <v>1</v>
      </c>
    </row>
    <row r="3379" spans="1:7" x14ac:dyDescent="0.2">
      <c r="A3379" s="2" t="s">
        <v>53</v>
      </c>
      <c r="B3379" s="14">
        <v>38169</v>
      </c>
      <c r="E3379" s="2">
        <v>1</v>
      </c>
      <c r="G3379" s="2">
        <v>1</v>
      </c>
    </row>
    <row r="3380" spans="1:7" x14ac:dyDescent="0.2">
      <c r="A3380" s="2" t="s">
        <v>53</v>
      </c>
      <c r="B3380" s="14">
        <v>38200</v>
      </c>
      <c r="E3380" s="2">
        <v>1</v>
      </c>
      <c r="G3380" s="2">
        <v>1</v>
      </c>
    </row>
    <row r="3381" spans="1:7" x14ac:dyDescent="0.2">
      <c r="A3381" s="2" t="s">
        <v>53</v>
      </c>
      <c r="B3381" s="14">
        <v>38231</v>
      </c>
      <c r="E3381" s="2">
        <v>1</v>
      </c>
      <c r="G3381" s="2">
        <v>1</v>
      </c>
    </row>
    <row r="3382" spans="1:7" x14ac:dyDescent="0.2">
      <c r="A3382" s="2" t="s">
        <v>53</v>
      </c>
      <c r="B3382" s="14">
        <v>38261</v>
      </c>
      <c r="E3382" s="2">
        <v>1</v>
      </c>
      <c r="G3382" s="2">
        <v>1</v>
      </c>
    </row>
    <row r="3383" spans="1:7" x14ac:dyDescent="0.2">
      <c r="A3383" s="2" t="s">
        <v>53</v>
      </c>
      <c r="B3383" s="14">
        <v>38292</v>
      </c>
      <c r="E3383" s="2">
        <v>1</v>
      </c>
      <c r="G3383" s="2">
        <v>1</v>
      </c>
    </row>
    <row r="3384" spans="1:7" x14ac:dyDescent="0.2">
      <c r="A3384" s="2" t="s">
        <v>53</v>
      </c>
      <c r="B3384" s="14">
        <v>38322</v>
      </c>
      <c r="E3384" s="2">
        <v>1</v>
      </c>
      <c r="G3384" s="2">
        <v>1</v>
      </c>
    </row>
    <row r="3385" spans="1:7" x14ac:dyDescent="0.2">
      <c r="A3385" s="2" t="s">
        <v>53</v>
      </c>
      <c r="B3385" s="14">
        <v>38353</v>
      </c>
      <c r="E3385" s="2">
        <v>1</v>
      </c>
      <c r="G3385" s="2">
        <v>1</v>
      </c>
    </row>
    <row r="3386" spans="1:7" x14ac:dyDescent="0.2">
      <c r="A3386" s="2" t="s">
        <v>53</v>
      </c>
      <c r="B3386" s="14">
        <v>38384</v>
      </c>
      <c r="E3386" s="2">
        <v>1</v>
      </c>
      <c r="G3386" s="2">
        <v>1</v>
      </c>
    </row>
    <row r="3387" spans="1:7" x14ac:dyDescent="0.2">
      <c r="A3387" s="2" t="s">
        <v>53</v>
      </c>
      <c r="B3387" s="14">
        <v>38412</v>
      </c>
      <c r="E3387" s="2">
        <v>1</v>
      </c>
      <c r="G3387" s="2">
        <v>1</v>
      </c>
    </row>
    <row r="3388" spans="1:7" x14ac:dyDescent="0.2">
      <c r="A3388" s="2" t="s">
        <v>53</v>
      </c>
      <c r="B3388" s="14">
        <v>38443</v>
      </c>
      <c r="E3388" s="2">
        <v>1</v>
      </c>
      <c r="G3388" s="2">
        <v>1</v>
      </c>
    </row>
    <row r="3389" spans="1:7" x14ac:dyDescent="0.2">
      <c r="A3389" s="2" t="s">
        <v>53</v>
      </c>
      <c r="B3389" s="14">
        <v>38473</v>
      </c>
      <c r="E3389" s="2">
        <v>1</v>
      </c>
      <c r="G3389" s="2">
        <v>1</v>
      </c>
    </row>
    <row r="3390" spans="1:7" x14ac:dyDescent="0.2">
      <c r="A3390" s="2" t="s">
        <v>53</v>
      </c>
      <c r="B3390" s="14">
        <v>38504</v>
      </c>
      <c r="E3390" s="2">
        <v>1</v>
      </c>
      <c r="G3390" s="2">
        <v>1</v>
      </c>
    </row>
    <row r="3391" spans="1:7" x14ac:dyDescent="0.2">
      <c r="A3391" s="2" t="s">
        <v>53</v>
      </c>
      <c r="B3391" s="14">
        <v>38534</v>
      </c>
      <c r="E3391" s="2">
        <v>1</v>
      </c>
      <c r="G3391" s="2">
        <v>1</v>
      </c>
    </row>
    <row r="3392" spans="1:7" x14ac:dyDescent="0.2">
      <c r="A3392" s="2" t="s">
        <v>53</v>
      </c>
      <c r="B3392" s="14">
        <v>38565</v>
      </c>
      <c r="E3392" s="2">
        <v>1</v>
      </c>
      <c r="G3392" s="2">
        <v>1</v>
      </c>
    </row>
    <row r="3393" spans="1:7" x14ac:dyDescent="0.2">
      <c r="A3393" s="2" t="s">
        <v>53</v>
      </c>
      <c r="B3393" s="14">
        <v>38596</v>
      </c>
      <c r="E3393" s="2">
        <v>1</v>
      </c>
      <c r="G3393" s="2">
        <v>1</v>
      </c>
    </row>
    <row r="3394" spans="1:7" x14ac:dyDescent="0.2">
      <c r="A3394" s="2" t="s">
        <v>53</v>
      </c>
      <c r="B3394" s="14">
        <v>38626</v>
      </c>
      <c r="E3394" s="2">
        <v>1</v>
      </c>
      <c r="G3394" s="2">
        <v>1</v>
      </c>
    </row>
    <row r="3395" spans="1:7" x14ac:dyDescent="0.2">
      <c r="A3395" s="2" t="s">
        <v>53</v>
      </c>
      <c r="B3395" s="14">
        <v>38657</v>
      </c>
      <c r="E3395" s="2">
        <v>1</v>
      </c>
      <c r="G3395" s="2">
        <v>1</v>
      </c>
    </row>
    <row r="3396" spans="1:7" x14ac:dyDescent="0.2">
      <c r="A3396" s="2" t="s">
        <v>53</v>
      </c>
      <c r="B3396" s="14">
        <v>38687</v>
      </c>
      <c r="E3396" s="2">
        <v>1</v>
      </c>
      <c r="G3396" s="2">
        <v>1</v>
      </c>
    </row>
    <row r="3397" spans="1:7" x14ac:dyDescent="0.2">
      <c r="A3397" s="2" t="s">
        <v>53</v>
      </c>
      <c r="B3397" s="14">
        <v>38718</v>
      </c>
      <c r="E3397" s="2">
        <v>1</v>
      </c>
      <c r="G3397" s="2">
        <v>1</v>
      </c>
    </row>
    <row r="3398" spans="1:7" x14ac:dyDescent="0.2">
      <c r="A3398" s="2" t="s">
        <v>53</v>
      </c>
      <c r="B3398" s="14">
        <v>38749</v>
      </c>
      <c r="E3398" s="2">
        <v>1</v>
      </c>
      <c r="G3398" s="2">
        <v>1</v>
      </c>
    </row>
    <row r="3399" spans="1:7" x14ac:dyDescent="0.2">
      <c r="A3399" s="2" t="s">
        <v>53</v>
      </c>
      <c r="B3399" s="14">
        <v>38777</v>
      </c>
      <c r="E3399" s="2">
        <v>1</v>
      </c>
      <c r="G3399" s="2">
        <v>1</v>
      </c>
    </row>
    <row r="3400" spans="1:7" x14ac:dyDescent="0.2">
      <c r="A3400" s="2" t="s">
        <v>53</v>
      </c>
      <c r="B3400" s="14">
        <v>38808</v>
      </c>
      <c r="E3400" s="2">
        <v>1</v>
      </c>
      <c r="G3400" s="2">
        <v>1</v>
      </c>
    </row>
    <row r="3401" spans="1:7" x14ac:dyDescent="0.2">
      <c r="A3401" s="2" t="s">
        <v>53</v>
      </c>
      <c r="B3401" s="14">
        <v>38838</v>
      </c>
      <c r="E3401" s="2">
        <v>1</v>
      </c>
      <c r="G3401" s="2">
        <v>1</v>
      </c>
    </row>
    <row r="3402" spans="1:7" x14ac:dyDescent="0.2">
      <c r="A3402" s="2" t="s">
        <v>53</v>
      </c>
      <c r="B3402" s="14">
        <v>38869</v>
      </c>
      <c r="E3402" s="2">
        <v>1</v>
      </c>
      <c r="G3402" s="2">
        <v>1</v>
      </c>
    </row>
    <row r="3403" spans="1:7" x14ac:dyDescent="0.2">
      <c r="A3403" s="2" t="s">
        <v>53</v>
      </c>
      <c r="B3403" s="14">
        <v>38899</v>
      </c>
      <c r="E3403" s="2">
        <v>1</v>
      </c>
      <c r="G3403" s="2">
        <v>1</v>
      </c>
    </row>
    <row r="3404" spans="1:7" x14ac:dyDescent="0.2">
      <c r="A3404" s="2" t="s">
        <v>53</v>
      </c>
      <c r="B3404" s="14">
        <v>38930</v>
      </c>
      <c r="E3404" s="2">
        <v>1</v>
      </c>
      <c r="G3404" s="2">
        <v>1</v>
      </c>
    </row>
    <row r="3405" spans="1:7" x14ac:dyDescent="0.2">
      <c r="A3405" s="2" t="s">
        <v>53</v>
      </c>
      <c r="B3405" s="14">
        <v>38961</v>
      </c>
      <c r="E3405" s="2">
        <v>1</v>
      </c>
      <c r="G3405" s="2">
        <v>1</v>
      </c>
    </row>
    <row r="3406" spans="1:7" x14ac:dyDescent="0.2">
      <c r="A3406" s="2" t="s">
        <v>53</v>
      </c>
      <c r="B3406" s="14">
        <v>38991</v>
      </c>
      <c r="E3406" s="2">
        <v>1</v>
      </c>
      <c r="G3406" s="2">
        <v>1</v>
      </c>
    </row>
    <row r="3407" spans="1:7" x14ac:dyDescent="0.2">
      <c r="A3407" s="2" t="s">
        <v>53</v>
      </c>
      <c r="B3407" s="14">
        <v>39022</v>
      </c>
      <c r="E3407" s="2">
        <v>1</v>
      </c>
      <c r="G3407" s="2">
        <v>1</v>
      </c>
    </row>
    <row r="3408" spans="1:7" x14ac:dyDescent="0.2">
      <c r="A3408" s="2" t="s">
        <v>53</v>
      </c>
      <c r="B3408" s="14">
        <v>39052</v>
      </c>
      <c r="E3408" s="2">
        <v>1</v>
      </c>
      <c r="G3408" s="2">
        <v>1</v>
      </c>
    </row>
    <row r="3409" spans="1:7" x14ac:dyDescent="0.2">
      <c r="A3409" s="2" t="s">
        <v>53</v>
      </c>
      <c r="B3409" s="14">
        <v>39083</v>
      </c>
      <c r="C3409" s="2">
        <v>0.30413043478000001</v>
      </c>
      <c r="D3409" s="2">
        <v>-6.1706896000000002E-3</v>
      </c>
      <c r="E3409" s="2">
        <v>1</v>
      </c>
      <c r="G3409" s="2">
        <v>1</v>
      </c>
    </row>
    <row r="3410" spans="1:7" x14ac:dyDescent="0.2">
      <c r="A3410" s="2" t="s">
        <v>53</v>
      </c>
      <c r="B3410" s="14">
        <v>39114</v>
      </c>
      <c r="C3410" s="2">
        <v>-1.6502750457999999E-2</v>
      </c>
      <c r="D3410" s="2">
        <v>-4.6374340999999998E-3</v>
      </c>
      <c r="E3410" s="2">
        <v>1</v>
      </c>
      <c r="G3410" s="2">
        <v>1</v>
      </c>
    </row>
    <row r="3411" spans="1:7" x14ac:dyDescent="0.2">
      <c r="A3411" s="2" t="s">
        <v>53</v>
      </c>
      <c r="B3411" s="14">
        <v>39142</v>
      </c>
      <c r="C3411" s="2">
        <v>-1.186440678E-2</v>
      </c>
      <c r="D3411" s="2">
        <v>-3.2525139000000002E-3</v>
      </c>
      <c r="E3411" s="2">
        <v>1</v>
      </c>
      <c r="G3411" s="2">
        <v>1</v>
      </c>
    </row>
    <row r="3412" spans="1:7" x14ac:dyDescent="0.2">
      <c r="A3412" s="2" t="s">
        <v>53</v>
      </c>
      <c r="B3412" s="14">
        <v>39173</v>
      </c>
      <c r="C3412" s="2">
        <v>0.19382504287999999</v>
      </c>
      <c r="D3412" s="2">
        <v>-5.5544223000000004E-3</v>
      </c>
      <c r="E3412" s="2">
        <v>1</v>
      </c>
      <c r="G3412" s="2">
        <v>1</v>
      </c>
    </row>
    <row r="3413" spans="1:7" x14ac:dyDescent="0.2">
      <c r="A3413" s="2" t="s">
        <v>53</v>
      </c>
      <c r="B3413" s="14">
        <v>39203</v>
      </c>
      <c r="C3413" s="2">
        <v>0.10071443314</v>
      </c>
      <c r="D3413" s="2">
        <v>-6.9740280000000002E-3</v>
      </c>
      <c r="E3413" s="2">
        <v>1</v>
      </c>
      <c r="G3413" s="2">
        <v>1</v>
      </c>
    </row>
    <row r="3414" spans="1:7" x14ac:dyDescent="0.2">
      <c r="A3414" s="2" t="s">
        <v>53</v>
      </c>
      <c r="B3414" s="14">
        <v>39234</v>
      </c>
      <c r="C3414" s="2">
        <v>9.3788079469999994E-2</v>
      </c>
      <c r="D3414" s="2">
        <v>0</v>
      </c>
      <c r="E3414" s="2">
        <v>1</v>
      </c>
      <c r="G3414" s="2">
        <v>1</v>
      </c>
    </row>
    <row r="3415" spans="1:7" x14ac:dyDescent="0.2">
      <c r="A3415" s="2" t="s">
        <v>53</v>
      </c>
      <c r="B3415" s="14">
        <v>39264</v>
      </c>
      <c r="C3415" s="2">
        <v>-3.0999866797000002E-2</v>
      </c>
      <c r="D3415" s="2">
        <v>0</v>
      </c>
      <c r="E3415" s="2">
        <v>1</v>
      </c>
      <c r="G3415" s="2">
        <v>1</v>
      </c>
    </row>
    <row r="3416" spans="1:7" x14ac:dyDescent="0.2">
      <c r="A3416" s="2" t="s">
        <v>53</v>
      </c>
      <c r="B3416" s="14">
        <v>39295</v>
      </c>
      <c r="C3416" s="2">
        <v>4.3451094088999997E-2</v>
      </c>
      <c r="D3416" s="2">
        <v>-4.4917804E-3</v>
      </c>
      <c r="E3416" s="2">
        <v>1</v>
      </c>
      <c r="F3416" s="2">
        <v>2.22761662704416E-2</v>
      </c>
      <c r="G3416" s="2">
        <v>1</v>
      </c>
    </row>
    <row r="3417" spans="1:7" x14ac:dyDescent="0.2">
      <c r="A3417" s="2" t="s">
        <v>53</v>
      </c>
      <c r="B3417" s="14">
        <v>39326</v>
      </c>
      <c r="C3417" s="2">
        <v>6.0121200494999997E-3</v>
      </c>
      <c r="D3417" s="2">
        <v>-1.3418205E-3</v>
      </c>
      <c r="E3417" s="2">
        <v>1</v>
      </c>
      <c r="F3417" s="2">
        <v>2.37606528011549E-2</v>
      </c>
      <c r="G3417" s="2">
        <v>1</v>
      </c>
    </row>
    <row r="3418" spans="1:7" x14ac:dyDescent="0.2">
      <c r="A3418" s="2" t="s">
        <v>53</v>
      </c>
      <c r="B3418" s="14">
        <v>39356</v>
      </c>
      <c r="C3418" s="2">
        <v>5.9619047618999998E-2</v>
      </c>
      <c r="D3418" s="2">
        <v>0</v>
      </c>
      <c r="E3418" s="2">
        <v>1</v>
      </c>
      <c r="F3418" s="2">
        <v>2.4180565896625299E-2</v>
      </c>
      <c r="G3418" s="2">
        <v>1</v>
      </c>
    </row>
    <row r="3419" spans="1:7" x14ac:dyDescent="0.2">
      <c r="A3419" s="2" t="s">
        <v>53</v>
      </c>
      <c r="B3419" s="14">
        <v>39387</v>
      </c>
      <c r="C3419" s="2">
        <v>-7.8029887591000005E-2</v>
      </c>
      <c r="D3419" s="2">
        <v>-3.6179812000000002E-3</v>
      </c>
      <c r="E3419" s="2">
        <v>1</v>
      </c>
      <c r="F3419" s="2">
        <v>2.0053696809416901E-2</v>
      </c>
      <c r="G3419" s="2">
        <v>1</v>
      </c>
    </row>
    <row r="3420" spans="1:7" x14ac:dyDescent="0.2">
      <c r="A3420" s="2" t="s">
        <v>53</v>
      </c>
      <c r="B3420" s="14">
        <v>39417</v>
      </c>
      <c r="C3420" s="2">
        <v>-4.3852760737E-2</v>
      </c>
      <c r="D3420" s="2">
        <v>0</v>
      </c>
      <c r="E3420" s="2">
        <v>1</v>
      </c>
      <c r="F3420" s="2">
        <v>1.51757081420627E-2</v>
      </c>
      <c r="G3420" s="2">
        <v>1</v>
      </c>
    </row>
    <row r="3421" spans="1:7" x14ac:dyDescent="0.2">
      <c r="A3421" s="2" t="s">
        <v>53</v>
      </c>
      <c r="B3421" s="14">
        <v>39448</v>
      </c>
      <c r="C3421" s="2">
        <v>-0.19201550189</v>
      </c>
      <c r="D3421" s="2">
        <v>4.0623827999999997E-4</v>
      </c>
      <c r="E3421" s="2">
        <v>1</v>
      </c>
      <c r="F3421" s="2">
        <v>1.12839298020649E-2</v>
      </c>
      <c r="G3421" s="2">
        <v>1</v>
      </c>
    </row>
    <row r="3422" spans="1:7" x14ac:dyDescent="0.2">
      <c r="A3422" s="2" t="s">
        <v>53</v>
      </c>
      <c r="B3422" s="14">
        <v>39479</v>
      </c>
      <c r="C3422" s="2">
        <v>9.5881708304999994E-2</v>
      </c>
      <c r="D3422" s="2">
        <v>0</v>
      </c>
      <c r="E3422" s="2">
        <v>1</v>
      </c>
      <c r="F3422" s="2">
        <v>6.9137153325142999E-3</v>
      </c>
      <c r="G3422" s="2">
        <v>1</v>
      </c>
    </row>
    <row r="3423" spans="1:7" x14ac:dyDescent="0.2">
      <c r="A3423" s="2" t="s">
        <v>53</v>
      </c>
      <c r="B3423" s="14">
        <v>39508</v>
      </c>
      <c r="C3423" s="2">
        <v>1.4202898552E-2</v>
      </c>
      <c r="D3423" s="2">
        <v>1.7603658000000001E-2</v>
      </c>
      <c r="E3423" s="2">
        <v>1</v>
      </c>
      <c r="F3423" s="2">
        <v>8.2674488932906499E-3</v>
      </c>
      <c r="G3423" s="2">
        <v>1</v>
      </c>
    </row>
    <row r="3424" spans="1:7" x14ac:dyDescent="0.2">
      <c r="A3424" s="2" t="s">
        <v>53</v>
      </c>
      <c r="B3424" s="14">
        <v>39539</v>
      </c>
      <c r="C3424" s="2">
        <v>-4.2583595313000003E-2</v>
      </c>
      <c r="D3424" s="2">
        <v>0</v>
      </c>
      <c r="E3424" s="2">
        <v>1</v>
      </c>
      <c r="F3424" s="2">
        <v>8.4633636984586397E-3</v>
      </c>
      <c r="G3424" s="2">
        <v>1</v>
      </c>
    </row>
    <row r="3425" spans="1:7" x14ac:dyDescent="0.2">
      <c r="A3425" s="2" t="s">
        <v>53</v>
      </c>
      <c r="B3425" s="14">
        <v>39569</v>
      </c>
      <c r="C3425" s="2">
        <v>-5.2118874102000001E-2</v>
      </c>
      <c r="D3425" s="19">
        <v>1.330914E-5</v>
      </c>
      <c r="E3425" s="2">
        <v>1</v>
      </c>
      <c r="F3425" s="2">
        <v>5.3353277339360803E-3</v>
      </c>
      <c r="G3425" s="2">
        <v>1</v>
      </c>
    </row>
    <row r="3426" spans="1:7" x14ac:dyDescent="0.2">
      <c r="A3426" s="2" t="s">
        <v>53</v>
      </c>
      <c r="B3426" s="14">
        <v>39600</v>
      </c>
      <c r="C3426" s="2">
        <v>-0.13875598085999999</v>
      </c>
      <c r="D3426" s="19">
        <v>2.7039992E-5</v>
      </c>
      <c r="E3426" s="2">
        <v>1</v>
      </c>
      <c r="F3426" s="2">
        <v>6.1461883948659502E-3</v>
      </c>
      <c r="G3426" s="2">
        <v>1</v>
      </c>
    </row>
    <row r="3427" spans="1:7" x14ac:dyDescent="0.2">
      <c r="A3427" s="2" t="s">
        <v>53</v>
      </c>
      <c r="B3427" s="14">
        <v>39630</v>
      </c>
      <c r="C3427" s="2">
        <v>1.6666666665999998E-2</v>
      </c>
      <c r="D3427" s="19">
        <v>5.8111418000000002E-6</v>
      </c>
      <c r="E3427" s="2">
        <v>1</v>
      </c>
      <c r="F3427" s="2">
        <v>3.7550829749678199E-3</v>
      </c>
      <c r="G3427" s="2">
        <v>1</v>
      </c>
    </row>
    <row r="3428" spans="1:7" x14ac:dyDescent="0.2">
      <c r="A3428" s="2" t="s">
        <v>53</v>
      </c>
      <c r="B3428" s="14">
        <v>39661</v>
      </c>
      <c r="C3428" s="2">
        <v>-5.2823315117000003E-2</v>
      </c>
      <c r="D3428" s="2">
        <v>5.0580110000000003E-3</v>
      </c>
      <c r="E3428" s="2">
        <v>1</v>
      </c>
      <c r="F3428" s="2">
        <v>2.1492606430745702E-3</v>
      </c>
      <c r="G3428" s="2">
        <v>1</v>
      </c>
    </row>
    <row r="3429" spans="1:7" x14ac:dyDescent="0.2">
      <c r="A3429" s="2" t="s">
        <v>53</v>
      </c>
      <c r="B3429" s="14">
        <v>39692</v>
      </c>
      <c r="C3429" s="2">
        <v>-0.21153846154</v>
      </c>
      <c r="D3429" s="2">
        <v>1.8957786E-4</v>
      </c>
      <c r="E3429" s="2">
        <v>1</v>
      </c>
      <c r="F3429" s="2">
        <v>-2.0742855959205702E-3</v>
      </c>
      <c r="G3429" s="2">
        <v>1</v>
      </c>
    </row>
    <row r="3430" spans="1:7" x14ac:dyDescent="0.2">
      <c r="A3430" s="2" t="s">
        <v>53</v>
      </c>
      <c r="B3430" s="14">
        <v>39722</v>
      </c>
      <c r="C3430" s="2">
        <v>-0.10731707317</v>
      </c>
      <c r="D3430" s="2">
        <v>-4.5570530999999997E-3</v>
      </c>
      <c r="E3430" s="2">
        <v>1</v>
      </c>
      <c r="F3430" s="2">
        <v>-7.8011715981476199E-3</v>
      </c>
      <c r="G3430" s="2">
        <v>1</v>
      </c>
    </row>
    <row r="3431" spans="1:7" x14ac:dyDescent="0.2">
      <c r="A3431" s="2" t="s">
        <v>53</v>
      </c>
      <c r="B3431" s="14">
        <v>39753</v>
      </c>
      <c r="C3431" s="2">
        <v>-5.5558113832000003E-2</v>
      </c>
      <c r="D3431" s="2">
        <v>0</v>
      </c>
      <c r="E3431" s="2">
        <v>1</v>
      </c>
      <c r="F3431" s="2">
        <v>-9.5232925636866295E-3</v>
      </c>
      <c r="G3431" s="2">
        <v>1</v>
      </c>
    </row>
    <row r="3432" spans="1:7" x14ac:dyDescent="0.2">
      <c r="A3432" s="2" t="s">
        <v>53</v>
      </c>
      <c r="B3432" s="14">
        <v>39783</v>
      </c>
      <c r="C3432" s="2">
        <v>5.8997050145999999E-3</v>
      </c>
      <c r="D3432" s="2">
        <v>1.808685E-3</v>
      </c>
      <c r="E3432" s="2">
        <v>1</v>
      </c>
      <c r="F3432" s="2">
        <v>-9.4490526983148099E-3</v>
      </c>
      <c r="G3432" s="2">
        <v>1</v>
      </c>
    </row>
    <row r="3433" spans="1:7" x14ac:dyDescent="0.2">
      <c r="A3433" s="2" t="s">
        <v>54</v>
      </c>
      <c r="B3433" s="14">
        <v>37591</v>
      </c>
      <c r="C3433" s="2">
        <v>9.0909090903999994E-3</v>
      </c>
      <c r="D3433" s="19">
        <v>1.1666666999999999E-5</v>
      </c>
      <c r="E3433" s="2">
        <v>1</v>
      </c>
      <c r="G3433" s="2">
        <v>2</v>
      </c>
    </row>
    <row r="3434" spans="1:7" x14ac:dyDescent="0.2">
      <c r="A3434" s="2" t="s">
        <v>54</v>
      </c>
      <c r="B3434" s="14">
        <v>37622</v>
      </c>
      <c r="C3434" s="2">
        <v>8.1171149176999996E-2</v>
      </c>
      <c r="D3434" s="2">
        <v>0</v>
      </c>
      <c r="E3434" s="2">
        <v>1</v>
      </c>
      <c r="G3434" s="2">
        <v>2</v>
      </c>
    </row>
    <row r="3435" spans="1:7" x14ac:dyDescent="0.2">
      <c r="A3435" s="2" t="s">
        <v>54</v>
      </c>
      <c r="B3435" s="14">
        <v>37653</v>
      </c>
      <c r="D3435" s="2">
        <v>0</v>
      </c>
      <c r="E3435" s="2">
        <v>1</v>
      </c>
      <c r="G3435" s="2">
        <v>2</v>
      </c>
    </row>
    <row r="3436" spans="1:7" x14ac:dyDescent="0.2">
      <c r="A3436" s="2" t="s">
        <v>54</v>
      </c>
      <c r="B3436" s="14">
        <v>37681</v>
      </c>
      <c r="C3436" s="2">
        <v>1.4451948536999999E-3</v>
      </c>
      <c r="D3436" s="2">
        <v>1.5164702000000001E-4</v>
      </c>
      <c r="E3436" s="2">
        <v>1</v>
      </c>
      <c r="G3436" s="2">
        <v>2</v>
      </c>
    </row>
    <row r="3437" spans="1:7" x14ac:dyDescent="0.2">
      <c r="A3437" s="2" t="s">
        <v>54</v>
      </c>
      <c r="B3437" s="14">
        <v>37712</v>
      </c>
      <c r="C3437" s="2">
        <v>0.28749999999999998</v>
      </c>
      <c r="D3437" s="2">
        <v>2.6973661000000001E-3</v>
      </c>
      <c r="E3437" s="2">
        <v>1</v>
      </c>
      <c r="G3437" s="2">
        <v>2</v>
      </c>
    </row>
    <row r="3438" spans="1:7" x14ac:dyDescent="0.2">
      <c r="A3438" s="2" t="s">
        <v>54</v>
      </c>
      <c r="B3438" s="14">
        <v>37742</v>
      </c>
      <c r="C3438" s="2">
        <v>4.5176447347E-2</v>
      </c>
      <c r="D3438" s="2">
        <v>5.8184912999999997E-4</v>
      </c>
      <c r="E3438" s="2">
        <v>1</v>
      </c>
      <c r="G3438" s="2">
        <v>2</v>
      </c>
    </row>
    <row r="3439" spans="1:7" x14ac:dyDescent="0.2">
      <c r="A3439" s="2" t="s">
        <v>54</v>
      </c>
      <c r="B3439" s="14">
        <v>37773</v>
      </c>
      <c r="C3439" s="2">
        <v>1.2738853503999999E-2</v>
      </c>
      <c r="D3439" s="2">
        <v>1.1075944E-4</v>
      </c>
      <c r="E3439" s="2">
        <v>1</v>
      </c>
      <c r="G3439" s="2">
        <v>2</v>
      </c>
    </row>
    <row r="3440" spans="1:7" x14ac:dyDescent="0.2">
      <c r="A3440" s="2" t="s">
        <v>54</v>
      </c>
      <c r="B3440" s="14">
        <v>37803</v>
      </c>
      <c r="C3440" s="2">
        <v>5.6603773583999997E-2</v>
      </c>
      <c r="D3440" s="2">
        <v>3.4078047999999998E-4</v>
      </c>
      <c r="E3440" s="2">
        <v>1</v>
      </c>
      <c r="G3440" s="2">
        <v>2</v>
      </c>
    </row>
    <row r="3441" spans="1:7" x14ac:dyDescent="0.2">
      <c r="A3441" s="2" t="s">
        <v>54</v>
      </c>
      <c r="B3441" s="14">
        <v>37834</v>
      </c>
      <c r="C3441" s="2">
        <v>1.1904761905E-2</v>
      </c>
      <c r="D3441" s="2">
        <v>7.8494310999999996E-4</v>
      </c>
      <c r="E3441" s="2">
        <v>1</v>
      </c>
      <c r="F3441" s="2">
        <v>3.6219615507728301E-2</v>
      </c>
      <c r="G3441" s="2">
        <v>2</v>
      </c>
    </row>
    <row r="3442" spans="1:7" x14ac:dyDescent="0.2">
      <c r="A3442" s="2" t="s">
        <v>54</v>
      </c>
      <c r="B3442" s="14">
        <v>37865</v>
      </c>
      <c r="C3442" s="2">
        <v>0</v>
      </c>
      <c r="D3442" s="2">
        <v>1.0153009000000001E-3</v>
      </c>
      <c r="E3442" s="2">
        <v>1</v>
      </c>
      <c r="F3442" s="2">
        <v>3.6429435840002598E-2</v>
      </c>
      <c r="G3442" s="2">
        <v>2</v>
      </c>
    </row>
    <row r="3443" spans="1:7" x14ac:dyDescent="0.2">
      <c r="A3443" s="2" t="s">
        <v>54</v>
      </c>
      <c r="B3443" s="14">
        <v>37895</v>
      </c>
      <c r="C3443" s="2">
        <v>8.8235294118999996E-2</v>
      </c>
      <c r="D3443" s="2">
        <v>1.9988943999999999E-3</v>
      </c>
      <c r="E3443" s="2">
        <v>1</v>
      </c>
      <c r="F3443" s="2">
        <v>3.6311914367793199E-2</v>
      </c>
      <c r="G3443" s="2">
        <v>2</v>
      </c>
    </row>
    <row r="3444" spans="1:7" x14ac:dyDescent="0.2">
      <c r="A3444" s="2" t="s">
        <v>54</v>
      </c>
      <c r="B3444" s="14">
        <v>37926</v>
      </c>
      <c r="C3444" s="2">
        <v>0</v>
      </c>
      <c r="D3444" s="2">
        <v>4.825691E-4</v>
      </c>
      <c r="E3444" s="2">
        <v>1</v>
      </c>
      <c r="F3444" s="2">
        <v>3.0254882242245099E-2</v>
      </c>
      <c r="G3444" s="2">
        <v>2</v>
      </c>
    </row>
    <row r="3445" spans="1:7" x14ac:dyDescent="0.2">
      <c r="A3445" s="2" t="s">
        <v>54</v>
      </c>
      <c r="B3445" s="14">
        <v>37956</v>
      </c>
      <c r="C3445" s="2">
        <v>0</v>
      </c>
      <c r="D3445" s="2">
        <v>1.9946666000000002E-3</v>
      </c>
      <c r="E3445" s="2">
        <v>1</v>
      </c>
      <c r="F3445" s="2">
        <v>2.88994347116939E-2</v>
      </c>
      <c r="G3445" s="2">
        <v>2</v>
      </c>
    </row>
    <row r="3446" spans="1:7" x14ac:dyDescent="0.2">
      <c r="A3446" s="2" t="s">
        <v>54</v>
      </c>
      <c r="B3446" s="14">
        <v>37987</v>
      </c>
      <c r="C3446" s="2">
        <v>0</v>
      </c>
      <c r="E3446" s="2">
        <v>1</v>
      </c>
      <c r="F3446" s="2">
        <v>2.8482408662656E-2</v>
      </c>
      <c r="G3446" s="2">
        <v>2</v>
      </c>
    </row>
    <row r="3447" spans="1:7" x14ac:dyDescent="0.2">
      <c r="A3447" s="2" t="s">
        <v>54</v>
      </c>
      <c r="B3447" s="14">
        <v>38018</v>
      </c>
      <c r="C3447" s="2">
        <v>0</v>
      </c>
      <c r="E3447" s="2">
        <v>1</v>
      </c>
      <c r="F3447" s="2">
        <v>2.6862987085457798E-2</v>
      </c>
      <c r="G3447" s="2">
        <v>2</v>
      </c>
    </row>
    <row r="3448" spans="1:7" x14ac:dyDescent="0.2">
      <c r="A3448" s="2" t="s">
        <v>54</v>
      </c>
      <c r="B3448" s="14">
        <v>38047</v>
      </c>
      <c r="C3448" s="2">
        <v>0</v>
      </c>
      <c r="D3448" s="2">
        <v>4.2604716000000003E-3</v>
      </c>
      <c r="E3448" s="2">
        <v>1</v>
      </c>
      <c r="F3448" s="2">
        <v>2.6464541487617201E-2</v>
      </c>
      <c r="G3448" s="2">
        <v>2</v>
      </c>
    </row>
    <row r="3449" spans="1:7" x14ac:dyDescent="0.2">
      <c r="A3449" s="2" t="s">
        <v>54</v>
      </c>
      <c r="B3449" s="14">
        <v>38078</v>
      </c>
      <c r="C3449" s="2">
        <v>0</v>
      </c>
      <c r="D3449" s="2">
        <v>0</v>
      </c>
      <c r="E3449" s="2">
        <v>1</v>
      </c>
      <c r="F3449" s="2">
        <v>2.6465770063547101E-2</v>
      </c>
      <c r="G3449" s="2">
        <v>2</v>
      </c>
    </row>
    <row r="3450" spans="1:7" x14ac:dyDescent="0.2">
      <c r="A3450" s="2" t="s">
        <v>54</v>
      </c>
      <c r="B3450" s="14">
        <v>38108</v>
      </c>
      <c r="C3450" s="2">
        <v>3.3519553071999997E-2</v>
      </c>
      <c r="D3450" s="2">
        <v>0</v>
      </c>
      <c r="E3450" s="2">
        <v>1</v>
      </c>
      <c r="F3450" s="2">
        <v>2.29200674143221E-2</v>
      </c>
      <c r="G3450" s="2">
        <v>2</v>
      </c>
    </row>
    <row r="3451" spans="1:7" x14ac:dyDescent="0.2">
      <c r="A3451" s="2" t="s">
        <v>54</v>
      </c>
      <c r="B3451" s="14">
        <v>38139</v>
      </c>
      <c r="C3451" s="2">
        <v>-5.4054054054000003E-2</v>
      </c>
      <c r="D3451" s="19">
        <v>-9.1869915E-5</v>
      </c>
      <c r="E3451" s="2">
        <v>1</v>
      </c>
      <c r="F3451" s="2">
        <v>2.38734349433555E-2</v>
      </c>
      <c r="G3451" s="2">
        <v>2</v>
      </c>
    </row>
    <row r="3452" spans="1:7" x14ac:dyDescent="0.2">
      <c r="A3452" s="2" t="s">
        <v>54</v>
      </c>
      <c r="B3452" s="14">
        <v>38169</v>
      </c>
      <c r="C3452" s="2">
        <v>0</v>
      </c>
      <c r="D3452" s="2">
        <v>0</v>
      </c>
      <c r="E3452" s="2">
        <v>1</v>
      </c>
      <c r="F3452" s="2">
        <v>2.25623332258457E-2</v>
      </c>
      <c r="G3452" s="2">
        <v>2</v>
      </c>
    </row>
    <row r="3453" spans="1:7" x14ac:dyDescent="0.2">
      <c r="A3453" s="2" t="s">
        <v>54</v>
      </c>
      <c r="B3453" s="14">
        <v>38200</v>
      </c>
      <c r="C3453" s="2">
        <v>5.6000000000000001E-2</v>
      </c>
      <c r="D3453" s="2">
        <v>0</v>
      </c>
      <c r="E3453" s="2">
        <v>1</v>
      </c>
      <c r="F3453" s="2">
        <v>1.36030471558317E-2</v>
      </c>
      <c r="G3453" s="2">
        <v>2</v>
      </c>
    </row>
    <row r="3454" spans="1:7" x14ac:dyDescent="0.2">
      <c r="A3454" s="2" t="s">
        <v>54</v>
      </c>
      <c r="B3454" s="14">
        <v>38231</v>
      </c>
      <c r="C3454" s="2">
        <v>-6.9264069264E-2</v>
      </c>
      <c r="D3454" s="2">
        <v>1.1447154000000001E-4</v>
      </c>
      <c r="E3454" s="2">
        <v>1</v>
      </c>
      <c r="F3454" s="2">
        <v>1.5153649272437101E-2</v>
      </c>
      <c r="G3454" s="2">
        <v>2</v>
      </c>
    </row>
    <row r="3455" spans="1:7" x14ac:dyDescent="0.2">
      <c r="A3455" s="2" t="s">
        <v>54</v>
      </c>
      <c r="B3455" s="14">
        <v>38261</v>
      </c>
      <c r="C3455" s="2">
        <v>1.7441860465999999E-2</v>
      </c>
      <c r="D3455" s="19">
        <v>3.8504066000000003E-5</v>
      </c>
      <c r="E3455" s="2">
        <v>1</v>
      </c>
      <c r="F3455" s="2">
        <v>1.34440727760133E-2</v>
      </c>
      <c r="G3455" s="2">
        <v>2</v>
      </c>
    </row>
    <row r="3456" spans="1:7" x14ac:dyDescent="0.2">
      <c r="A3456" s="2" t="s">
        <v>54</v>
      </c>
      <c r="B3456" s="14">
        <v>38292</v>
      </c>
      <c r="C3456" s="2">
        <v>-2.8571428571999999E-2</v>
      </c>
      <c r="D3456" s="19">
        <v>8.1300813999999998E-6</v>
      </c>
      <c r="E3456" s="2">
        <v>1</v>
      </c>
      <c r="F3456" s="2">
        <v>1.37449318080926E-2</v>
      </c>
      <c r="G3456" s="2">
        <v>2</v>
      </c>
    </row>
    <row r="3457" spans="1:7" x14ac:dyDescent="0.2">
      <c r="A3457" s="2" t="s">
        <v>54</v>
      </c>
      <c r="B3457" s="14">
        <v>38322</v>
      </c>
      <c r="C3457" s="2">
        <v>7.3529411766000002E-2</v>
      </c>
      <c r="D3457" s="2">
        <v>0</v>
      </c>
      <c r="E3457" s="2">
        <v>1</v>
      </c>
      <c r="F3457" s="2">
        <v>1.20338995289606E-2</v>
      </c>
      <c r="G3457" s="2">
        <v>2</v>
      </c>
    </row>
    <row r="3458" spans="1:7" x14ac:dyDescent="0.2">
      <c r="A3458" s="2" t="s">
        <v>54</v>
      </c>
      <c r="B3458" s="14">
        <v>38353</v>
      </c>
      <c r="C3458" s="2">
        <v>1.3698630137E-2</v>
      </c>
      <c r="D3458" s="2">
        <v>0</v>
      </c>
      <c r="E3458" s="2">
        <v>1</v>
      </c>
      <c r="F3458" s="2">
        <v>1.5683159931071E-2</v>
      </c>
      <c r="G3458" s="2">
        <v>2</v>
      </c>
    </row>
    <row r="3459" spans="1:7" x14ac:dyDescent="0.2">
      <c r="A3459" s="2" t="s">
        <v>54</v>
      </c>
      <c r="B3459" s="14">
        <v>38384</v>
      </c>
      <c r="C3459" s="2">
        <v>1.0810810811E-2</v>
      </c>
      <c r="D3459" s="2">
        <v>0</v>
      </c>
      <c r="E3459" s="2">
        <v>1</v>
      </c>
      <c r="F3459" s="2">
        <v>1.60501872253297E-2</v>
      </c>
      <c r="G3459" s="2">
        <v>2</v>
      </c>
    </row>
    <row r="3460" spans="1:7" x14ac:dyDescent="0.2">
      <c r="A3460" s="2" t="s">
        <v>54</v>
      </c>
      <c r="B3460" s="14">
        <v>38412</v>
      </c>
      <c r="C3460" s="2">
        <v>-5.3475935829000003E-3</v>
      </c>
      <c r="D3460" s="2">
        <v>0</v>
      </c>
      <c r="E3460" s="2">
        <v>1</v>
      </c>
      <c r="F3460" s="2">
        <v>1.4720814365784001E-2</v>
      </c>
      <c r="G3460" s="2">
        <v>2</v>
      </c>
    </row>
    <row r="3461" spans="1:7" x14ac:dyDescent="0.2">
      <c r="A3461" s="2" t="s">
        <v>54</v>
      </c>
      <c r="B3461" s="14">
        <v>38443</v>
      </c>
      <c r="C3461" s="2">
        <v>2.1505376343999998E-2</v>
      </c>
      <c r="D3461" s="2">
        <v>0</v>
      </c>
      <c r="E3461" s="2">
        <v>1</v>
      </c>
      <c r="F3461" s="2">
        <v>1.65811326108849E-2</v>
      </c>
      <c r="G3461" s="2">
        <v>2</v>
      </c>
    </row>
    <row r="3462" spans="1:7" x14ac:dyDescent="0.2">
      <c r="A3462" s="2" t="s">
        <v>54</v>
      </c>
      <c r="B3462" s="14">
        <v>38473</v>
      </c>
      <c r="C3462" s="2">
        <v>2.2727271566000001E-2</v>
      </c>
      <c r="D3462" s="2">
        <v>0</v>
      </c>
      <c r="E3462" s="2">
        <v>1</v>
      </c>
      <c r="F3462" s="2">
        <v>1.6655334131065999E-2</v>
      </c>
      <c r="G3462" s="2">
        <v>2</v>
      </c>
    </row>
    <row r="3463" spans="1:7" x14ac:dyDescent="0.2">
      <c r="A3463" s="2" t="s">
        <v>54</v>
      </c>
      <c r="B3463" s="14">
        <v>38504</v>
      </c>
      <c r="C3463" s="2">
        <v>0</v>
      </c>
      <c r="D3463" s="2">
        <v>0</v>
      </c>
      <c r="E3463" s="2">
        <v>1</v>
      </c>
      <c r="F3463" s="2">
        <v>1.82502206094537E-2</v>
      </c>
      <c r="G3463" s="2">
        <v>2</v>
      </c>
    </row>
    <row r="3464" spans="1:7" x14ac:dyDescent="0.2">
      <c r="A3464" s="2" t="s">
        <v>54</v>
      </c>
      <c r="B3464" s="14">
        <v>38534</v>
      </c>
      <c r="C3464" s="2">
        <v>0</v>
      </c>
      <c r="D3464" s="2">
        <v>-4.3414635000000001E-4</v>
      </c>
      <c r="E3464" s="2">
        <v>1</v>
      </c>
      <c r="F3464" s="2">
        <v>1.6044730870129E-2</v>
      </c>
      <c r="G3464" s="2">
        <v>2</v>
      </c>
    </row>
    <row r="3465" spans="1:7" x14ac:dyDescent="0.2">
      <c r="A3465" s="2" t="s">
        <v>54</v>
      </c>
      <c r="B3465" s="14">
        <v>38565</v>
      </c>
      <c r="C3465" s="2">
        <v>0</v>
      </c>
      <c r="D3465" s="2">
        <v>0</v>
      </c>
      <c r="E3465" s="2">
        <v>1</v>
      </c>
      <c r="F3465" s="2">
        <v>1.6844945776856E-2</v>
      </c>
      <c r="G3465" s="2">
        <v>2</v>
      </c>
    </row>
    <row r="3466" spans="1:7" x14ac:dyDescent="0.2">
      <c r="A3466" s="2" t="s">
        <v>54</v>
      </c>
      <c r="B3466" s="14">
        <v>38596</v>
      </c>
      <c r="C3466" s="2">
        <v>0</v>
      </c>
      <c r="D3466" s="19">
        <v>3.4959351000000001E-6</v>
      </c>
      <c r="E3466" s="2">
        <v>1</v>
      </c>
      <c r="F3466" s="2">
        <v>1.6475588201423301E-2</v>
      </c>
      <c r="G3466" s="2">
        <v>2</v>
      </c>
    </row>
    <row r="3467" spans="1:7" x14ac:dyDescent="0.2">
      <c r="A3467" s="2" t="s">
        <v>54</v>
      </c>
      <c r="B3467" s="14">
        <v>38626</v>
      </c>
      <c r="C3467" s="2">
        <v>-8.3333333334000004E-2</v>
      </c>
      <c r="D3467" s="2">
        <v>1.5908942000000001E-4</v>
      </c>
      <c r="E3467" s="2">
        <v>1</v>
      </c>
      <c r="F3467" s="2">
        <v>1.64579193741047E-2</v>
      </c>
      <c r="G3467" s="2">
        <v>2</v>
      </c>
    </row>
    <row r="3468" spans="1:7" x14ac:dyDescent="0.2">
      <c r="A3468" s="2" t="s">
        <v>54</v>
      </c>
      <c r="B3468" s="14">
        <v>38657</v>
      </c>
      <c r="D3468" s="2">
        <v>0</v>
      </c>
      <c r="E3468" s="2">
        <v>1</v>
      </c>
      <c r="F3468" s="2">
        <v>1.3849402657463501E-2</v>
      </c>
      <c r="G3468" s="2">
        <v>2</v>
      </c>
    </row>
    <row r="3469" spans="1:7" x14ac:dyDescent="0.2">
      <c r="A3469" s="2" t="s">
        <v>54</v>
      </c>
      <c r="B3469" s="14">
        <v>38687</v>
      </c>
      <c r="C3469" s="2">
        <v>-3.7030303028999997E-2</v>
      </c>
      <c r="D3469" s="2">
        <v>0</v>
      </c>
      <c r="E3469" s="2">
        <v>1</v>
      </c>
      <c r="G3469" s="2">
        <v>2</v>
      </c>
    </row>
    <row r="3470" spans="1:7" x14ac:dyDescent="0.2">
      <c r="A3470" s="2" t="s">
        <v>54</v>
      </c>
      <c r="B3470" s="14">
        <v>38718</v>
      </c>
      <c r="C3470" s="2">
        <v>-5.5950657687999998E-2</v>
      </c>
      <c r="D3470" s="2">
        <v>0</v>
      </c>
      <c r="E3470" s="2">
        <v>1</v>
      </c>
      <c r="F3470" s="2">
        <v>1.21026325141722E-2</v>
      </c>
      <c r="G3470" s="2">
        <v>2</v>
      </c>
    </row>
    <row r="3471" spans="1:7" x14ac:dyDescent="0.2">
      <c r="A3471" s="2" t="s">
        <v>54</v>
      </c>
      <c r="B3471" s="14">
        <v>38749</v>
      </c>
      <c r="C3471" s="2">
        <v>-6.6666666666000005E-2</v>
      </c>
      <c r="D3471" s="2">
        <v>0</v>
      </c>
      <c r="E3471" s="2">
        <v>1</v>
      </c>
      <c r="F3471" s="2">
        <v>1.06693860717407E-2</v>
      </c>
      <c r="G3471" s="2">
        <v>2</v>
      </c>
    </row>
    <row r="3472" spans="1:7" x14ac:dyDescent="0.2">
      <c r="A3472" s="2" t="s">
        <v>54</v>
      </c>
      <c r="B3472" s="14">
        <v>38777</v>
      </c>
      <c r="C3472" s="2">
        <v>7.1428571428E-3</v>
      </c>
      <c r="D3472" s="2">
        <v>0</v>
      </c>
      <c r="E3472" s="2">
        <v>1</v>
      </c>
      <c r="F3472" s="2">
        <v>8.9541369369172501E-3</v>
      </c>
      <c r="G3472" s="2">
        <v>2</v>
      </c>
    </row>
    <row r="3473" spans="1:7" x14ac:dyDescent="0.2">
      <c r="A3473" s="2" t="s">
        <v>54</v>
      </c>
      <c r="B3473" s="14">
        <v>38808</v>
      </c>
      <c r="C3473" s="2">
        <v>0</v>
      </c>
      <c r="D3473" s="2">
        <v>0</v>
      </c>
      <c r="E3473" s="2">
        <v>1</v>
      </c>
      <c r="F3473" s="2">
        <v>9.1564053289044101E-3</v>
      </c>
      <c r="G3473" s="2">
        <v>2</v>
      </c>
    </row>
    <row r="3474" spans="1:7" x14ac:dyDescent="0.2">
      <c r="A3474" s="2" t="s">
        <v>54</v>
      </c>
      <c r="B3474" s="14">
        <v>38838</v>
      </c>
      <c r="C3474" s="2">
        <v>2.7146001465999998E-2</v>
      </c>
      <c r="D3474" s="2">
        <v>0</v>
      </c>
      <c r="E3474" s="2">
        <v>1</v>
      </c>
      <c r="F3474" s="2">
        <v>1.1531327049897001E-2</v>
      </c>
      <c r="G3474" s="2">
        <v>2</v>
      </c>
    </row>
    <row r="3475" spans="1:7" x14ac:dyDescent="0.2">
      <c r="A3475" s="2" t="s">
        <v>54</v>
      </c>
      <c r="B3475" s="14">
        <v>38869</v>
      </c>
      <c r="C3475" s="2">
        <v>0</v>
      </c>
      <c r="D3475" s="2">
        <v>0</v>
      </c>
      <c r="E3475" s="2">
        <v>1</v>
      </c>
      <c r="F3475" s="2">
        <v>1.23421091916277E-2</v>
      </c>
      <c r="G3475" s="2">
        <v>2</v>
      </c>
    </row>
    <row r="3476" spans="1:7" x14ac:dyDescent="0.2">
      <c r="A3476" s="2" t="s">
        <v>54</v>
      </c>
      <c r="B3476" s="14">
        <v>38899</v>
      </c>
      <c r="C3476" s="2">
        <v>3.5714285714000003E-2</v>
      </c>
      <c r="D3476" s="2">
        <v>0</v>
      </c>
      <c r="E3476" s="2">
        <v>1</v>
      </c>
      <c r="F3476" s="2">
        <v>1.3411943364343801E-2</v>
      </c>
      <c r="G3476" s="2">
        <v>2</v>
      </c>
    </row>
    <row r="3477" spans="1:7" x14ac:dyDescent="0.2">
      <c r="A3477" s="2" t="s">
        <v>54</v>
      </c>
      <c r="B3477" s="14">
        <v>38930</v>
      </c>
      <c r="C3477" s="2">
        <v>0.10344827585999999</v>
      </c>
      <c r="D3477" s="2">
        <v>0</v>
      </c>
      <c r="E3477" s="2">
        <v>1</v>
      </c>
      <c r="F3477" s="2">
        <v>1.7592523957332299E-2</v>
      </c>
      <c r="G3477" s="2">
        <v>2</v>
      </c>
    </row>
    <row r="3478" spans="1:7" x14ac:dyDescent="0.2">
      <c r="A3478" s="2" t="s">
        <v>54</v>
      </c>
      <c r="B3478" s="14">
        <v>38961</v>
      </c>
      <c r="C3478" s="2">
        <v>1.3124999987E-3</v>
      </c>
      <c r="D3478" s="2">
        <v>0</v>
      </c>
      <c r="E3478" s="2">
        <v>1</v>
      </c>
      <c r="F3478" s="2">
        <v>2.25473094032227E-2</v>
      </c>
      <c r="G3478" s="2">
        <v>2</v>
      </c>
    </row>
    <row r="3479" spans="1:7" x14ac:dyDescent="0.2">
      <c r="A3479" s="2" t="s">
        <v>54</v>
      </c>
      <c r="B3479" s="14">
        <v>38991</v>
      </c>
      <c r="C3479" s="2">
        <v>2.9898258537E-2</v>
      </c>
      <c r="D3479" s="2">
        <v>0</v>
      </c>
      <c r="E3479" s="2">
        <v>1</v>
      </c>
      <c r="F3479" s="2">
        <v>2.2376202034154299E-2</v>
      </c>
      <c r="G3479" s="2">
        <v>2</v>
      </c>
    </row>
    <row r="3480" spans="1:7" x14ac:dyDescent="0.2">
      <c r="A3480" s="2" t="s">
        <v>54</v>
      </c>
      <c r="B3480" s="14">
        <v>39022</v>
      </c>
      <c r="C3480" s="2">
        <v>1.2121212120999999E-2</v>
      </c>
      <c r="D3480" s="2">
        <v>0</v>
      </c>
      <c r="E3480" s="2">
        <v>1</v>
      </c>
      <c r="F3480" s="2">
        <v>2.3064589951097898E-2</v>
      </c>
      <c r="G3480" s="2">
        <v>2</v>
      </c>
    </row>
    <row r="3481" spans="1:7" x14ac:dyDescent="0.2">
      <c r="A3481" s="2" t="s">
        <v>54</v>
      </c>
      <c r="B3481" s="14">
        <v>39052</v>
      </c>
      <c r="C3481" s="2">
        <v>4.7904191616999998E-2</v>
      </c>
      <c r="D3481" s="2">
        <v>0</v>
      </c>
      <c r="E3481" s="2">
        <v>1</v>
      </c>
      <c r="F3481" s="2">
        <v>2.2562922408882399E-2</v>
      </c>
      <c r="G3481" s="2">
        <v>2</v>
      </c>
    </row>
    <row r="3482" spans="1:7" x14ac:dyDescent="0.2">
      <c r="A3482" s="2" t="s">
        <v>54</v>
      </c>
      <c r="B3482" s="14">
        <v>39083</v>
      </c>
      <c r="C3482" s="2">
        <v>0</v>
      </c>
      <c r="D3482" s="2">
        <v>0</v>
      </c>
      <c r="E3482" s="2">
        <v>1</v>
      </c>
      <c r="F3482" s="2">
        <v>2.3831242814440299E-2</v>
      </c>
      <c r="G3482" s="2">
        <v>2</v>
      </c>
    </row>
    <row r="3483" spans="1:7" x14ac:dyDescent="0.2">
      <c r="A3483" s="2" t="s">
        <v>54</v>
      </c>
      <c r="B3483" s="14">
        <v>39114</v>
      </c>
      <c r="C3483" s="2">
        <v>5.7142857131000004E-3</v>
      </c>
      <c r="D3483" s="2">
        <v>0</v>
      </c>
      <c r="E3483" s="2">
        <v>1</v>
      </c>
      <c r="F3483" s="2">
        <v>2.2704184184705999E-2</v>
      </c>
      <c r="G3483" s="2">
        <v>2</v>
      </c>
    </row>
    <row r="3484" spans="1:7" x14ac:dyDescent="0.2">
      <c r="A3484" s="2" t="s">
        <v>54</v>
      </c>
      <c r="B3484" s="14">
        <v>39142</v>
      </c>
      <c r="C3484" s="2">
        <v>2.2727272728E-2</v>
      </c>
      <c r="D3484" s="2">
        <v>0</v>
      </c>
      <c r="E3484" s="2">
        <v>1</v>
      </c>
      <c r="F3484" s="2">
        <v>1.9691105049158501E-2</v>
      </c>
      <c r="G3484" s="2">
        <v>2</v>
      </c>
    </row>
    <row r="3485" spans="1:7" x14ac:dyDescent="0.2">
      <c r="A3485" s="2" t="s">
        <v>54</v>
      </c>
      <c r="B3485" s="14">
        <v>39173</v>
      </c>
      <c r="C3485" s="2">
        <v>1.6666666665999998E-2</v>
      </c>
      <c r="D3485" s="2">
        <v>0</v>
      </c>
      <c r="E3485" s="2">
        <v>1</v>
      </c>
      <c r="F3485" s="2">
        <v>2.02513734101974E-2</v>
      </c>
      <c r="G3485" s="2">
        <v>2</v>
      </c>
    </row>
    <row r="3486" spans="1:7" x14ac:dyDescent="0.2">
      <c r="A3486" s="2" t="s">
        <v>54</v>
      </c>
      <c r="B3486" s="14">
        <v>39203</v>
      </c>
      <c r="C3486" s="2">
        <v>5.2375565611999998E-2</v>
      </c>
      <c r="D3486" s="2">
        <v>0</v>
      </c>
      <c r="E3486" s="2">
        <v>1</v>
      </c>
      <c r="F3486" s="2">
        <v>1.98158636330849E-2</v>
      </c>
      <c r="G3486" s="2">
        <v>2</v>
      </c>
    </row>
    <row r="3487" spans="1:7" x14ac:dyDescent="0.2">
      <c r="A3487" s="2" t="s">
        <v>54</v>
      </c>
      <c r="B3487" s="14">
        <v>39234</v>
      </c>
      <c r="C3487" s="2">
        <v>2.1498441492000001E-4</v>
      </c>
      <c r="D3487" s="2">
        <v>0</v>
      </c>
      <c r="E3487" s="2">
        <v>1</v>
      </c>
      <c r="F3487" s="2">
        <v>2.09607571225594E-2</v>
      </c>
      <c r="G3487" s="2">
        <v>2</v>
      </c>
    </row>
    <row r="3488" spans="1:7" x14ac:dyDescent="0.2">
      <c r="A3488" s="2" t="s">
        <v>54</v>
      </c>
      <c r="B3488" s="14">
        <v>39264</v>
      </c>
      <c r="C3488" s="2">
        <v>4.7823750672000002E-2</v>
      </c>
      <c r="D3488" s="2">
        <v>0</v>
      </c>
      <c r="E3488" s="2">
        <v>1</v>
      </c>
      <c r="F3488" s="2">
        <v>1.95821578757376E-2</v>
      </c>
      <c r="G3488" s="2">
        <v>2</v>
      </c>
    </row>
    <row r="3489" spans="1:7" x14ac:dyDescent="0.2">
      <c r="A3489" s="2" t="s">
        <v>54</v>
      </c>
      <c r="B3489" s="14">
        <v>39295</v>
      </c>
      <c r="D3489" s="2">
        <v>0</v>
      </c>
      <c r="E3489" s="2">
        <v>1</v>
      </c>
      <c r="F3489" s="2">
        <v>1.9925704767551001E-2</v>
      </c>
      <c r="G3489" s="2">
        <v>2</v>
      </c>
    </row>
    <row r="3490" spans="1:7" x14ac:dyDescent="0.2">
      <c r="A3490" s="2" t="s">
        <v>54</v>
      </c>
      <c r="B3490" s="14">
        <v>39326</v>
      </c>
      <c r="C3490" s="2">
        <v>-2.5641025641000001E-2</v>
      </c>
      <c r="D3490" s="2">
        <v>0</v>
      </c>
      <c r="E3490" s="2">
        <v>1</v>
      </c>
      <c r="G3490" s="2">
        <v>2</v>
      </c>
    </row>
    <row r="3491" spans="1:7" x14ac:dyDescent="0.2">
      <c r="A3491" s="2" t="s">
        <v>54</v>
      </c>
      <c r="B3491" s="14">
        <v>39356</v>
      </c>
      <c r="C3491" s="2">
        <v>0</v>
      </c>
      <c r="D3491" s="2">
        <v>0</v>
      </c>
      <c r="E3491" s="2">
        <v>1</v>
      </c>
      <c r="F3491" s="2">
        <v>1.8303451186905802E-2</v>
      </c>
      <c r="G3491" s="2">
        <v>2</v>
      </c>
    </row>
    <row r="3492" spans="1:7" x14ac:dyDescent="0.2">
      <c r="A3492" s="2" t="s">
        <v>54</v>
      </c>
      <c r="B3492" s="14">
        <v>39387</v>
      </c>
      <c r="C3492" s="2">
        <v>0</v>
      </c>
      <c r="D3492" s="2">
        <v>-4.2790244E-4</v>
      </c>
      <c r="E3492" s="2">
        <v>1</v>
      </c>
      <c r="F3492" s="2">
        <v>1.7828299080005199E-2</v>
      </c>
      <c r="G3492" s="2">
        <v>2</v>
      </c>
    </row>
    <row r="3493" spans="1:7" x14ac:dyDescent="0.2">
      <c r="A3493" s="2" t="s">
        <v>54</v>
      </c>
      <c r="B3493" s="14">
        <v>39417</v>
      </c>
      <c r="D3493" s="2">
        <v>0</v>
      </c>
      <c r="E3493" s="2">
        <v>1</v>
      </c>
      <c r="F3493" s="2">
        <v>1.63240657431536E-2</v>
      </c>
      <c r="G3493" s="2">
        <v>2</v>
      </c>
    </row>
    <row r="3494" spans="1:7" x14ac:dyDescent="0.2">
      <c r="A3494" s="2" t="s">
        <v>54</v>
      </c>
      <c r="B3494" s="14">
        <v>39448</v>
      </c>
      <c r="C3494" s="2">
        <v>-0.26315789474000001</v>
      </c>
      <c r="D3494" s="19">
        <v>8.1300816000000003E-5</v>
      </c>
      <c r="E3494" s="2">
        <v>1</v>
      </c>
      <c r="G3494" s="2">
        <v>2</v>
      </c>
    </row>
    <row r="3495" spans="1:7" x14ac:dyDescent="0.2">
      <c r="A3495" s="2" t="s">
        <v>54</v>
      </c>
      <c r="B3495" s="14">
        <v>39479</v>
      </c>
      <c r="C3495" s="2">
        <v>0</v>
      </c>
      <c r="D3495" s="2">
        <v>0</v>
      </c>
      <c r="E3495" s="2">
        <v>1</v>
      </c>
      <c r="F3495" s="2">
        <v>9.2554896573745493E-3</v>
      </c>
      <c r="G3495" s="2">
        <v>2</v>
      </c>
    </row>
    <row r="3496" spans="1:7" x14ac:dyDescent="0.2">
      <c r="A3496" s="2" t="s">
        <v>54</v>
      </c>
      <c r="B3496" s="14">
        <v>39508</v>
      </c>
      <c r="C3496" s="2">
        <v>-3.5714285715000002E-2</v>
      </c>
      <c r="D3496" s="2">
        <v>0</v>
      </c>
      <c r="E3496" s="2">
        <v>1</v>
      </c>
      <c r="F3496" s="2">
        <v>9.2531914044002798E-3</v>
      </c>
      <c r="G3496" s="2">
        <v>2</v>
      </c>
    </row>
    <row r="3497" spans="1:7" x14ac:dyDescent="0.2">
      <c r="A3497" s="2" t="s">
        <v>54</v>
      </c>
      <c r="B3497" s="14">
        <v>39539</v>
      </c>
      <c r="C3497" s="2">
        <v>0</v>
      </c>
      <c r="D3497" s="2">
        <v>0</v>
      </c>
      <c r="E3497" s="2">
        <v>1</v>
      </c>
      <c r="F3497" s="2">
        <v>9.0295858002106908E-3</v>
      </c>
      <c r="G3497" s="2">
        <v>2</v>
      </c>
    </row>
    <row r="3498" spans="1:7" x14ac:dyDescent="0.2">
      <c r="A3498" s="2" t="s">
        <v>54</v>
      </c>
      <c r="B3498" s="14">
        <v>39569</v>
      </c>
      <c r="C3498" s="2">
        <v>2.2638563622000001E-2</v>
      </c>
      <c r="D3498" s="2">
        <v>0</v>
      </c>
      <c r="E3498" s="2">
        <v>1</v>
      </c>
      <c r="F3498" s="2">
        <v>9.01795679408488E-3</v>
      </c>
      <c r="G3498" s="2">
        <v>2</v>
      </c>
    </row>
    <row r="3499" spans="1:7" x14ac:dyDescent="0.2">
      <c r="A3499" s="2" t="s">
        <v>54</v>
      </c>
      <c r="B3499" s="14">
        <v>39600</v>
      </c>
      <c r="C3499" s="2">
        <v>-2.2900763359000001E-2</v>
      </c>
      <c r="D3499" s="2">
        <v>0</v>
      </c>
      <c r="E3499" s="2">
        <v>1</v>
      </c>
      <c r="F3499" s="2">
        <v>9.6971229032441503E-3</v>
      </c>
      <c r="G3499" s="2">
        <v>2</v>
      </c>
    </row>
    <row r="3500" spans="1:7" x14ac:dyDescent="0.2">
      <c r="A3500" s="2" t="s">
        <v>54</v>
      </c>
      <c r="B3500" s="14">
        <v>39630</v>
      </c>
      <c r="C3500" s="2">
        <v>3.9296875000000002E-2</v>
      </c>
      <c r="D3500" s="2">
        <v>-1.2225674000000001E-2</v>
      </c>
      <c r="E3500" s="2">
        <v>1</v>
      </c>
      <c r="F3500" s="2">
        <v>9.0797438423793793E-3</v>
      </c>
      <c r="G3500" s="2">
        <v>2</v>
      </c>
    </row>
    <row r="3501" spans="1:7" x14ac:dyDescent="0.2">
      <c r="A3501" s="2" t="s">
        <v>54</v>
      </c>
      <c r="B3501" s="14">
        <v>39661</v>
      </c>
      <c r="C3501" s="2">
        <v>5.2394196799000002E-2</v>
      </c>
      <c r="D3501" s="2">
        <v>0</v>
      </c>
      <c r="E3501" s="2">
        <v>1</v>
      </c>
      <c r="G3501" s="2">
        <v>2</v>
      </c>
    </row>
    <row r="3502" spans="1:7" x14ac:dyDescent="0.2">
      <c r="A3502" s="2" t="s">
        <v>54</v>
      </c>
      <c r="B3502" s="14">
        <v>39692</v>
      </c>
      <c r="C3502" s="19">
        <v>-7.1428571572999998E-5</v>
      </c>
      <c r="D3502" s="2">
        <v>0</v>
      </c>
      <c r="E3502" s="2">
        <v>1</v>
      </c>
      <c r="G3502" s="2">
        <v>2</v>
      </c>
    </row>
    <row r="3503" spans="1:7" x14ac:dyDescent="0.2">
      <c r="A3503" s="2" t="s">
        <v>54</v>
      </c>
      <c r="B3503" s="14">
        <v>39722</v>
      </c>
      <c r="C3503" s="2">
        <v>0</v>
      </c>
      <c r="D3503" s="2">
        <v>0</v>
      </c>
      <c r="E3503" s="2">
        <v>1</v>
      </c>
      <c r="G3503" s="2">
        <v>2</v>
      </c>
    </row>
    <row r="3504" spans="1:7" x14ac:dyDescent="0.2">
      <c r="A3504" s="2" t="s">
        <v>54</v>
      </c>
      <c r="B3504" s="14">
        <v>39753</v>
      </c>
      <c r="C3504" s="2">
        <v>7.1505107508000001E-2</v>
      </c>
      <c r="D3504" s="2">
        <v>0</v>
      </c>
      <c r="E3504" s="2">
        <v>1</v>
      </c>
      <c r="G3504" s="2">
        <v>2</v>
      </c>
    </row>
    <row r="3505" spans="1:7" x14ac:dyDescent="0.2">
      <c r="A3505" s="2" t="s">
        <v>54</v>
      </c>
      <c r="B3505" s="14">
        <v>39783</v>
      </c>
      <c r="C3505" s="2">
        <v>3.3333333333000002E-2</v>
      </c>
      <c r="D3505" s="2">
        <v>0</v>
      </c>
      <c r="E3505" s="2">
        <v>1</v>
      </c>
      <c r="G3505" s="2">
        <v>2</v>
      </c>
    </row>
    <row r="3506" spans="1:7" x14ac:dyDescent="0.2">
      <c r="A3506" s="2" t="s">
        <v>55</v>
      </c>
      <c r="B3506" s="14">
        <v>37591</v>
      </c>
      <c r="C3506" s="2">
        <v>8.4700539152000001E-2</v>
      </c>
      <c r="D3506" s="2">
        <v>2.2593988E-3</v>
      </c>
      <c r="E3506" s="2">
        <v>1</v>
      </c>
      <c r="G3506" s="2">
        <v>1</v>
      </c>
    </row>
    <row r="3507" spans="1:7" x14ac:dyDescent="0.2">
      <c r="A3507" s="2" t="s">
        <v>55</v>
      </c>
      <c r="B3507" s="14">
        <v>37622</v>
      </c>
      <c r="C3507" s="2">
        <v>-7.4074074074999996E-2</v>
      </c>
      <c r="D3507" s="2">
        <v>1.2778929E-3</v>
      </c>
      <c r="E3507" s="2">
        <v>1</v>
      </c>
      <c r="G3507" s="2">
        <v>1</v>
      </c>
    </row>
    <row r="3508" spans="1:7" x14ac:dyDescent="0.2">
      <c r="A3508" s="2" t="s">
        <v>55</v>
      </c>
      <c r="B3508" s="14">
        <v>37653</v>
      </c>
      <c r="C3508" s="2">
        <v>3.3214982443000002E-2</v>
      </c>
      <c r="D3508" s="2">
        <v>2.6932559000000002E-3</v>
      </c>
      <c r="E3508" s="2">
        <v>1</v>
      </c>
      <c r="G3508" s="2">
        <v>1</v>
      </c>
    </row>
    <row r="3509" spans="1:7" x14ac:dyDescent="0.2">
      <c r="A3509" s="2" t="s">
        <v>55</v>
      </c>
      <c r="B3509" s="14">
        <v>37681</v>
      </c>
      <c r="C3509" s="2">
        <v>2.9126213591999999E-2</v>
      </c>
      <c r="D3509" s="2">
        <v>1.0707738E-3</v>
      </c>
      <c r="E3509" s="2">
        <v>1</v>
      </c>
      <c r="G3509" s="2">
        <v>1</v>
      </c>
    </row>
    <row r="3510" spans="1:7" x14ac:dyDescent="0.2">
      <c r="A3510" s="2" t="s">
        <v>55</v>
      </c>
      <c r="B3510" s="14">
        <v>37712</v>
      </c>
      <c r="C3510" s="2">
        <v>6.0053751644000002E-2</v>
      </c>
      <c r="D3510" s="2">
        <v>7.217619E-4</v>
      </c>
      <c r="E3510" s="2">
        <v>1</v>
      </c>
      <c r="G3510" s="2">
        <v>1</v>
      </c>
    </row>
    <row r="3511" spans="1:7" x14ac:dyDescent="0.2">
      <c r="A3511" s="2" t="s">
        <v>55</v>
      </c>
      <c r="B3511" s="14">
        <v>37742</v>
      </c>
      <c r="C3511" s="2">
        <v>7.1010318579000004E-2</v>
      </c>
      <c r="D3511" s="2">
        <v>1.2773988E-3</v>
      </c>
      <c r="E3511" s="2">
        <v>1</v>
      </c>
      <c r="G3511" s="2">
        <v>1</v>
      </c>
    </row>
    <row r="3512" spans="1:7" x14ac:dyDescent="0.2">
      <c r="A3512" s="2" t="s">
        <v>55</v>
      </c>
      <c r="B3512" s="14">
        <v>37773</v>
      </c>
      <c r="C3512" s="2">
        <v>-4.6351012086000003E-2</v>
      </c>
      <c r="D3512" s="2">
        <v>4.2561904000000002E-4</v>
      </c>
      <c r="E3512" s="2">
        <v>1</v>
      </c>
      <c r="G3512" s="2">
        <v>1</v>
      </c>
    </row>
    <row r="3513" spans="1:7" x14ac:dyDescent="0.2">
      <c r="A3513" s="2" t="s">
        <v>55</v>
      </c>
      <c r="B3513" s="14">
        <v>37803</v>
      </c>
      <c r="C3513" s="2">
        <v>-1.7543859647999999E-2</v>
      </c>
      <c r="D3513" s="2">
        <v>4.9327976999999996E-4</v>
      </c>
      <c r="E3513" s="2">
        <v>1</v>
      </c>
      <c r="G3513" s="2">
        <v>1</v>
      </c>
    </row>
    <row r="3514" spans="1:7" x14ac:dyDescent="0.2">
      <c r="A3514" s="2" t="s">
        <v>55</v>
      </c>
      <c r="B3514" s="14">
        <v>37834</v>
      </c>
      <c r="C3514" s="2">
        <v>0.15931138322999999</v>
      </c>
      <c r="D3514" s="2">
        <v>5.8695237E-4</v>
      </c>
      <c r="E3514" s="2">
        <v>1</v>
      </c>
      <c r="F3514" s="2">
        <v>1.22378059861732E-2</v>
      </c>
      <c r="G3514" s="2">
        <v>1</v>
      </c>
    </row>
    <row r="3515" spans="1:7" x14ac:dyDescent="0.2">
      <c r="A3515" s="2" t="s">
        <v>55</v>
      </c>
      <c r="B3515" s="14">
        <v>37865</v>
      </c>
      <c r="C3515" s="2">
        <v>2.0092735702E-2</v>
      </c>
      <c r="D3515" s="2">
        <v>6.3982739999999996E-4</v>
      </c>
      <c r="E3515" s="2">
        <v>1</v>
      </c>
      <c r="F3515" s="2">
        <v>1.5906478109226699E-2</v>
      </c>
      <c r="G3515" s="2">
        <v>1</v>
      </c>
    </row>
    <row r="3516" spans="1:7" x14ac:dyDescent="0.2">
      <c r="A3516" s="2" t="s">
        <v>55</v>
      </c>
      <c r="B3516" s="14">
        <v>37895</v>
      </c>
      <c r="C3516" s="2">
        <v>9.4379706012000006E-2</v>
      </c>
      <c r="D3516" s="2">
        <v>1.168631E-4</v>
      </c>
      <c r="E3516" s="2">
        <v>1</v>
      </c>
      <c r="F3516" s="2">
        <v>1.55115665754676E-2</v>
      </c>
      <c r="G3516" s="2">
        <v>1</v>
      </c>
    </row>
    <row r="3517" spans="1:7" x14ac:dyDescent="0.2">
      <c r="A3517" s="2" t="s">
        <v>55</v>
      </c>
      <c r="B3517" s="14">
        <v>37926</v>
      </c>
      <c r="C3517" s="2">
        <v>-6.9392756663999994E-2</v>
      </c>
      <c r="D3517" s="2">
        <v>2.8848035999999998E-3</v>
      </c>
      <c r="E3517" s="2">
        <v>1</v>
      </c>
      <c r="F3517" s="2">
        <v>1.62966994208174E-2</v>
      </c>
      <c r="G3517" s="2">
        <v>1</v>
      </c>
    </row>
    <row r="3518" spans="1:7" x14ac:dyDescent="0.2">
      <c r="A3518" s="2" t="s">
        <v>55</v>
      </c>
      <c r="B3518" s="14">
        <v>37956</v>
      </c>
      <c r="C3518" s="2">
        <v>7.8356050863000001E-2</v>
      </c>
      <c r="D3518" s="2">
        <v>3.9259107000000001E-3</v>
      </c>
      <c r="E3518" s="2">
        <v>1</v>
      </c>
      <c r="F3518" s="2">
        <v>1.24679753305405E-2</v>
      </c>
      <c r="G3518" s="2">
        <v>1</v>
      </c>
    </row>
    <row r="3519" spans="1:7" x14ac:dyDescent="0.2">
      <c r="A3519" s="2" t="s">
        <v>55</v>
      </c>
      <c r="B3519" s="14">
        <v>37987</v>
      </c>
      <c r="C3519" s="2">
        <v>-0.16666666666999999</v>
      </c>
      <c r="E3519" s="2">
        <v>1</v>
      </c>
      <c r="F3519" s="2">
        <v>1.58778952678717E-2</v>
      </c>
      <c r="G3519" s="2">
        <v>1</v>
      </c>
    </row>
    <row r="3520" spans="1:7" x14ac:dyDescent="0.2">
      <c r="A3520" s="2" t="s">
        <v>55</v>
      </c>
      <c r="B3520" s="14">
        <v>38018</v>
      </c>
      <c r="C3520" s="2">
        <v>0.15454246214</v>
      </c>
      <c r="E3520" s="2">
        <v>1</v>
      </c>
      <c r="F3520" s="2">
        <v>1.22759974278199E-2</v>
      </c>
      <c r="G3520" s="2">
        <v>1</v>
      </c>
    </row>
    <row r="3521" spans="1:7" x14ac:dyDescent="0.2">
      <c r="A3521" s="2" t="s">
        <v>55</v>
      </c>
      <c r="B3521" s="14">
        <v>38047</v>
      </c>
      <c r="C3521" s="2">
        <v>-0.13043478260999999</v>
      </c>
      <c r="D3521" s="2">
        <v>-1.3816071E-4</v>
      </c>
      <c r="E3521" s="2">
        <v>1</v>
      </c>
      <c r="F3521" s="2">
        <v>1.1976831894349199E-2</v>
      </c>
      <c r="G3521" s="2">
        <v>1</v>
      </c>
    </row>
    <row r="3522" spans="1:7" x14ac:dyDescent="0.2">
      <c r="A3522" s="2" t="s">
        <v>55</v>
      </c>
      <c r="B3522" s="14">
        <v>38078</v>
      </c>
      <c r="C3522" s="2">
        <v>-4.4084821428E-2</v>
      </c>
      <c r="D3522" s="2">
        <v>1.6579166999999999E-4</v>
      </c>
      <c r="E3522" s="2">
        <v>1</v>
      </c>
      <c r="F3522" s="2">
        <v>8.1490166784289192E-3</v>
      </c>
      <c r="G3522" s="2">
        <v>1</v>
      </c>
    </row>
    <row r="3523" spans="1:7" x14ac:dyDescent="0.2">
      <c r="A3523" s="2" t="s">
        <v>55</v>
      </c>
      <c r="B3523" s="14">
        <v>38108</v>
      </c>
      <c r="C3523" s="2">
        <v>-5.3940455339999999E-2</v>
      </c>
      <c r="D3523" s="19">
        <v>-4.5279761E-5</v>
      </c>
      <c r="E3523" s="2">
        <v>1</v>
      </c>
      <c r="F3523" s="2">
        <v>4.2697130070534096E-3</v>
      </c>
      <c r="G3523" s="2">
        <v>1</v>
      </c>
    </row>
    <row r="3524" spans="1:7" x14ac:dyDescent="0.2">
      <c r="A3524" s="2" t="s">
        <v>55</v>
      </c>
      <c r="B3524" s="14">
        <v>38139</v>
      </c>
      <c r="C3524" s="2">
        <v>2.3083863220999999E-2</v>
      </c>
      <c r="D3524" s="19">
        <v>-3.7916666E-6</v>
      </c>
      <c r="E3524" s="2">
        <v>1</v>
      </c>
      <c r="F3524" s="2">
        <v>4.8319154513208097E-3</v>
      </c>
      <c r="G3524" s="2">
        <v>1</v>
      </c>
    </row>
    <row r="3525" spans="1:7" x14ac:dyDescent="0.2">
      <c r="A3525" s="2" t="s">
        <v>55</v>
      </c>
      <c r="B3525" s="14">
        <v>38169</v>
      </c>
      <c r="C3525" s="2">
        <v>1.6363636362999999E-2</v>
      </c>
      <c r="D3525" s="19">
        <v>8.1178572000000006E-5</v>
      </c>
      <c r="E3525" s="2">
        <v>1</v>
      </c>
      <c r="F3525" s="2">
        <v>3.1797983097463698E-3</v>
      </c>
      <c r="G3525" s="2">
        <v>1</v>
      </c>
    </row>
    <row r="3526" spans="1:7" x14ac:dyDescent="0.2">
      <c r="A3526" s="2" t="s">
        <v>55</v>
      </c>
      <c r="B3526" s="14">
        <v>38200</v>
      </c>
      <c r="C3526" s="2">
        <v>0.10390952975999999</v>
      </c>
      <c r="D3526" s="2">
        <v>1.1680357E-3</v>
      </c>
      <c r="E3526" s="2">
        <v>1</v>
      </c>
      <c r="F3526" s="2">
        <v>2.30309731037861E-3</v>
      </c>
      <c r="G3526" s="2">
        <v>1</v>
      </c>
    </row>
    <row r="3527" spans="1:7" x14ac:dyDescent="0.2">
      <c r="A3527" s="2" t="s">
        <v>55</v>
      </c>
      <c r="B3527" s="14">
        <v>38231</v>
      </c>
      <c r="C3527" s="2">
        <v>2.6058631921999999E-2</v>
      </c>
      <c r="D3527" s="2">
        <v>4.2348808999999999E-4</v>
      </c>
      <c r="E3527" s="2">
        <v>1</v>
      </c>
      <c r="F3527" s="2">
        <v>5.08016114478274E-4</v>
      </c>
      <c r="G3527" s="2">
        <v>1</v>
      </c>
    </row>
    <row r="3528" spans="1:7" x14ac:dyDescent="0.2">
      <c r="A3528" s="2" t="s">
        <v>55</v>
      </c>
      <c r="B3528" s="14">
        <v>38261</v>
      </c>
      <c r="C3528" s="2">
        <v>-2.6510370190999999E-2</v>
      </c>
      <c r="D3528" s="2">
        <v>1.5597024E-4</v>
      </c>
      <c r="E3528" s="2">
        <v>1</v>
      </c>
      <c r="F3528" s="2">
        <v>4.9728491919533799E-3</v>
      </c>
      <c r="G3528" s="2">
        <v>1</v>
      </c>
    </row>
    <row r="3529" spans="1:7" x14ac:dyDescent="0.2">
      <c r="A3529" s="2" t="s">
        <v>55</v>
      </c>
      <c r="B3529" s="14">
        <v>38292</v>
      </c>
      <c r="C3529" s="2">
        <v>2.5926775706000001E-2</v>
      </c>
      <c r="D3529" s="2">
        <v>2.9783929000000003E-4</v>
      </c>
      <c r="E3529" s="2">
        <v>1</v>
      </c>
      <c r="F3529" s="2">
        <v>5.4753753734235596E-3</v>
      </c>
      <c r="G3529" s="2">
        <v>1</v>
      </c>
    </row>
    <row r="3530" spans="1:7" x14ac:dyDescent="0.2">
      <c r="A3530" s="2" t="s">
        <v>55</v>
      </c>
      <c r="B3530" s="14">
        <v>38322</v>
      </c>
      <c r="C3530" s="2">
        <v>1.4509467777000001E-2</v>
      </c>
      <c r="D3530" s="2">
        <v>6.9947615999999999E-4</v>
      </c>
      <c r="E3530" s="2">
        <v>1</v>
      </c>
      <c r="F3530" s="2">
        <v>7.6925820640675498E-3</v>
      </c>
      <c r="G3530" s="2">
        <v>1</v>
      </c>
    </row>
    <row r="3531" spans="1:7" x14ac:dyDescent="0.2">
      <c r="A3531" s="2" t="s">
        <v>55</v>
      </c>
      <c r="B3531" s="14">
        <v>38353</v>
      </c>
      <c r="C3531" s="2">
        <v>-0.11392405063</v>
      </c>
      <c r="D3531" s="2">
        <v>3.8736903999999999E-4</v>
      </c>
      <c r="E3531" s="2">
        <v>1</v>
      </c>
      <c r="F3531" s="2">
        <v>7.3648523527545199E-3</v>
      </c>
      <c r="G3531" s="2">
        <v>1</v>
      </c>
    </row>
    <row r="3532" spans="1:7" x14ac:dyDescent="0.2">
      <c r="A3532" s="2" t="s">
        <v>55</v>
      </c>
      <c r="B3532" s="14">
        <v>38384</v>
      </c>
      <c r="C3532" s="2">
        <v>1.6061980345999999E-2</v>
      </c>
      <c r="D3532" s="2">
        <v>-6.2193454E-4</v>
      </c>
      <c r="E3532" s="2">
        <v>1</v>
      </c>
      <c r="F3532" s="2">
        <v>3.7305330565282199E-3</v>
      </c>
      <c r="G3532" s="2">
        <v>1</v>
      </c>
    </row>
    <row r="3533" spans="1:7" x14ac:dyDescent="0.2">
      <c r="A3533" s="2" t="s">
        <v>55</v>
      </c>
      <c r="B3533" s="14">
        <v>38412</v>
      </c>
      <c r="C3533" s="2">
        <v>-4.5936395758000001E-2</v>
      </c>
      <c r="D3533" s="19">
        <v>4.5369047999999997E-5</v>
      </c>
      <c r="E3533" s="2">
        <v>1</v>
      </c>
      <c r="F3533" s="2">
        <v>8.74365045435284E-4</v>
      </c>
      <c r="G3533" s="2">
        <v>1</v>
      </c>
    </row>
    <row r="3534" spans="1:7" x14ac:dyDescent="0.2">
      <c r="A3534" s="2" t="s">
        <v>55</v>
      </c>
      <c r="B3534" s="14">
        <v>38443</v>
      </c>
      <c r="C3534" s="2">
        <v>4.3219076006000001E-2</v>
      </c>
      <c r="D3534" s="2">
        <v>1.3359404E-3</v>
      </c>
      <c r="E3534" s="2">
        <v>1</v>
      </c>
      <c r="F3534" s="2">
        <v>-1.2885435532478001E-3</v>
      </c>
      <c r="G3534" s="2">
        <v>1</v>
      </c>
    </row>
    <row r="3535" spans="1:7" x14ac:dyDescent="0.2">
      <c r="A3535" s="2" t="s">
        <v>55</v>
      </c>
      <c r="B3535" s="14">
        <v>38473</v>
      </c>
      <c r="C3535" s="2">
        <v>-1.7857142857000002E-2</v>
      </c>
      <c r="D3535" s="2">
        <v>3.6498808000000002E-4</v>
      </c>
      <c r="E3535" s="2">
        <v>1</v>
      </c>
      <c r="F3535" s="2">
        <v>6.4540850892607097E-4</v>
      </c>
      <c r="G3535" s="2">
        <v>1</v>
      </c>
    </row>
    <row r="3536" spans="1:7" x14ac:dyDescent="0.2">
      <c r="A3536" s="2" t="s">
        <v>55</v>
      </c>
      <c r="B3536" s="14">
        <v>38504</v>
      </c>
      <c r="C3536" s="2">
        <v>4.0406901879999998E-2</v>
      </c>
      <c r="D3536" s="2">
        <v>1.8155833000000001E-3</v>
      </c>
      <c r="E3536" s="2">
        <v>1</v>
      </c>
      <c r="F3536" s="2">
        <v>-6.2358574047301403E-4</v>
      </c>
      <c r="G3536" s="2">
        <v>1</v>
      </c>
    </row>
    <row r="3537" spans="1:7" x14ac:dyDescent="0.2">
      <c r="A3537" s="2" t="s">
        <v>55</v>
      </c>
      <c r="B3537" s="14">
        <v>38534</v>
      </c>
      <c r="C3537" s="2">
        <v>-1.2302284708999999E-2</v>
      </c>
      <c r="D3537" s="2">
        <v>1.0547381E-3</v>
      </c>
      <c r="E3537" s="2">
        <v>1</v>
      </c>
      <c r="F3537" s="19">
        <v>6.1473440462731202E-5</v>
      </c>
      <c r="G3537" s="2">
        <v>1</v>
      </c>
    </row>
    <row r="3538" spans="1:7" x14ac:dyDescent="0.2">
      <c r="A3538" s="2" t="s">
        <v>55</v>
      </c>
      <c r="B3538" s="14">
        <v>38565</v>
      </c>
      <c r="C3538" s="2">
        <v>3.0606650621999999E-2</v>
      </c>
      <c r="D3538" s="2">
        <v>9.0813688999999995E-4</v>
      </c>
      <c r="E3538" s="2">
        <v>1</v>
      </c>
      <c r="F3538" s="2">
        <v>6.9213306199878899E-3</v>
      </c>
      <c r="G3538" s="2">
        <v>1</v>
      </c>
    </row>
    <row r="3539" spans="1:7" x14ac:dyDescent="0.2">
      <c r="A3539" s="2" t="s">
        <v>55</v>
      </c>
      <c r="B3539" s="14">
        <v>38596</v>
      </c>
      <c r="C3539" s="2">
        <v>-6.9468565479999999E-3</v>
      </c>
      <c r="D3539" s="2">
        <v>6.0680357000000005E-4</v>
      </c>
      <c r="E3539" s="2">
        <v>1</v>
      </c>
      <c r="F3539" s="2">
        <v>7.1206819387892297E-3</v>
      </c>
      <c r="G3539" s="2">
        <v>1</v>
      </c>
    </row>
    <row r="3540" spans="1:7" x14ac:dyDescent="0.2">
      <c r="A3540" s="2" t="s">
        <v>55</v>
      </c>
      <c r="B3540" s="14">
        <v>38626</v>
      </c>
      <c r="C3540" s="2">
        <v>-1.5008060853000001E-2</v>
      </c>
      <c r="D3540" s="2">
        <v>1.7249999999999999E-4</v>
      </c>
      <c r="E3540" s="2">
        <v>1</v>
      </c>
      <c r="F3540" s="2">
        <v>8.2471935235961698E-3</v>
      </c>
      <c r="G3540" s="2">
        <v>1</v>
      </c>
    </row>
    <row r="3541" spans="1:7" x14ac:dyDescent="0.2">
      <c r="A3541" s="2" t="s">
        <v>55</v>
      </c>
      <c r="B3541" s="14">
        <v>38657</v>
      </c>
      <c r="C3541" s="2">
        <v>-0.12142857142000001</v>
      </c>
      <c r="D3541" s="2">
        <v>2.8919644E-4</v>
      </c>
      <c r="E3541" s="2">
        <v>1</v>
      </c>
      <c r="F3541" s="2">
        <v>6.6049356468975201E-3</v>
      </c>
      <c r="G3541" s="2">
        <v>1</v>
      </c>
    </row>
    <row r="3542" spans="1:7" x14ac:dyDescent="0.2">
      <c r="A3542" s="2" t="s">
        <v>55</v>
      </c>
      <c r="B3542" s="14">
        <v>38687</v>
      </c>
      <c r="C3542" s="2">
        <v>8.4042142991000005E-2</v>
      </c>
      <c r="D3542" s="2">
        <v>2.1788869E-3</v>
      </c>
      <c r="E3542" s="2">
        <v>1</v>
      </c>
      <c r="F3542" s="2">
        <v>4.1020773050264702E-3</v>
      </c>
      <c r="G3542" s="2">
        <v>1</v>
      </c>
    </row>
    <row r="3543" spans="1:7" x14ac:dyDescent="0.2">
      <c r="A3543" s="2" t="s">
        <v>55</v>
      </c>
      <c r="B3543" s="14">
        <v>38718</v>
      </c>
      <c r="C3543" s="2">
        <v>-3.7735849056999997E-2</v>
      </c>
      <c r="D3543" s="2">
        <v>1.2117262000000001E-3</v>
      </c>
      <c r="E3543" s="2">
        <v>1</v>
      </c>
      <c r="F3543" s="2">
        <v>5.32079127783938E-3</v>
      </c>
      <c r="G3543" s="2">
        <v>1</v>
      </c>
    </row>
    <row r="3544" spans="1:7" x14ac:dyDescent="0.2">
      <c r="A3544" s="2" t="s">
        <v>55</v>
      </c>
      <c r="B3544" s="14">
        <v>38749</v>
      </c>
      <c r="C3544" s="2">
        <v>4.5909507119999998E-2</v>
      </c>
      <c r="D3544" s="2">
        <v>7.9786905999999996E-4</v>
      </c>
      <c r="E3544" s="2">
        <v>1</v>
      </c>
      <c r="F3544" s="2">
        <v>4.51612044293076E-3</v>
      </c>
      <c r="G3544" s="2">
        <v>1</v>
      </c>
    </row>
    <row r="3545" spans="1:7" x14ac:dyDescent="0.2">
      <c r="A3545" s="2" t="s">
        <v>55</v>
      </c>
      <c r="B3545" s="14">
        <v>38777</v>
      </c>
      <c r="C3545" s="2">
        <v>-2.8339622642E-2</v>
      </c>
      <c r="D3545" s="2">
        <v>1.3199583999999999E-3</v>
      </c>
      <c r="E3545" s="2">
        <v>1</v>
      </c>
      <c r="F3545" s="2">
        <v>4.9023156666628299E-3</v>
      </c>
      <c r="G3545" s="2">
        <v>1</v>
      </c>
    </row>
    <row r="3546" spans="1:7" x14ac:dyDescent="0.2">
      <c r="A3546" s="2" t="s">
        <v>55</v>
      </c>
      <c r="B3546" s="14">
        <v>38808</v>
      </c>
      <c r="C3546" s="2">
        <v>7.4369273612000006E-2</v>
      </c>
      <c r="D3546" s="2">
        <v>1.4762023999999999E-3</v>
      </c>
      <c r="E3546" s="2">
        <v>1</v>
      </c>
      <c r="F3546" s="2">
        <v>4.3292126817271598E-3</v>
      </c>
      <c r="G3546" s="2">
        <v>1</v>
      </c>
    </row>
    <row r="3547" spans="1:7" x14ac:dyDescent="0.2">
      <c r="A3547" s="2" t="s">
        <v>55</v>
      </c>
      <c r="B3547" s="14">
        <v>38838</v>
      </c>
      <c r="C3547" s="2">
        <v>-7.2727272717999997E-3</v>
      </c>
      <c r="D3547" s="2">
        <v>6.5464880999999999E-4</v>
      </c>
      <c r="E3547" s="2">
        <v>1</v>
      </c>
      <c r="F3547" s="2">
        <v>6.8169862558015498E-3</v>
      </c>
      <c r="G3547" s="2">
        <v>1</v>
      </c>
    </row>
    <row r="3548" spans="1:7" x14ac:dyDescent="0.2">
      <c r="A3548" s="2" t="s">
        <v>55</v>
      </c>
      <c r="B3548" s="14">
        <v>38869</v>
      </c>
      <c r="C3548" s="2">
        <v>-4.9104622686999999E-2</v>
      </c>
      <c r="D3548" s="2">
        <v>4.9005955000000002E-4</v>
      </c>
      <c r="E3548" s="2">
        <v>1</v>
      </c>
      <c r="F3548" s="2">
        <v>1.0126513585616699E-2</v>
      </c>
      <c r="G3548" s="2">
        <v>1</v>
      </c>
    </row>
    <row r="3549" spans="1:7" x14ac:dyDescent="0.2">
      <c r="A3549" s="2" t="s">
        <v>55</v>
      </c>
      <c r="B3549" s="14">
        <v>38899</v>
      </c>
      <c r="C3549" s="2">
        <v>1.7519379846000001E-2</v>
      </c>
      <c r="D3549" s="2">
        <v>1.6678571000000001E-4</v>
      </c>
      <c r="E3549" s="2">
        <v>1</v>
      </c>
      <c r="F3549" s="2">
        <v>6.4204829013612998E-3</v>
      </c>
      <c r="G3549" s="2">
        <v>1</v>
      </c>
    </row>
    <row r="3550" spans="1:7" x14ac:dyDescent="0.2">
      <c r="A3550" s="2" t="s">
        <v>55</v>
      </c>
      <c r="B3550" s="14">
        <v>38930</v>
      </c>
      <c r="C3550" s="2">
        <v>0.12103903267</v>
      </c>
      <c r="D3550" s="2">
        <v>1.1961251E-3</v>
      </c>
      <c r="E3550" s="2">
        <v>1</v>
      </c>
      <c r="F3550" s="2">
        <v>1.2595936609879701E-2</v>
      </c>
      <c r="G3550" s="2">
        <v>1</v>
      </c>
    </row>
    <row r="3551" spans="1:7" x14ac:dyDescent="0.2">
      <c r="A3551" s="2" t="s">
        <v>55</v>
      </c>
      <c r="B3551" s="14">
        <v>38961</v>
      </c>
      <c r="C3551" s="2">
        <v>7.6923076921999997E-2</v>
      </c>
      <c r="D3551" s="2">
        <v>8.7422621E-4</v>
      </c>
      <c r="E3551" s="2">
        <v>1</v>
      </c>
      <c r="F3551" s="2">
        <v>1.47028956872818E-2</v>
      </c>
      <c r="G3551" s="2">
        <v>1</v>
      </c>
    </row>
    <row r="3552" spans="1:7" x14ac:dyDescent="0.2">
      <c r="A3552" s="2" t="s">
        <v>55</v>
      </c>
      <c r="B3552" s="14">
        <v>38991</v>
      </c>
      <c r="C3552" s="2">
        <v>2.1026461736E-2</v>
      </c>
      <c r="D3552" s="19">
        <v>-2.0702379999999999E-5</v>
      </c>
      <c r="E3552" s="2">
        <v>1</v>
      </c>
      <c r="F3552" s="2">
        <v>1.76280498142618E-2</v>
      </c>
      <c r="G3552" s="2">
        <v>1</v>
      </c>
    </row>
    <row r="3553" spans="1:7" x14ac:dyDescent="0.2">
      <c r="A3553" s="2" t="s">
        <v>55</v>
      </c>
      <c r="B3553" s="14">
        <v>39022</v>
      </c>
      <c r="C3553" s="2">
        <v>3.125E-2</v>
      </c>
      <c r="D3553" s="2">
        <v>2.3097024000000001E-4</v>
      </c>
      <c r="E3553" s="2">
        <v>1</v>
      </c>
      <c r="F3553" s="2">
        <v>1.6040546178645299E-2</v>
      </c>
      <c r="G3553" s="2">
        <v>1</v>
      </c>
    </row>
    <row r="3554" spans="1:7" x14ac:dyDescent="0.2">
      <c r="A3554" s="2" t="s">
        <v>55</v>
      </c>
      <c r="B3554" s="14">
        <v>39052</v>
      </c>
      <c r="C3554" s="2">
        <v>4.1337187106999997E-2</v>
      </c>
      <c r="D3554" s="2">
        <v>1.3004465E-3</v>
      </c>
      <c r="E3554" s="2">
        <v>1</v>
      </c>
      <c r="F3554" s="2">
        <v>1.6795120358586501E-2</v>
      </c>
      <c r="G3554" s="2">
        <v>1</v>
      </c>
    </row>
    <row r="3555" spans="1:7" x14ac:dyDescent="0.2">
      <c r="A3555" s="2" t="s">
        <v>55</v>
      </c>
      <c r="B3555" s="14">
        <v>39083</v>
      </c>
      <c r="C3555" s="2">
        <v>3.8011695906000002E-2</v>
      </c>
      <c r="D3555" s="2">
        <v>-1.9805952999999999E-4</v>
      </c>
      <c r="E3555" s="2">
        <v>1</v>
      </c>
      <c r="F3555" s="2">
        <v>1.9277550372239001E-2</v>
      </c>
      <c r="G3555" s="2">
        <v>1</v>
      </c>
    </row>
    <row r="3556" spans="1:7" x14ac:dyDescent="0.2">
      <c r="A3556" s="2" t="s">
        <v>55</v>
      </c>
      <c r="B3556" s="14">
        <v>39114</v>
      </c>
      <c r="C3556" s="2">
        <v>-2.3964404387999998E-2</v>
      </c>
      <c r="D3556" s="2">
        <v>7.4969645000000004E-4</v>
      </c>
      <c r="E3556" s="2">
        <v>1</v>
      </c>
      <c r="F3556" s="2">
        <v>1.97092119175825E-2</v>
      </c>
      <c r="G3556" s="2">
        <v>1</v>
      </c>
    </row>
    <row r="3557" spans="1:7" x14ac:dyDescent="0.2">
      <c r="A3557" s="2" t="s">
        <v>55</v>
      </c>
      <c r="B3557" s="14">
        <v>39142</v>
      </c>
      <c r="C3557" s="2">
        <v>-1.3631090487E-2</v>
      </c>
      <c r="D3557" s="2">
        <v>-7.4056548000000003E-4</v>
      </c>
      <c r="E3557" s="2">
        <v>1</v>
      </c>
      <c r="F3557" s="2">
        <v>1.56308818916133E-2</v>
      </c>
      <c r="G3557" s="2">
        <v>1</v>
      </c>
    </row>
    <row r="3558" spans="1:7" x14ac:dyDescent="0.2">
      <c r="A3558" s="2" t="s">
        <v>55</v>
      </c>
      <c r="B3558" s="14">
        <v>39173</v>
      </c>
      <c r="C3558" s="2">
        <v>4.6709122944000002E-3</v>
      </c>
      <c r="D3558" s="2">
        <v>6.3860119999999999E-4</v>
      </c>
      <c r="E3558" s="2">
        <v>1</v>
      </c>
      <c r="F3558" s="2">
        <v>1.3021342908862201E-2</v>
      </c>
      <c r="G3558" s="2">
        <v>1</v>
      </c>
    </row>
    <row r="3559" spans="1:7" x14ac:dyDescent="0.2">
      <c r="A3559" s="2" t="s">
        <v>55</v>
      </c>
      <c r="B3559" s="14">
        <v>39203</v>
      </c>
      <c r="C3559" s="2">
        <v>-0.17647058824</v>
      </c>
      <c r="D3559" s="2">
        <v>-1.5542262E-3</v>
      </c>
      <c r="E3559" s="2">
        <v>1</v>
      </c>
      <c r="F3559" s="2">
        <v>1.25111805403379E-2</v>
      </c>
      <c r="G3559" s="2">
        <v>1</v>
      </c>
    </row>
    <row r="3560" spans="1:7" x14ac:dyDescent="0.2">
      <c r="A3560" s="2" t="s">
        <v>55</v>
      </c>
      <c r="B3560" s="14">
        <v>39234</v>
      </c>
      <c r="C3560" s="2">
        <v>0.11324776423000001</v>
      </c>
      <c r="D3560" s="19">
        <v>4.957143E-5</v>
      </c>
      <c r="E3560" s="2">
        <v>1</v>
      </c>
      <c r="F3560" s="2">
        <v>7.4658030184231198E-3</v>
      </c>
      <c r="G3560" s="2">
        <v>1</v>
      </c>
    </row>
    <row r="3561" spans="1:7" x14ac:dyDescent="0.2">
      <c r="A3561" s="2" t="s">
        <v>55</v>
      </c>
      <c r="B3561" s="14">
        <v>39264</v>
      </c>
      <c r="C3561" s="2">
        <v>-0.12903225805999999</v>
      </c>
      <c r="D3561" s="19">
        <v>2.9678571000000001E-5</v>
      </c>
      <c r="E3561" s="2">
        <v>1</v>
      </c>
      <c r="F3561" s="2">
        <v>9.3778169604395393E-3</v>
      </c>
      <c r="G3561" s="2">
        <v>1</v>
      </c>
    </row>
    <row r="3562" spans="1:7" x14ac:dyDescent="0.2">
      <c r="A3562" s="2" t="s">
        <v>55</v>
      </c>
      <c r="B3562" s="14">
        <v>39295</v>
      </c>
      <c r="C3562" s="2">
        <v>-1.2021622861E-2</v>
      </c>
      <c r="D3562" s="2">
        <v>1.5704761999999999E-4</v>
      </c>
      <c r="E3562" s="2">
        <v>1</v>
      </c>
      <c r="F3562" s="2">
        <v>1.86706864660636E-3</v>
      </c>
      <c r="G3562" s="2">
        <v>1</v>
      </c>
    </row>
    <row r="3563" spans="1:7" x14ac:dyDescent="0.2">
      <c r="A3563" s="2" t="s">
        <v>55</v>
      </c>
      <c r="B3563" s="14">
        <v>39326</v>
      </c>
      <c r="C3563" s="19">
        <v>-3.7734426769000003E-5</v>
      </c>
      <c r="D3563" s="2">
        <v>0</v>
      </c>
      <c r="E3563" s="2">
        <v>1</v>
      </c>
      <c r="F3563" s="2">
        <v>2.1168869703718802E-3</v>
      </c>
      <c r="G3563" s="2">
        <v>1</v>
      </c>
    </row>
    <row r="3564" spans="1:7" x14ac:dyDescent="0.2">
      <c r="A3564" s="2" t="s">
        <v>55</v>
      </c>
      <c r="B3564" s="14">
        <v>39356</v>
      </c>
      <c r="C3564" s="2">
        <v>-6.9266810179999999E-2</v>
      </c>
      <c r="D3564" s="2">
        <v>-5.2291192E-3</v>
      </c>
      <c r="E3564" s="2">
        <v>1</v>
      </c>
      <c r="F3564" s="2">
        <v>2.4365519189053701E-3</v>
      </c>
      <c r="G3564" s="2">
        <v>1</v>
      </c>
    </row>
    <row r="3565" spans="1:7" x14ac:dyDescent="0.2">
      <c r="A3565" s="2" t="s">
        <v>55</v>
      </c>
      <c r="B3565" s="14">
        <v>39387</v>
      </c>
      <c r="C3565" s="2">
        <v>2.0408163266E-2</v>
      </c>
      <c r="D3565" s="2">
        <v>-3.3217619999999998E-3</v>
      </c>
      <c r="E3565" s="2">
        <v>1</v>
      </c>
      <c r="F3565" s="2">
        <v>5.0187108406906798E-4</v>
      </c>
      <c r="G3565" s="2">
        <v>1</v>
      </c>
    </row>
    <row r="3566" spans="1:7" x14ac:dyDescent="0.2">
      <c r="A3566" s="2" t="s">
        <v>55</v>
      </c>
      <c r="B3566" s="14">
        <v>39417</v>
      </c>
      <c r="C3566" s="2">
        <v>-1.3095731455000001E-2</v>
      </c>
      <c r="D3566" s="19">
        <v>-5.8904762999999998E-5</v>
      </c>
      <c r="E3566" s="2">
        <v>1</v>
      </c>
      <c r="F3566" s="2">
        <v>6.13379149436375E-3</v>
      </c>
      <c r="G3566" s="2">
        <v>1</v>
      </c>
    </row>
    <row r="3567" spans="1:7" x14ac:dyDescent="0.2">
      <c r="A3567" s="2" t="s">
        <v>55</v>
      </c>
      <c r="B3567" s="14">
        <v>39448</v>
      </c>
      <c r="C3567" s="2">
        <v>-6.1224489796000002E-2</v>
      </c>
      <c r="D3567" s="2">
        <v>1.6483928E-4</v>
      </c>
      <c r="E3567" s="2">
        <v>1</v>
      </c>
      <c r="F3567" s="2">
        <v>2.4888853515286202E-3</v>
      </c>
      <c r="G3567" s="2">
        <v>1</v>
      </c>
    </row>
    <row r="3568" spans="1:7" x14ac:dyDescent="0.2">
      <c r="A3568" s="2" t="s">
        <v>55</v>
      </c>
      <c r="B3568" s="14">
        <v>39479</v>
      </c>
      <c r="C3568" s="2">
        <v>-3.6029397119000002E-2</v>
      </c>
      <c r="D3568" s="2">
        <v>4.499107E-4</v>
      </c>
      <c r="E3568" s="2">
        <v>1</v>
      </c>
      <c r="F3568" s="2">
        <v>4.5592620380751799E-3</v>
      </c>
      <c r="G3568" s="2">
        <v>1</v>
      </c>
    </row>
    <row r="3569" spans="1:7" x14ac:dyDescent="0.2">
      <c r="A3569" s="2" t="s">
        <v>55</v>
      </c>
      <c r="B3569" s="14">
        <v>39508</v>
      </c>
      <c r="C3569" s="2">
        <v>-2.2727272728E-2</v>
      </c>
      <c r="D3569" s="2">
        <v>-1.2681731999999999E-2</v>
      </c>
      <c r="E3569" s="2">
        <v>1</v>
      </c>
      <c r="F3569" s="2">
        <v>3.9666385961564504E-3</v>
      </c>
      <c r="G3569" s="2">
        <v>1</v>
      </c>
    </row>
    <row r="3570" spans="1:7" x14ac:dyDescent="0.2">
      <c r="A3570" s="2" t="s">
        <v>55</v>
      </c>
      <c r="B3570" s="14">
        <v>39539</v>
      </c>
      <c r="C3570" s="2">
        <v>8.0264400366999999E-3</v>
      </c>
      <c r="D3570" s="2">
        <v>6.5701192999999996E-4</v>
      </c>
      <c r="E3570" s="2">
        <v>1</v>
      </c>
      <c r="F3570" s="2">
        <v>3.3606383672729399E-3</v>
      </c>
      <c r="G3570" s="2">
        <v>1</v>
      </c>
    </row>
    <row r="3571" spans="1:7" x14ac:dyDescent="0.2">
      <c r="A3571" s="2" t="s">
        <v>55</v>
      </c>
      <c r="B3571" s="14">
        <v>39569</v>
      </c>
      <c r="C3571" s="2">
        <v>-2.7906976744000001E-2</v>
      </c>
      <c r="D3571" s="2">
        <v>0</v>
      </c>
      <c r="E3571" s="2">
        <v>1</v>
      </c>
      <c r="F3571" s="2">
        <v>5.5966486813478098E-3</v>
      </c>
      <c r="G3571" s="2">
        <v>1</v>
      </c>
    </row>
    <row r="3572" spans="1:7" x14ac:dyDescent="0.2">
      <c r="A3572" s="2" t="s">
        <v>55</v>
      </c>
      <c r="B3572" s="14">
        <v>39600</v>
      </c>
      <c r="C3572" s="2">
        <v>3.6668096773000002E-2</v>
      </c>
      <c r="D3572" s="19">
        <v>-8.3190476000000004E-5</v>
      </c>
      <c r="E3572" s="2">
        <v>1</v>
      </c>
      <c r="F3572" s="2">
        <v>3.96995270388514E-3</v>
      </c>
      <c r="G3572" s="2">
        <v>1</v>
      </c>
    </row>
    <row r="3573" spans="1:7" x14ac:dyDescent="0.2">
      <c r="A3573" s="2" t="s">
        <v>55</v>
      </c>
      <c r="B3573" s="14">
        <v>39630</v>
      </c>
      <c r="C3573" s="2">
        <v>-2.3255813949E-3</v>
      </c>
      <c r="D3573" s="2">
        <v>-1.2561071E-3</v>
      </c>
      <c r="E3573" s="2">
        <v>1</v>
      </c>
      <c r="F3573" s="2">
        <v>5.09647615897337E-3</v>
      </c>
      <c r="G3573" s="2">
        <v>1</v>
      </c>
    </row>
    <row r="3574" spans="1:7" x14ac:dyDescent="0.2">
      <c r="A3574" s="2" t="s">
        <v>55</v>
      </c>
      <c r="B3574" s="14">
        <v>39661</v>
      </c>
      <c r="C3574" s="2">
        <v>-3.6485448588999998E-2</v>
      </c>
      <c r="D3574" s="2">
        <v>-1.7857143E-4</v>
      </c>
      <c r="E3574" s="2">
        <v>1</v>
      </c>
      <c r="F3574" s="2">
        <v>1.4821242235328E-2</v>
      </c>
      <c r="G3574" s="2">
        <v>1</v>
      </c>
    </row>
    <row r="3575" spans="1:7" x14ac:dyDescent="0.2">
      <c r="A3575" s="2" t="s">
        <v>55</v>
      </c>
      <c r="B3575" s="14">
        <v>39692</v>
      </c>
      <c r="C3575" s="2">
        <v>-9.7560975610999995E-2</v>
      </c>
      <c r="D3575" s="19">
        <v>-2.9761905000000002E-8</v>
      </c>
      <c r="E3575" s="2">
        <v>1</v>
      </c>
      <c r="F3575" s="2">
        <v>1.4922128337468799E-2</v>
      </c>
      <c r="G3575" s="2">
        <v>1</v>
      </c>
    </row>
    <row r="3576" spans="1:7" x14ac:dyDescent="0.2">
      <c r="A3576" s="2" t="s">
        <v>55</v>
      </c>
      <c r="B3576" s="14">
        <v>39722</v>
      </c>
      <c r="C3576" s="2">
        <v>-2.1645779856999999E-2</v>
      </c>
      <c r="D3576" s="2">
        <v>0</v>
      </c>
      <c r="E3576" s="2">
        <v>1</v>
      </c>
      <c r="F3576" s="2">
        <v>1.31248317744197E-2</v>
      </c>
      <c r="G3576" s="2">
        <v>1</v>
      </c>
    </row>
    <row r="3577" spans="1:7" x14ac:dyDescent="0.2">
      <c r="A3577" s="2" t="s">
        <v>55</v>
      </c>
      <c r="B3577" s="14">
        <v>39753</v>
      </c>
      <c r="C3577" s="2">
        <v>-0.11106172565</v>
      </c>
      <c r="D3577" s="2">
        <v>-3.3488689000000003E-4</v>
      </c>
      <c r="E3577" s="2">
        <v>1</v>
      </c>
      <c r="F3577" s="2">
        <v>1.2281557335108899E-2</v>
      </c>
      <c r="G3577" s="2">
        <v>1</v>
      </c>
    </row>
    <row r="3578" spans="1:7" x14ac:dyDescent="0.2">
      <c r="A3578" s="2" t="s">
        <v>55</v>
      </c>
      <c r="B3578" s="14">
        <v>39783</v>
      </c>
      <c r="C3578" s="2">
        <v>-1.2539556961E-2</v>
      </c>
      <c r="D3578" s="19">
        <v>-8.6309526999999998E-5</v>
      </c>
      <c r="E3578" s="2">
        <v>1</v>
      </c>
      <c r="F3578" s="2">
        <v>1.02545593777202E-2</v>
      </c>
      <c r="G3578" s="2">
        <v>1</v>
      </c>
    </row>
    <row r="3579" spans="1:7" x14ac:dyDescent="0.2">
      <c r="A3579" s="2" t="s">
        <v>56</v>
      </c>
      <c r="B3579" s="14">
        <v>37591</v>
      </c>
      <c r="E3579" s="2">
        <v>1</v>
      </c>
      <c r="G3579" s="2">
        <v>2</v>
      </c>
    </row>
    <row r="3580" spans="1:7" x14ac:dyDescent="0.2">
      <c r="A3580" s="2" t="s">
        <v>56</v>
      </c>
      <c r="B3580" s="14">
        <v>37622</v>
      </c>
      <c r="E3580" s="2">
        <v>1</v>
      </c>
      <c r="G3580" s="2">
        <v>2</v>
      </c>
    </row>
    <row r="3581" spans="1:7" x14ac:dyDescent="0.2">
      <c r="A3581" s="2" t="s">
        <v>56</v>
      </c>
      <c r="B3581" s="14">
        <v>37653</v>
      </c>
      <c r="E3581" s="2">
        <v>1</v>
      </c>
      <c r="G3581" s="2">
        <v>2</v>
      </c>
    </row>
    <row r="3582" spans="1:7" x14ac:dyDescent="0.2">
      <c r="A3582" s="2" t="s">
        <v>56</v>
      </c>
      <c r="B3582" s="14">
        <v>37681</v>
      </c>
      <c r="E3582" s="2">
        <v>1</v>
      </c>
      <c r="G3582" s="2">
        <v>2</v>
      </c>
    </row>
    <row r="3583" spans="1:7" x14ac:dyDescent="0.2">
      <c r="A3583" s="2" t="s">
        <v>56</v>
      </c>
      <c r="B3583" s="14">
        <v>37712</v>
      </c>
      <c r="E3583" s="2">
        <v>1</v>
      </c>
      <c r="G3583" s="2">
        <v>2</v>
      </c>
    </row>
    <row r="3584" spans="1:7" x14ac:dyDescent="0.2">
      <c r="A3584" s="2" t="s">
        <v>56</v>
      </c>
      <c r="B3584" s="14">
        <v>37742</v>
      </c>
      <c r="E3584" s="2">
        <v>1</v>
      </c>
      <c r="G3584" s="2">
        <v>2</v>
      </c>
    </row>
    <row r="3585" spans="1:7" x14ac:dyDescent="0.2">
      <c r="A3585" s="2" t="s">
        <v>56</v>
      </c>
      <c r="B3585" s="14">
        <v>37773</v>
      </c>
      <c r="E3585" s="2">
        <v>1</v>
      </c>
      <c r="G3585" s="2">
        <v>2</v>
      </c>
    </row>
    <row r="3586" spans="1:7" x14ac:dyDescent="0.2">
      <c r="A3586" s="2" t="s">
        <v>56</v>
      </c>
      <c r="B3586" s="14">
        <v>37803</v>
      </c>
      <c r="E3586" s="2">
        <v>1</v>
      </c>
      <c r="G3586" s="2">
        <v>2</v>
      </c>
    </row>
    <row r="3587" spans="1:7" x14ac:dyDescent="0.2">
      <c r="A3587" s="2" t="s">
        <v>56</v>
      </c>
      <c r="B3587" s="14">
        <v>37834</v>
      </c>
      <c r="E3587" s="2">
        <v>1</v>
      </c>
      <c r="G3587" s="2">
        <v>2</v>
      </c>
    </row>
    <row r="3588" spans="1:7" x14ac:dyDescent="0.2">
      <c r="A3588" s="2" t="s">
        <v>56</v>
      </c>
      <c r="B3588" s="14">
        <v>37865</v>
      </c>
      <c r="E3588" s="2">
        <v>1</v>
      </c>
      <c r="G3588" s="2">
        <v>2</v>
      </c>
    </row>
    <row r="3589" spans="1:7" x14ac:dyDescent="0.2">
      <c r="A3589" s="2" t="s">
        <v>56</v>
      </c>
      <c r="B3589" s="14">
        <v>37895</v>
      </c>
      <c r="E3589" s="2">
        <v>1</v>
      </c>
      <c r="G3589" s="2">
        <v>2</v>
      </c>
    </row>
    <row r="3590" spans="1:7" x14ac:dyDescent="0.2">
      <c r="A3590" s="2" t="s">
        <v>56</v>
      </c>
      <c r="B3590" s="14">
        <v>37926</v>
      </c>
      <c r="E3590" s="2">
        <v>1</v>
      </c>
      <c r="G3590" s="2">
        <v>2</v>
      </c>
    </row>
    <row r="3591" spans="1:7" x14ac:dyDescent="0.2">
      <c r="A3591" s="2" t="s">
        <v>56</v>
      </c>
      <c r="B3591" s="14">
        <v>37956</v>
      </c>
      <c r="E3591" s="2">
        <v>1</v>
      </c>
      <c r="G3591" s="2">
        <v>2</v>
      </c>
    </row>
    <row r="3592" spans="1:7" x14ac:dyDescent="0.2">
      <c r="A3592" s="2" t="s">
        <v>56</v>
      </c>
      <c r="B3592" s="14">
        <v>37987</v>
      </c>
      <c r="E3592" s="2">
        <v>1</v>
      </c>
      <c r="G3592" s="2">
        <v>2</v>
      </c>
    </row>
    <row r="3593" spans="1:7" x14ac:dyDescent="0.2">
      <c r="A3593" s="2" t="s">
        <v>56</v>
      </c>
      <c r="B3593" s="14">
        <v>38018</v>
      </c>
      <c r="E3593" s="2">
        <v>1</v>
      </c>
      <c r="G3593" s="2">
        <v>2</v>
      </c>
    </row>
    <row r="3594" spans="1:7" x14ac:dyDescent="0.2">
      <c r="A3594" s="2" t="s">
        <v>56</v>
      </c>
      <c r="B3594" s="14">
        <v>38047</v>
      </c>
      <c r="E3594" s="2">
        <v>1</v>
      </c>
      <c r="G3594" s="2">
        <v>2</v>
      </c>
    </row>
    <row r="3595" spans="1:7" x14ac:dyDescent="0.2">
      <c r="A3595" s="2" t="s">
        <v>56</v>
      </c>
      <c r="B3595" s="14">
        <v>38078</v>
      </c>
      <c r="E3595" s="2">
        <v>1</v>
      </c>
      <c r="G3595" s="2">
        <v>2</v>
      </c>
    </row>
    <row r="3596" spans="1:7" x14ac:dyDescent="0.2">
      <c r="A3596" s="2" t="s">
        <v>56</v>
      </c>
      <c r="B3596" s="14">
        <v>38108</v>
      </c>
      <c r="E3596" s="2">
        <v>1</v>
      </c>
      <c r="G3596" s="2">
        <v>2</v>
      </c>
    </row>
    <row r="3597" spans="1:7" x14ac:dyDescent="0.2">
      <c r="A3597" s="2" t="s">
        <v>56</v>
      </c>
      <c r="B3597" s="14">
        <v>38139</v>
      </c>
      <c r="E3597" s="2">
        <v>1</v>
      </c>
      <c r="G3597" s="2">
        <v>2</v>
      </c>
    </row>
    <row r="3598" spans="1:7" x14ac:dyDescent="0.2">
      <c r="A3598" s="2" t="s">
        <v>56</v>
      </c>
      <c r="B3598" s="14">
        <v>38169</v>
      </c>
      <c r="E3598" s="2">
        <v>1</v>
      </c>
      <c r="G3598" s="2">
        <v>2</v>
      </c>
    </row>
    <row r="3599" spans="1:7" x14ac:dyDescent="0.2">
      <c r="A3599" s="2" t="s">
        <v>56</v>
      </c>
      <c r="B3599" s="14">
        <v>38200</v>
      </c>
      <c r="E3599" s="2">
        <v>1</v>
      </c>
      <c r="G3599" s="2">
        <v>2</v>
      </c>
    </row>
    <row r="3600" spans="1:7" x14ac:dyDescent="0.2">
      <c r="A3600" s="2" t="s">
        <v>56</v>
      </c>
      <c r="B3600" s="14">
        <v>38231</v>
      </c>
      <c r="E3600" s="2">
        <v>1</v>
      </c>
      <c r="G3600" s="2">
        <v>2</v>
      </c>
    </row>
    <row r="3601" spans="1:7" x14ac:dyDescent="0.2">
      <c r="A3601" s="2" t="s">
        <v>56</v>
      </c>
      <c r="B3601" s="14">
        <v>38261</v>
      </c>
      <c r="E3601" s="2">
        <v>1</v>
      </c>
      <c r="G3601" s="2">
        <v>2</v>
      </c>
    </row>
    <row r="3602" spans="1:7" x14ac:dyDescent="0.2">
      <c r="A3602" s="2" t="s">
        <v>56</v>
      </c>
      <c r="B3602" s="14">
        <v>38292</v>
      </c>
      <c r="E3602" s="2">
        <v>1</v>
      </c>
      <c r="G3602" s="2">
        <v>2</v>
      </c>
    </row>
    <row r="3603" spans="1:7" x14ac:dyDescent="0.2">
      <c r="A3603" s="2" t="s">
        <v>56</v>
      </c>
      <c r="B3603" s="14">
        <v>38322</v>
      </c>
      <c r="E3603" s="2">
        <v>1</v>
      </c>
      <c r="G3603" s="2">
        <v>2</v>
      </c>
    </row>
    <row r="3604" spans="1:7" x14ac:dyDescent="0.2">
      <c r="A3604" s="2" t="s">
        <v>56</v>
      </c>
      <c r="B3604" s="14">
        <v>38353</v>
      </c>
      <c r="E3604" s="2">
        <v>1</v>
      </c>
      <c r="G3604" s="2">
        <v>2</v>
      </c>
    </row>
    <row r="3605" spans="1:7" x14ac:dyDescent="0.2">
      <c r="A3605" s="2" t="s">
        <v>56</v>
      </c>
      <c r="B3605" s="14">
        <v>38384</v>
      </c>
      <c r="E3605" s="2">
        <v>1</v>
      </c>
      <c r="G3605" s="2">
        <v>2</v>
      </c>
    </row>
    <row r="3606" spans="1:7" x14ac:dyDescent="0.2">
      <c r="A3606" s="2" t="s">
        <v>56</v>
      </c>
      <c r="B3606" s="14">
        <v>38412</v>
      </c>
      <c r="E3606" s="2">
        <v>1</v>
      </c>
      <c r="G3606" s="2">
        <v>2</v>
      </c>
    </row>
    <row r="3607" spans="1:7" x14ac:dyDescent="0.2">
      <c r="A3607" s="2" t="s">
        <v>56</v>
      </c>
      <c r="B3607" s="14">
        <v>38443</v>
      </c>
      <c r="E3607" s="2">
        <v>1</v>
      </c>
      <c r="G3607" s="2">
        <v>2</v>
      </c>
    </row>
    <row r="3608" spans="1:7" x14ac:dyDescent="0.2">
      <c r="A3608" s="2" t="s">
        <v>56</v>
      </c>
      <c r="B3608" s="14">
        <v>38473</v>
      </c>
      <c r="E3608" s="2">
        <v>1</v>
      </c>
      <c r="G3608" s="2">
        <v>2</v>
      </c>
    </row>
    <row r="3609" spans="1:7" x14ac:dyDescent="0.2">
      <c r="A3609" s="2" t="s">
        <v>56</v>
      </c>
      <c r="B3609" s="14">
        <v>38504</v>
      </c>
      <c r="E3609" s="2">
        <v>1</v>
      </c>
      <c r="G3609" s="2">
        <v>2</v>
      </c>
    </row>
    <row r="3610" spans="1:7" x14ac:dyDescent="0.2">
      <c r="A3610" s="2" t="s">
        <v>56</v>
      </c>
      <c r="B3610" s="14">
        <v>38534</v>
      </c>
      <c r="E3610" s="2">
        <v>1</v>
      </c>
      <c r="G3610" s="2">
        <v>2</v>
      </c>
    </row>
    <row r="3611" spans="1:7" x14ac:dyDescent="0.2">
      <c r="A3611" s="2" t="s">
        <v>56</v>
      </c>
      <c r="B3611" s="14">
        <v>38565</v>
      </c>
      <c r="E3611" s="2">
        <v>1</v>
      </c>
      <c r="G3611" s="2">
        <v>2</v>
      </c>
    </row>
    <row r="3612" spans="1:7" x14ac:dyDescent="0.2">
      <c r="A3612" s="2" t="s">
        <v>56</v>
      </c>
      <c r="B3612" s="14">
        <v>38596</v>
      </c>
      <c r="E3612" s="2">
        <v>1</v>
      </c>
      <c r="G3612" s="2">
        <v>2</v>
      </c>
    </row>
    <row r="3613" spans="1:7" x14ac:dyDescent="0.2">
      <c r="A3613" s="2" t="s">
        <v>56</v>
      </c>
      <c r="B3613" s="14">
        <v>38626</v>
      </c>
      <c r="E3613" s="2">
        <v>1</v>
      </c>
      <c r="G3613" s="2">
        <v>2</v>
      </c>
    </row>
    <row r="3614" spans="1:7" x14ac:dyDescent="0.2">
      <c r="A3614" s="2" t="s">
        <v>56</v>
      </c>
      <c r="B3614" s="14">
        <v>38657</v>
      </c>
      <c r="E3614" s="2">
        <v>1</v>
      </c>
      <c r="G3614" s="2">
        <v>2</v>
      </c>
    </row>
    <row r="3615" spans="1:7" x14ac:dyDescent="0.2">
      <c r="A3615" s="2" t="s">
        <v>56</v>
      </c>
      <c r="B3615" s="14">
        <v>38687</v>
      </c>
      <c r="C3615" s="2">
        <v>-7.4141630900999997E-2</v>
      </c>
      <c r="D3615" s="2">
        <v>3.2437900999999998E-4</v>
      </c>
      <c r="E3615" s="2">
        <v>1</v>
      </c>
      <c r="G3615" s="2">
        <v>2</v>
      </c>
    </row>
    <row r="3616" spans="1:7" x14ac:dyDescent="0.2">
      <c r="A3616" s="2" t="s">
        <v>56</v>
      </c>
      <c r="B3616" s="14">
        <v>38718</v>
      </c>
      <c r="C3616" s="2">
        <v>0.22841580716000001</v>
      </c>
      <c r="D3616" s="2">
        <v>-3.3618229999999999E-3</v>
      </c>
      <c r="E3616" s="2">
        <v>1</v>
      </c>
      <c r="G3616" s="2">
        <v>2</v>
      </c>
    </row>
    <row r="3617" spans="1:7" x14ac:dyDescent="0.2">
      <c r="A3617" s="2" t="s">
        <v>56</v>
      </c>
      <c r="B3617" s="14">
        <v>38749</v>
      </c>
      <c r="C3617" s="2">
        <v>-3.7735849056999997E-2</v>
      </c>
      <c r="D3617" s="2">
        <v>-1.3124299999999999E-4</v>
      </c>
      <c r="E3617" s="2">
        <v>1</v>
      </c>
      <c r="G3617" s="2">
        <v>2</v>
      </c>
    </row>
    <row r="3618" spans="1:7" x14ac:dyDescent="0.2">
      <c r="A3618" s="2" t="s">
        <v>56</v>
      </c>
      <c r="B3618" s="14">
        <v>38777</v>
      </c>
      <c r="C3618" s="2">
        <v>5.8823529410999997E-2</v>
      </c>
      <c r="D3618" s="2">
        <v>1.809848E-3</v>
      </c>
      <c r="E3618" s="2">
        <v>1</v>
      </c>
      <c r="G3618" s="2">
        <v>2</v>
      </c>
    </row>
    <row r="3619" spans="1:7" x14ac:dyDescent="0.2">
      <c r="A3619" s="2" t="s">
        <v>56</v>
      </c>
      <c r="B3619" s="14">
        <v>38808</v>
      </c>
      <c r="C3619" s="2">
        <v>0.14814814814999999</v>
      </c>
      <c r="D3619" s="2">
        <v>2.5568801000000002E-4</v>
      </c>
      <c r="E3619" s="2">
        <v>1</v>
      </c>
      <c r="G3619" s="2">
        <v>2</v>
      </c>
    </row>
    <row r="3620" spans="1:7" x14ac:dyDescent="0.2">
      <c r="A3620" s="2" t="s">
        <v>56</v>
      </c>
      <c r="B3620" s="14">
        <v>38838</v>
      </c>
      <c r="C3620" s="2">
        <v>-0.10316127438</v>
      </c>
      <c r="D3620" s="2">
        <v>9.7310398E-4</v>
      </c>
      <c r="E3620" s="2">
        <v>1</v>
      </c>
      <c r="G3620" s="2">
        <v>2</v>
      </c>
    </row>
    <row r="3621" spans="1:7" x14ac:dyDescent="0.2">
      <c r="A3621" s="2" t="s">
        <v>56</v>
      </c>
      <c r="B3621" s="14">
        <v>38869</v>
      </c>
      <c r="C3621" s="2">
        <v>7.5126926033999994E-2</v>
      </c>
      <c r="D3621" s="19">
        <v>5.4670999999999999E-5</v>
      </c>
      <c r="E3621" s="2">
        <v>1</v>
      </c>
      <c r="G3621" s="2">
        <v>2</v>
      </c>
    </row>
    <row r="3622" spans="1:7" x14ac:dyDescent="0.2">
      <c r="A3622" s="2" t="s">
        <v>56</v>
      </c>
      <c r="B3622" s="14">
        <v>38899</v>
      </c>
      <c r="C3622" s="2">
        <v>4.5045045043999997E-2</v>
      </c>
      <c r="D3622" s="2">
        <v>-1.92587E-4</v>
      </c>
      <c r="E3622" s="2">
        <v>1</v>
      </c>
      <c r="G3622" s="2">
        <v>2</v>
      </c>
    </row>
    <row r="3623" spans="1:7" x14ac:dyDescent="0.2">
      <c r="A3623" s="2" t="s">
        <v>56</v>
      </c>
      <c r="B3623" s="14">
        <v>38930</v>
      </c>
      <c r="C3623" s="2">
        <v>3.4482758620999997E-2</v>
      </c>
      <c r="D3623" s="2">
        <v>1.1283179999999999E-3</v>
      </c>
      <c r="E3623" s="2">
        <v>1</v>
      </c>
      <c r="F3623" s="2">
        <v>3.3501369139456803E-2</v>
      </c>
      <c r="G3623" s="2">
        <v>2</v>
      </c>
    </row>
    <row r="3624" spans="1:7" x14ac:dyDescent="0.2">
      <c r="A3624" s="2" t="s">
        <v>56</v>
      </c>
      <c r="B3624" s="14">
        <v>38961</v>
      </c>
      <c r="C3624" s="2">
        <v>-1.6833333333000002E-2</v>
      </c>
      <c r="D3624" s="19">
        <v>1.5965999E-5</v>
      </c>
      <c r="E3624" s="2">
        <v>1</v>
      </c>
      <c r="F3624" s="2">
        <v>3.53753961537316E-2</v>
      </c>
      <c r="G3624" s="2">
        <v>2</v>
      </c>
    </row>
    <row r="3625" spans="1:7" x14ac:dyDescent="0.2">
      <c r="A3625" s="2" t="s">
        <v>56</v>
      </c>
      <c r="B3625" s="14">
        <v>38991</v>
      </c>
      <c r="C3625" s="2">
        <v>6.1316341271000002E-3</v>
      </c>
      <c r="D3625" s="2">
        <v>9.8337302999999994E-4</v>
      </c>
      <c r="E3625" s="2">
        <v>1</v>
      </c>
      <c r="F3625" s="2">
        <v>3.3147671714948097E-2</v>
      </c>
      <c r="G3625" s="2">
        <v>2</v>
      </c>
    </row>
    <row r="3626" spans="1:7" x14ac:dyDescent="0.2">
      <c r="A3626" s="2" t="s">
        <v>56</v>
      </c>
      <c r="B3626" s="14">
        <v>39022</v>
      </c>
      <c r="C3626" s="2">
        <v>0.16999430534000001</v>
      </c>
      <c r="D3626" s="2">
        <v>-1.564633E-3</v>
      </c>
      <c r="E3626" s="2">
        <v>1</v>
      </c>
      <c r="F3626" s="2">
        <v>2.89961050309861E-2</v>
      </c>
      <c r="G3626" s="2">
        <v>2</v>
      </c>
    </row>
    <row r="3627" spans="1:7" x14ac:dyDescent="0.2">
      <c r="A3627" s="2" t="s">
        <v>56</v>
      </c>
      <c r="B3627" s="14">
        <v>39052</v>
      </c>
      <c r="C3627" s="2">
        <v>-3.3923303835000002E-2</v>
      </c>
      <c r="D3627" s="2">
        <v>2.4095510999999998E-3</v>
      </c>
      <c r="E3627" s="2">
        <v>1</v>
      </c>
      <c r="F3627" s="2">
        <v>3.65997448261434E-2</v>
      </c>
      <c r="G3627" s="2">
        <v>2</v>
      </c>
    </row>
    <row r="3628" spans="1:7" x14ac:dyDescent="0.2">
      <c r="A3628" s="2" t="s">
        <v>56</v>
      </c>
      <c r="B3628" s="14">
        <v>39083</v>
      </c>
      <c r="C3628" s="2">
        <v>-5.3435114503000002E-2</v>
      </c>
      <c r="D3628" s="2">
        <v>-4.29023E-4</v>
      </c>
      <c r="E3628" s="2">
        <v>1</v>
      </c>
      <c r="F3628" s="2">
        <v>3.3457551514785203E-2</v>
      </c>
      <c r="G3628" s="2">
        <v>2</v>
      </c>
    </row>
    <row r="3629" spans="1:7" x14ac:dyDescent="0.2">
      <c r="A3629" s="2" t="s">
        <v>56</v>
      </c>
      <c r="B3629" s="14">
        <v>39114</v>
      </c>
      <c r="C3629" s="2">
        <v>1.6145161288999999E-2</v>
      </c>
      <c r="D3629" s="2">
        <v>1.5983899000000001E-4</v>
      </c>
      <c r="E3629" s="2">
        <v>1</v>
      </c>
      <c r="F3629" s="2">
        <v>3.0458914640437401E-2</v>
      </c>
      <c r="G3629" s="2">
        <v>2</v>
      </c>
    </row>
    <row r="3630" spans="1:7" x14ac:dyDescent="0.2">
      <c r="A3630" s="2" t="s">
        <v>56</v>
      </c>
      <c r="B3630" s="14">
        <v>39142</v>
      </c>
      <c r="C3630" s="2">
        <v>3.0142378692999999E-2</v>
      </c>
      <c r="D3630" s="2">
        <v>2.7133679999999999E-3</v>
      </c>
      <c r="E3630" s="2">
        <v>1</v>
      </c>
      <c r="F3630" s="2">
        <v>2.9849744031446399E-2</v>
      </c>
      <c r="G3630" s="2">
        <v>2</v>
      </c>
    </row>
    <row r="3631" spans="1:7" x14ac:dyDescent="0.2">
      <c r="A3631" s="2" t="s">
        <v>56</v>
      </c>
      <c r="B3631" s="14">
        <v>39173</v>
      </c>
      <c r="C3631" s="2">
        <v>1.5408320487E-3</v>
      </c>
      <c r="D3631" s="2">
        <v>5.8082691000000001E-3</v>
      </c>
      <c r="E3631" s="2">
        <v>1</v>
      </c>
      <c r="F3631" s="2">
        <v>3.1128899942717399E-2</v>
      </c>
      <c r="G3631" s="2">
        <v>2</v>
      </c>
    </row>
    <row r="3632" spans="1:7" x14ac:dyDescent="0.2">
      <c r="A3632" s="2" t="s">
        <v>56</v>
      </c>
      <c r="B3632" s="14">
        <v>39203</v>
      </c>
      <c r="C3632" s="2">
        <v>5.4492658008000003E-2</v>
      </c>
      <c r="D3632" s="2">
        <v>3.3527431000000001E-3</v>
      </c>
      <c r="E3632" s="2">
        <v>1</v>
      </c>
      <c r="F3632" s="2">
        <v>3.0807307485480599E-2</v>
      </c>
      <c r="G3632" s="2">
        <v>2</v>
      </c>
    </row>
    <row r="3633" spans="1:7" x14ac:dyDescent="0.2">
      <c r="A3633" s="2" t="s">
        <v>56</v>
      </c>
      <c r="B3633" s="14">
        <v>39234</v>
      </c>
      <c r="C3633" s="2">
        <v>-9.4179221433000008E-3</v>
      </c>
      <c r="D3633" s="2">
        <v>1.942764E-3</v>
      </c>
      <c r="E3633" s="2">
        <v>1</v>
      </c>
      <c r="F3633" s="2">
        <v>2.7188177393560199E-2</v>
      </c>
      <c r="G3633" s="2">
        <v>2</v>
      </c>
    </row>
    <row r="3634" spans="1:7" x14ac:dyDescent="0.2">
      <c r="A3634" s="2" t="s">
        <v>56</v>
      </c>
      <c r="B3634" s="14">
        <v>39264</v>
      </c>
      <c r="C3634" s="2">
        <v>-3.4074395239000001E-2</v>
      </c>
      <c r="D3634" s="2">
        <v>-3.6092900000000001E-4</v>
      </c>
      <c r="E3634" s="2">
        <v>1</v>
      </c>
      <c r="F3634" s="2">
        <v>2.7895247684018399E-2</v>
      </c>
      <c r="G3634" s="2">
        <v>2</v>
      </c>
    </row>
    <row r="3635" spans="1:7" x14ac:dyDescent="0.2">
      <c r="A3635" s="2" t="s">
        <v>56</v>
      </c>
      <c r="B3635" s="14">
        <v>39295</v>
      </c>
      <c r="C3635" s="2">
        <v>3.4717798443999999E-3</v>
      </c>
      <c r="D3635" s="2">
        <v>3.0142500000000002E-4</v>
      </c>
      <c r="E3635" s="2">
        <v>1</v>
      </c>
      <c r="F3635" s="2">
        <v>1.9360530105252301E-2</v>
      </c>
      <c r="G3635" s="2">
        <v>2</v>
      </c>
    </row>
    <row r="3636" spans="1:7" x14ac:dyDescent="0.2">
      <c r="A3636" s="2" t="s">
        <v>56</v>
      </c>
      <c r="B3636" s="14">
        <v>39326</v>
      </c>
      <c r="C3636" s="2">
        <v>1.2172671003999999E-2</v>
      </c>
      <c r="D3636" s="2">
        <v>-1.068629E-3</v>
      </c>
      <c r="E3636" s="2">
        <v>1</v>
      </c>
      <c r="F3636" s="2">
        <v>1.8980607901117299E-2</v>
      </c>
      <c r="G3636" s="2">
        <v>2</v>
      </c>
    </row>
    <row r="3637" spans="1:7" x14ac:dyDescent="0.2">
      <c r="A3637" s="2" t="s">
        <v>56</v>
      </c>
      <c r="B3637" s="14">
        <v>39356</v>
      </c>
      <c r="C3637" s="2">
        <v>-2.1102683612999999E-2</v>
      </c>
      <c r="D3637" s="2">
        <v>5.0000002000000004E-4</v>
      </c>
      <c r="E3637" s="2">
        <v>1</v>
      </c>
      <c r="F3637" s="2">
        <v>1.8421325899484801E-2</v>
      </c>
      <c r="G3637" s="2">
        <v>2</v>
      </c>
    </row>
    <row r="3638" spans="1:7" x14ac:dyDescent="0.2">
      <c r="A3638" s="2" t="s">
        <v>56</v>
      </c>
      <c r="B3638" s="14">
        <v>39387</v>
      </c>
      <c r="C3638" s="2">
        <v>-5.7409836064999997E-2</v>
      </c>
      <c r="D3638" s="2">
        <v>-1.492447E-3</v>
      </c>
      <c r="E3638" s="2">
        <v>1</v>
      </c>
      <c r="F3638" s="2">
        <v>1.78844222911612E-2</v>
      </c>
      <c r="G3638" s="2">
        <v>2</v>
      </c>
    </row>
    <row r="3639" spans="1:7" x14ac:dyDescent="0.2">
      <c r="A3639" s="2" t="s">
        <v>56</v>
      </c>
      <c r="B3639" s="14">
        <v>39417</v>
      </c>
      <c r="C3639" s="2">
        <v>4.3514557028E-2</v>
      </c>
      <c r="D3639" s="2">
        <v>-1.665157E-3</v>
      </c>
      <c r="E3639" s="2">
        <v>1</v>
      </c>
      <c r="F3639" s="2">
        <v>1.43282025103687E-2</v>
      </c>
      <c r="G3639" s="2">
        <v>2</v>
      </c>
    </row>
    <row r="3640" spans="1:7" x14ac:dyDescent="0.2">
      <c r="A3640" s="2" t="s">
        <v>56</v>
      </c>
      <c r="B3640" s="14">
        <v>39448</v>
      </c>
      <c r="C3640" s="2">
        <v>-6.6666666668000002E-2</v>
      </c>
      <c r="D3640" s="2">
        <v>-4.9693380000000002E-3</v>
      </c>
      <c r="E3640" s="2">
        <v>1</v>
      </c>
      <c r="F3640" s="2">
        <v>1.5795400019760101E-2</v>
      </c>
      <c r="G3640" s="2">
        <v>2</v>
      </c>
    </row>
    <row r="3641" spans="1:7" x14ac:dyDescent="0.2">
      <c r="A3641" s="2" t="s">
        <v>56</v>
      </c>
      <c r="B3641" s="14">
        <v>39479</v>
      </c>
      <c r="C3641" s="2">
        <v>-2.7232142857E-2</v>
      </c>
      <c r="D3641" s="2">
        <v>1.0514223E-2</v>
      </c>
      <c r="E3641" s="2">
        <v>1</v>
      </c>
      <c r="F3641" s="2">
        <v>1.50466102679368E-2</v>
      </c>
      <c r="G3641" s="2">
        <v>2</v>
      </c>
    </row>
    <row r="3642" spans="1:7" x14ac:dyDescent="0.2">
      <c r="A3642" s="2" t="s">
        <v>56</v>
      </c>
      <c r="B3642" s="14">
        <v>39508</v>
      </c>
      <c r="C3642" s="2">
        <v>4.4515832950999999E-2</v>
      </c>
      <c r="D3642" s="2">
        <v>7.2475448000000001E-3</v>
      </c>
      <c r="E3642" s="2">
        <v>1</v>
      </c>
      <c r="F3642" s="2">
        <v>1.42252457944966E-2</v>
      </c>
      <c r="G3642" s="2">
        <v>2</v>
      </c>
    </row>
    <row r="3643" spans="1:7" x14ac:dyDescent="0.2">
      <c r="A3643" s="2" t="s">
        <v>56</v>
      </c>
      <c r="B3643" s="14">
        <v>39539</v>
      </c>
      <c r="C3643" s="2">
        <v>3.2864674869E-2</v>
      </c>
      <c r="D3643" s="2">
        <v>2.7502469999999999E-3</v>
      </c>
      <c r="E3643" s="2">
        <v>1</v>
      </c>
      <c r="F3643" s="2">
        <v>1.50876791863167E-2</v>
      </c>
      <c r="G3643" s="2">
        <v>2</v>
      </c>
    </row>
    <row r="3644" spans="1:7" x14ac:dyDescent="0.2">
      <c r="A3644" s="2" t="s">
        <v>56</v>
      </c>
      <c r="B3644" s="14">
        <v>39569</v>
      </c>
      <c r="C3644" s="2">
        <v>-5.8729281185000003E-2</v>
      </c>
      <c r="D3644" s="2">
        <v>2.6659210999999999E-3</v>
      </c>
      <c r="E3644" s="2">
        <v>1</v>
      </c>
      <c r="F3644" s="2">
        <v>1.6600757057597299E-2</v>
      </c>
      <c r="G3644" s="2">
        <v>2</v>
      </c>
    </row>
    <row r="3645" spans="1:7" x14ac:dyDescent="0.2">
      <c r="A3645" s="2" t="s">
        <v>56</v>
      </c>
      <c r="B3645" s="14">
        <v>39600</v>
      </c>
      <c r="C3645" s="2">
        <v>3.4557277373000003E-2</v>
      </c>
      <c r="D3645" s="2">
        <v>-2.8418440000000001E-3</v>
      </c>
      <c r="E3645" s="2">
        <v>1</v>
      </c>
      <c r="F3645" s="2">
        <v>1.6715738474612499E-2</v>
      </c>
      <c r="G3645" s="2">
        <v>2</v>
      </c>
    </row>
    <row r="3646" spans="1:7" x14ac:dyDescent="0.2">
      <c r="A3646" s="2" t="s">
        <v>56</v>
      </c>
      <c r="B3646" s="14">
        <v>39630</v>
      </c>
      <c r="C3646" s="2">
        <v>1.8707167994000001E-2</v>
      </c>
      <c r="D3646" s="2">
        <v>-1.0411205999999999E-2</v>
      </c>
      <c r="E3646" s="2">
        <v>1</v>
      </c>
      <c r="F3646" s="2">
        <v>1.6515437431956801E-2</v>
      </c>
      <c r="G3646" s="2">
        <v>2</v>
      </c>
    </row>
    <row r="3647" spans="1:7" x14ac:dyDescent="0.2">
      <c r="A3647" s="2" t="s">
        <v>56</v>
      </c>
      <c r="B3647" s="14">
        <v>39661</v>
      </c>
      <c r="C3647" s="2">
        <v>-3.6363636365E-2</v>
      </c>
      <c r="D3647" s="19">
        <v>-2.5460999999999999E-5</v>
      </c>
      <c r="E3647" s="2">
        <v>1</v>
      </c>
      <c r="F3647" s="2">
        <v>2.1435096787187101E-2</v>
      </c>
      <c r="G3647" s="2">
        <v>2</v>
      </c>
    </row>
    <row r="3648" spans="1:7" x14ac:dyDescent="0.2">
      <c r="A3648" s="2" t="s">
        <v>56</v>
      </c>
      <c r="B3648" s="14">
        <v>39692</v>
      </c>
      <c r="C3648" s="2">
        <v>-0.11320754717000001</v>
      </c>
      <c r="D3648" s="2">
        <v>7.7904742000000004E-3</v>
      </c>
      <c r="E3648" s="2">
        <v>1</v>
      </c>
      <c r="F3648" s="2">
        <v>2.1273905205544799E-2</v>
      </c>
      <c r="G3648" s="2">
        <v>2</v>
      </c>
    </row>
    <row r="3649" spans="1:7" x14ac:dyDescent="0.2">
      <c r="A3649" s="2" t="s">
        <v>56</v>
      </c>
      <c r="B3649" s="14">
        <v>39722</v>
      </c>
      <c r="C3649" s="2">
        <v>3.5188592456999998E-2</v>
      </c>
      <c r="D3649" s="2">
        <v>6.1928597000000004E-4</v>
      </c>
      <c r="E3649" s="2">
        <v>1</v>
      </c>
      <c r="F3649" s="2">
        <v>1.7165256050213601E-2</v>
      </c>
      <c r="G3649" s="2">
        <v>2</v>
      </c>
    </row>
    <row r="3650" spans="1:7" x14ac:dyDescent="0.2">
      <c r="A3650" s="2" t="s">
        <v>56</v>
      </c>
      <c r="B3650" s="14">
        <v>39753</v>
      </c>
      <c r="C3650" s="2">
        <v>4.8936170213000001E-2</v>
      </c>
      <c r="D3650" s="2">
        <v>5.6748138999999998E-3</v>
      </c>
      <c r="E3650" s="2">
        <v>1</v>
      </c>
      <c r="F3650" s="2">
        <v>1.7272178843674001E-2</v>
      </c>
      <c r="G3650" s="2">
        <v>2</v>
      </c>
    </row>
    <row r="3651" spans="1:7" x14ac:dyDescent="0.2">
      <c r="A3651" s="2" t="s">
        <v>56</v>
      </c>
      <c r="B3651" s="14">
        <v>39783</v>
      </c>
      <c r="C3651" s="2">
        <v>-3.2454361062000002E-3</v>
      </c>
      <c r="D3651" s="2">
        <v>3.4408169000000001E-3</v>
      </c>
      <c r="E3651" s="2">
        <v>1</v>
      </c>
      <c r="F3651" s="2">
        <v>2.02869000670441E-2</v>
      </c>
      <c r="G3651" s="2">
        <v>2</v>
      </c>
    </row>
    <row r="3652" spans="1:7" x14ac:dyDescent="0.2">
      <c r="A3652" s="2" t="s">
        <v>57</v>
      </c>
      <c r="B3652" s="14">
        <v>37591</v>
      </c>
      <c r="C3652" s="2">
        <v>-6.8965517241000002E-2</v>
      </c>
      <c r="D3652" s="2">
        <v>-4.4218440999999999E-3</v>
      </c>
      <c r="E3652" s="2">
        <v>1</v>
      </c>
      <c r="G3652" s="2">
        <v>1</v>
      </c>
    </row>
    <row r="3653" spans="1:7" x14ac:dyDescent="0.2">
      <c r="A3653" s="2" t="s">
        <v>57</v>
      </c>
      <c r="B3653" s="14">
        <v>37622</v>
      </c>
      <c r="C3653" s="2">
        <v>-1.6666624280999999E-2</v>
      </c>
      <c r="D3653" s="2">
        <v>-9.7501377000000001E-4</v>
      </c>
      <c r="E3653" s="2">
        <v>1</v>
      </c>
      <c r="G3653" s="2">
        <v>1</v>
      </c>
    </row>
    <row r="3654" spans="1:7" x14ac:dyDescent="0.2">
      <c r="A3654" s="2" t="s">
        <v>57</v>
      </c>
      <c r="B3654" s="14">
        <v>37653</v>
      </c>
      <c r="C3654" s="2">
        <v>-4.2372879529999997E-2</v>
      </c>
      <c r="D3654" s="2">
        <v>-1.8351371000000001E-4</v>
      </c>
      <c r="E3654" s="2">
        <v>1</v>
      </c>
      <c r="G3654" s="2">
        <v>1</v>
      </c>
    </row>
    <row r="3655" spans="1:7" x14ac:dyDescent="0.2">
      <c r="A3655" s="2" t="s">
        <v>57</v>
      </c>
      <c r="B3655" s="14">
        <v>37681</v>
      </c>
      <c r="C3655" s="2">
        <v>0.11504417509000001</v>
      </c>
      <c r="D3655" s="2">
        <v>-1.414581E-2</v>
      </c>
      <c r="E3655" s="2">
        <v>1</v>
      </c>
      <c r="G3655" s="2">
        <v>1</v>
      </c>
    </row>
    <row r="3656" spans="1:7" x14ac:dyDescent="0.2">
      <c r="A3656" s="2" t="s">
        <v>57</v>
      </c>
      <c r="B3656" s="14">
        <v>37712</v>
      </c>
      <c r="C3656" s="2">
        <v>0.40105820512000001</v>
      </c>
      <c r="D3656" s="2">
        <v>-1.8673786E-3</v>
      </c>
      <c r="E3656" s="2">
        <v>1</v>
      </c>
      <c r="G3656" s="2">
        <v>1</v>
      </c>
    </row>
    <row r="3657" spans="1:7" x14ac:dyDescent="0.2">
      <c r="A3657" s="2" t="s">
        <v>57</v>
      </c>
      <c r="B3657" s="14">
        <v>37742</v>
      </c>
      <c r="C3657" s="2">
        <v>-5.5891222349999999E-2</v>
      </c>
      <c r="D3657" s="19">
        <v>1.8335133E-5</v>
      </c>
      <c r="E3657" s="2">
        <v>1</v>
      </c>
      <c r="G3657" s="2">
        <v>1</v>
      </c>
    </row>
    <row r="3658" spans="1:7" x14ac:dyDescent="0.2">
      <c r="A3658" s="2" t="s">
        <v>57</v>
      </c>
      <c r="B3658" s="14">
        <v>37773</v>
      </c>
      <c r="C3658" s="2">
        <v>-0.12384026368000001</v>
      </c>
      <c r="D3658" s="19">
        <v>2.7547138999999999E-5</v>
      </c>
      <c r="E3658" s="2">
        <v>1</v>
      </c>
      <c r="G3658" s="2">
        <v>1</v>
      </c>
    </row>
    <row r="3659" spans="1:7" x14ac:dyDescent="0.2">
      <c r="A3659" s="2" t="s">
        <v>57</v>
      </c>
      <c r="B3659" s="14">
        <v>37803</v>
      </c>
      <c r="C3659" s="2">
        <v>9.7560975610000003E-2</v>
      </c>
      <c r="D3659" s="2">
        <v>-6.5300869999999997E-4</v>
      </c>
      <c r="E3659" s="2">
        <v>1</v>
      </c>
      <c r="G3659" s="2">
        <v>1</v>
      </c>
    </row>
    <row r="3660" spans="1:7" x14ac:dyDescent="0.2">
      <c r="A3660" s="2" t="s">
        <v>57</v>
      </c>
      <c r="B3660" s="14">
        <v>37834</v>
      </c>
      <c r="C3660" s="2">
        <v>-2.2222222222000002E-2</v>
      </c>
      <c r="D3660" s="2">
        <v>2.1242390999999999E-2</v>
      </c>
      <c r="E3660" s="2">
        <v>1</v>
      </c>
      <c r="F3660" s="2">
        <v>7.0618518661391697E-2</v>
      </c>
      <c r="G3660" s="2">
        <v>1</v>
      </c>
    </row>
    <row r="3661" spans="1:7" x14ac:dyDescent="0.2">
      <c r="A3661" s="2" t="s">
        <v>57</v>
      </c>
      <c r="B3661" s="14">
        <v>37865</v>
      </c>
      <c r="C3661" s="2">
        <v>-2.5909077038000002E-2</v>
      </c>
      <c r="D3661" s="2">
        <v>-1.0685593E-2</v>
      </c>
      <c r="E3661" s="2">
        <v>1</v>
      </c>
      <c r="F3661" s="2">
        <v>7.1049553347400402E-2</v>
      </c>
      <c r="G3661" s="2">
        <v>1</v>
      </c>
    </row>
    <row r="3662" spans="1:7" x14ac:dyDescent="0.2">
      <c r="A3662" s="2" t="s">
        <v>57</v>
      </c>
      <c r="B3662" s="14">
        <v>37895</v>
      </c>
      <c r="C3662" s="2">
        <v>0.12459169567</v>
      </c>
      <c r="D3662" s="2">
        <v>-9.4803590000000007E-3</v>
      </c>
      <c r="E3662" s="2">
        <v>1</v>
      </c>
      <c r="F3662" s="2">
        <v>6.6871106580771597E-2</v>
      </c>
      <c r="G3662" s="2">
        <v>1</v>
      </c>
    </row>
    <row r="3663" spans="1:7" x14ac:dyDescent="0.2">
      <c r="A3663" s="2" t="s">
        <v>57</v>
      </c>
      <c r="B3663" s="14">
        <v>37926</v>
      </c>
      <c r="C3663" s="2">
        <v>-6.6390056271999995E-2</v>
      </c>
      <c r="D3663" s="2">
        <v>-5.4921446999999998E-3</v>
      </c>
      <c r="E3663" s="2">
        <v>1</v>
      </c>
      <c r="F3663" s="2">
        <v>5.8499363220309603E-2</v>
      </c>
      <c r="G3663" s="2">
        <v>1</v>
      </c>
    </row>
    <row r="3664" spans="1:7" x14ac:dyDescent="0.2">
      <c r="A3664" s="2" t="s">
        <v>57</v>
      </c>
      <c r="B3664" s="14">
        <v>37956</v>
      </c>
      <c r="C3664" s="2">
        <v>4.4444444393000002E-4</v>
      </c>
      <c r="D3664" s="2">
        <v>-6.2159099999999998E-3</v>
      </c>
      <c r="E3664" s="2">
        <v>1</v>
      </c>
      <c r="F3664" s="2">
        <v>5.8282624890696702E-2</v>
      </c>
      <c r="G3664" s="2">
        <v>1</v>
      </c>
    </row>
    <row r="3665" spans="1:7" x14ac:dyDescent="0.2">
      <c r="A3665" s="2" t="s">
        <v>57</v>
      </c>
      <c r="B3665" s="14">
        <v>37987</v>
      </c>
      <c r="C3665" s="2">
        <v>1.2883163037E-2</v>
      </c>
      <c r="E3665" s="2">
        <v>1</v>
      </c>
      <c r="F3665" s="2">
        <v>6.17521070884995E-2</v>
      </c>
      <c r="G3665" s="2">
        <v>1</v>
      </c>
    </row>
    <row r="3666" spans="1:7" x14ac:dyDescent="0.2">
      <c r="A3666" s="2" t="s">
        <v>57</v>
      </c>
      <c r="B3666" s="14">
        <v>38018</v>
      </c>
      <c r="C3666" s="2">
        <v>-3.5087719298000003E-2</v>
      </c>
      <c r="E3666" s="2">
        <v>1</v>
      </c>
      <c r="F3666" s="2">
        <v>5.9263792943673899E-2</v>
      </c>
      <c r="G3666" s="2">
        <v>1</v>
      </c>
    </row>
    <row r="3667" spans="1:7" x14ac:dyDescent="0.2">
      <c r="A3667" s="2" t="s">
        <v>57</v>
      </c>
      <c r="B3667" s="14">
        <v>38047</v>
      </c>
      <c r="C3667" s="2">
        <v>-0.11363636363</v>
      </c>
      <c r="D3667" s="19">
        <v>-3.2235455E-6</v>
      </c>
      <c r="E3667" s="2">
        <v>1</v>
      </c>
      <c r="F3667" s="2">
        <v>5.8966751332489097E-2</v>
      </c>
      <c r="G3667" s="2">
        <v>1</v>
      </c>
    </row>
    <row r="3668" spans="1:7" x14ac:dyDescent="0.2">
      <c r="A3668" s="2" t="s">
        <v>57</v>
      </c>
      <c r="B3668" s="14">
        <v>38078</v>
      </c>
      <c r="C3668" s="2">
        <v>-2.5641025641000001E-2</v>
      </c>
      <c r="D3668" s="19">
        <v>-1.3452190000000001E-5</v>
      </c>
      <c r="E3668" s="2">
        <v>1</v>
      </c>
      <c r="F3668" s="2">
        <v>5.6776152678301099E-2</v>
      </c>
      <c r="G3668" s="2">
        <v>1</v>
      </c>
    </row>
    <row r="3669" spans="1:7" x14ac:dyDescent="0.2">
      <c r="A3669" s="2" t="s">
        <v>57</v>
      </c>
      <c r="B3669" s="14">
        <v>38108</v>
      </c>
      <c r="C3669" s="2">
        <v>-5.2631578948000003E-2</v>
      </c>
      <c r="D3669" s="2">
        <v>0</v>
      </c>
      <c r="E3669" s="2">
        <v>1</v>
      </c>
      <c r="F3669" s="2">
        <v>5.1216512192989297E-2</v>
      </c>
      <c r="G3669" s="2">
        <v>1</v>
      </c>
    </row>
    <row r="3670" spans="1:7" x14ac:dyDescent="0.2">
      <c r="A3670" s="2" t="s">
        <v>57</v>
      </c>
      <c r="B3670" s="14">
        <v>38139</v>
      </c>
      <c r="C3670" s="2">
        <v>0.16666666666999999</v>
      </c>
      <c r="D3670" s="2">
        <v>0</v>
      </c>
      <c r="E3670" s="2">
        <v>1</v>
      </c>
      <c r="F3670" s="2">
        <v>5.1734369014620502E-2</v>
      </c>
      <c r="G3670" s="2">
        <v>1</v>
      </c>
    </row>
    <row r="3671" spans="1:7" x14ac:dyDescent="0.2">
      <c r="A3671" s="2" t="s">
        <v>57</v>
      </c>
      <c r="B3671" s="14">
        <v>38169</v>
      </c>
      <c r="C3671" s="2">
        <v>0</v>
      </c>
      <c r="D3671" s="2">
        <v>0</v>
      </c>
      <c r="E3671" s="2">
        <v>1</v>
      </c>
      <c r="F3671" s="2">
        <v>5.6366050106317997E-2</v>
      </c>
      <c r="G3671" s="2">
        <v>1</v>
      </c>
    </row>
    <row r="3672" spans="1:7" x14ac:dyDescent="0.2">
      <c r="A3672" s="2" t="s">
        <v>57</v>
      </c>
      <c r="B3672" s="14">
        <v>38200</v>
      </c>
      <c r="C3672" s="2">
        <v>8.0952380953000003E-2</v>
      </c>
      <c r="D3672" s="19">
        <v>2.9419164999999999E-5</v>
      </c>
      <c r="E3672" s="2">
        <v>1</v>
      </c>
      <c r="F3672" s="2">
        <v>4.9956464357841103E-2</v>
      </c>
      <c r="G3672" s="2">
        <v>1</v>
      </c>
    </row>
    <row r="3673" spans="1:7" x14ac:dyDescent="0.2">
      <c r="A3673" s="2" t="s">
        <v>57</v>
      </c>
      <c r="B3673" s="14">
        <v>38231</v>
      </c>
      <c r="C3673" s="2">
        <v>0.18502202642999999</v>
      </c>
      <c r="D3673" s="2">
        <v>5.3191771999999997E-3</v>
      </c>
      <c r="E3673" s="2">
        <v>1</v>
      </c>
      <c r="F3673" s="2">
        <v>5.3194144164651201E-2</v>
      </c>
      <c r="G3673" s="2">
        <v>1</v>
      </c>
    </row>
    <row r="3674" spans="1:7" x14ac:dyDescent="0.2">
      <c r="A3674" s="2" t="s">
        <v>57</v>
      </c>
      <c r="B3674" s="14">
        <v>38261</v>
      </c>
      <c r="C3674" s="2">
        <v>0.11524163568</v>
      </c>
      <c r="D3674" s="2">
        <v>0</v>
      </c>
      <c r="E3674" s="2">
        <v>1</v>
      </c>
      <c r="F3674" s="2">
        <v>6.1702300905277598E-2</v>
      </c>
      <c r="G3674" s="2">
        <v>1</v>
      </c>
    </row>
    <row r="3675" spans="1:7" x14ac:dyDescent="0.2">
      <c r="A3675" s="2" t="s">
        <v>57</v>
      </c>
      <c r="B3675" s="14">
        <v>38292</v>
      </c>
      <c r="C3675" s="2">
        <v>-5.3333333332000001E-2</v>
      </c>
      <c r="D3675" s="2">
        <v>1.8012007E-3</v>
      </c>
      <c r="E3675" s="2">
        <v>1</v>
      </c>
      <c r="F3675" s="2">
        <v>6.5508039746164801E-2</v>
      </c>
      <c r="G3675" s="2">
        <v>1</v>
      </c>
    </row>
    <row r="3676" spans="1:7" x14ac:dyDescent="0.2">
      <c r="A3676" s="2" t="s">
        <v>57</v>
      </c>
      <c r="B3676" s="14">
        <v>38322</v>
      </c>
      <c r="C3676" s="2">
        <v>-2.8169014084999999E-2</v>
      </c>
      <c r="D3676" s="2">
        <v>-2.6269120000000002E-4</v>
      </c>
      <c r="E3676" s="2">
        <v>1</v>
      </c>
      <c r="F3676" s="2">
        <v>6.55928566910743E-2</v>
      </c>
      <c r="G3676" s="2">
        <v>1</v>
      </c>
    </row>
    <row r="3677" spans="1:7" x14ac:dyDescent="0.2">
      <c r="A3677" s="2" t="s">
        <v>57</v>
      </c>
      <c r="B3677" s="14">
        <v>38353</v>
      </c>
      <c r="C3677" s="2">
        <v>2.3550724636000001E-2</v>
      </c>
      <c r="D3677" s="2">
        <v>-2.1919385000000002E-3</v>
      </c>
      <c r="E3677" s="2">
        <v>1</v>
      </c>
      <c r="F3677" s="2">
        <v>6.0047646397339102E-2</v>
      </c>
      <c r="G3677" s="2">
        <v>1</v>
      </c>
    </row>
    <row r="3678" spans="1:7" x14ac:dyDescent="0.2">
      <c r="A3678" s="2" t="s">
        <v>57</v>
      </c>
      <c r="B3678" s="14">
        <v>38384</v>
      </c>
      <c r="C3678" s="2">
        <v>3.5398230088999998E-2</v>
      </c>
      <c r="D3678" s="2">
        <v>1.1737665999999999E-3</v>
      </c>
      <c r="E3678" s="2">
        <v>1</v>
      </c>
      <c r="F3678" s="2">
        <v>6.0674460932113802E-2</v>
      </c>
      <c r="G3678" s="2">
        <v>1</v>
      </c>
    </row>
    <row r="3679" spans="1:7" x14ac:dyDescent="0.2">
      <c r="A3679" s="2" t="s">
        <v>57</v>
      </c>
      <c r="B3679" s="14">
        <v>38412</v>
      </c>
      <c r="C3679" s="2">
        <v>-1.1965811967000001E-2</v>
      </c>
      <c r="D3679" s="2">
        <v>0</v>
      </c>
      <c r="E3679" s="2">
        <v>1</v>
      </c>
      <c r="F3679" s="2">
        <v>5.9247504529386298E-2</v>
      </c>
      <c r="G3679" s="2">
        <v>1</v>
      </c>
    </row>
    <row r="3680" spans="1:7" x14ac:dyDescent="0.2">
      <c r="A3680" s="2" t="s">
        <v>57</v>
      </c>
      <c r="B3680" s="14">
        <v>38443</v>
      </c>
      <c r="C3680" s="2">
        <v>4.8442906575999999E-2</v>
      </c>
      <c r="D3680" s="2">
        <v>-1.0125143000000001E-3</v>
      </c>
      <c r="E3680" s="2">
        <v>1</v>
      </c>
      <c r="F3680" s="2">
        <v>5.3396330254739201E-2</v>
      </c>
      <c r="G3680" s="2">
        <v>1</v>
      </c>
    </row>
    <row r="3681" spans="1:7" x14ac:dyDescent="0.2">
      <c r="A3681" s="2" t="s">
        <v>57</v>
      </c>
      <c r="B3681" s="14">
        <v>38473</v>
      </c>
      <c r="C3681" s="2">
        <v>-7.5907590760000004E-2</v>
      </c>
      <c r="D3681" s="2">
        <v>0</v>
      </c>
      <c r="E3681" s="2">
        <v>1</v>
      </c>
      <c r="F3681" s="2">
        <v>5.1315550061093E-2</v>
      </c>
      <c r="G3681" s="2">
        <v>1</v>
      </c>
    </row>
    <row r="3682" spans="1:7" x14ac:dyDescent="0.2">
      <c r="A3682" s="2" t="s">
        <v>57</v>
      </c>
      <c r="B3682" s="14">
        <v>38504</v>
      </c>
      <c r="C3682" s="2">
        <v>7.1428571428999998E-2</v>
      </c>
      <c r="D3682" s="2">
        <v>-2.6625376000000002E-3</v>
      </c>
      <c r="E3682" s="2">
        <v>1</v>
      </c>
      <c r="F3682" s="2">
        <v>5.08942891709636E-2</v>
      </c>
      <c r="G3682" s="2">
        <v>1</v>
      </c>
    </row>
    <row r="3683" spans="1:7" x14ac:dyDescent="0.2">
      <c r="A3683" s="2" t="s">
        <v>57</v>
      </c>
      <c r="B3683" s="14">
        <v>38534</v>
      </c>
      <c r="C3683" s="2">
        <v>0.52766666666999995</v>
      </c>
      <c r="D3683" s="2">
        <v>1.4363956E-3</v>
      </c>
      <c r="E3683" s="2">
        <v>1</v>
      </c>
      <c r="F3683" s="2">
        <v>5.3444217677761002E-2</v>
      </c>
      <c r="G3683" s="2">
        <v>1</v>
      </c>
    </row>
    <row r="3684" spans="1:7" x14ac:dyDescent="0.2">
      <c r="A3684" s="2" t="s">
        <v>57</v>
      </c>
      <c r="B3684" s="14">
        <v>38565</v>
      </c>
      <c r="C3684" s="2">
        <v>0.1099716343</v>
      </c>
      <c r="D3684" s="2">
        <v>9.2697665000000002E-3</v>
      </c>
      <c r="E3684" s="2">
        <v>1</v>
      </c>
      <c r="F3684" s="2">
        <v>6.3788352932088593E-2</v>
      </c>
      <c r="G3684" s="2">
        <v>1</v>
      </c>
    </row>
    <row r="3685" spans="1:7" x14ac:dyDescent="0.2">
      <c r="A3685" s="2" t="s">
        <v>57</v>
      </c>
      <c r="B3685" s="14">
        <v>38596</v>
      </c>
      <c r="C3685" s="2">
        <v>2.9880086494999999E-2</v>
      </c>
      <c r="D3685" s="2">
        <v>-8.6921779000000005E-3</v>
      </c>
      <c r="E3685" s="2">
        <v>1</v>
      </c>
      <c r="F3685" s="2">
        <v>6.5710946449383106E-2</v>
      </c>
      <c r="G3685" s="2">
        <v>1</v>
      </c>
    </row>
    <row r="3686" spans="1:7" x14ac:dyDescent="0.2">
      <c r="A3686" s="2" t="s">
        <v>57</v>
      </c>
      <c r="B3686" s="14">
        <v>38626</v>
      </c>
      <c r="C3686" s="2">
        <v>-3.6075586944000003E-2</v>
      </c>
      <c r="D3686" s="2">
        <v>-7.0441551999999999E-3</v>
      </c>
      <c r="E3686" s="2">
        <v>1</v>
      </c>
      <c r="F3686" s="2">
        <v>6.6794641922455406E-2</v>
      </c>
      <c r="G3686" s="2">
        <v>1</v>
      </c>
    </row>
    <row r="3687" spans="1:7" x14ac:dyDescent="0.2">
      <c r="A3687" s="2" t="s">
        <v>57</v>
      </c>
      <c r="B3687" s="14">
        <v>38657</v>
      </c>
      <c r="C3687" s="2">
        <v>3.9009900989E-2</v>
      </c>
      <c r="D3687" s="19">
        <v>9.5772601999999994E-6</v>
      </c>
      <c r="E3687" s="2">
        <v>1</v>
      </c>
      <c r="F3687" s="2">
        <v>6.4469289709571803E-2</v>
      </c>
      <c r="G3687" s="2">
        <v>1</v>
      </c>
    </row>
    <row r="3688" spans="1:7" x14ac:dyDescent="0.2">
      <c r="A3688" s="2" t="s">
        <v>57</v>
      </c>
      <c r="B3688" s="14">
        <v>38687</v>
      </c>
      <c r="C3688" s="2">
        <v>0.46916638904000002</v>
      </c>
      <c r="D3688" s="2">
        <v>4.4684796999999998E-3</v>
      </c>
      <c r="E3688" s="2">
        <v>1</v>
      </c>
      <c r="F3688" s="2">
        <v>6.7637760885503703E-2</v>
      </c>
      <c r="G3688" s="2">
        <v>1</v>
      </c>
    </row>
    <row r="3689" spans="1:7" x14ac:dyDescent="0.2">
      <c r="A3689" s="2" t="s">
        <v>57</v>
      </c>
      <c r="B3689" s="14">
        <v>38718</v>
      </c>
      <c r="C3689" s="2">
        <v>0.3221448468</v>
      </c>
      <c r="D3689" s="2">
        <v>-2.2314929000000002E-3</v>
      </c>
      <c r="E3689" s="2">
        <v>1</v>
      </c>
      <c r="F3689" s="2">
        <v>7.9092673696369895E-2</v>
      </c>
      <c r="G3689" s="2">
        <v>1</v>
      </c>
    </row>
    <row r="3690" spans="1:7" x14ac:dyDescent="0.2">
      <c r="A3690" s="2" t="s">
        <v>57</v>
      </c>
      <c r="B3690" s="14">
        <v>38749</v>
      </c>
      <c r="C3690" s="2">
        <v>-8.6379437480000008E-3</v>
      </c>
      <c r="D3690" s="2">
        <v>4.0396506999999999E-4</v>
      </c>
      <c r="E3690" s="2">
        <v>1</v>
      </c>
      <c r="F3690" s="2">
        <v>7.2670203614773499E-2</v>
      </c>
      <c r="G3690" s="2">
        <v>1</v>
      </c>
    </row>
    <row r="3691" spans="1:7" x14ac:dyDescent="0.2">
      <c r="A3691" s="2" t="s">
        <v>57</v>
      </c>
      <c r="B3691" s="14">
        <v>38777</v>
      </c>
      <c r="C3691" s="2">
        <v>0.19519710976999999</v>
      </c>
      <c r="D3691" s="2">
        <v>5.6250794999999996E-4</v>
      </c>
      <c r="E3691" s="2">
        <v>1</v>
      </c>
      <c r="F3691" s="2">
        <v>6.9305173555065602E-2</v>
      </c>
      <c r="G3691" s="2">
        <v>1</v>
      </c>
    </row>
    <row r="3692" spans="1:7" x14ac:dyDescent="0.2">
      <c r="A3692" s="2" t="s">
        <v>57</v>
      </c>
      <c r="B3692" s="14">
        <v>38808</v>
      </c>
      <c r="C3692" s="2">
        <v>0.13798008534</v>
      </c>
      <c r="D3692" s="2">
        <v>-4.0125567000000003E-3</v>
      </c>
      <c r="E3692" s="2">
        <v>1</v>
      </c>
      <c r="F3692" s="2">
        <v>7.3603632808553796E-2</v>
      </c>
      <c r="G3692" s="2">
        <v>1</v>
      </c>
    </row>
    <row r="3693" spans="1:7" x14ac:dyDescent="0.2">
      <c r="A3693" s="2" t="s">
        <v>57</v>
      </c>
      <c r="B3693" s="14">
        <v>38838</v>
      </c>
      <c r="C3693" s="2">
        <v>0.21136663253999999</v>
      </c>
      <c r="D3693" s="2">
        <v>-1.1422051000000001E-2</v>
      </c>
      <c r="E3693" s="2">
        <v>1</v>
      </c>
      <c r="F3693" s="2">
        <v>7.8298236096349602E-2</v>
      </c>
      <c r="G3693" s="2">
        <v>1</v>
      </c>
    </row>
    <row r="3694" spans="1:7" x14ac:dyDescent="0.2">
      <c r="A3694" s="2" t="s">
        <v>57</v>
      </c>
      <c r="B3694" s="14">
        <v>38869</v>
      </c>
      <c r="C3694" s="2">
        <v>-0.1763331776</v>
      </c>
      <c r="D3694" s="2">
        <v>-8.8542199000000001E-4</v>
      </c>
      <c r="E3694" s="2">
        <v>1</v>
      </c>
      <c r="F3694" s="2">
        <v>8.2679903605680199E-2</v>
      </c>
      <c r="G3694" s="2">
        <v>1</v>
      </c>
    </row>
    <row r="3695" spans="1:7" x14ac:dyDescent="0.2">
      <c r="A3695" s="2" t="s">
        <v>57</v>
      </c>
      <c r="B3695" s="14">
        <v>38899</v>
      </c>
      <c r="C3695" s="2">
        <v>-0.15517381087000001</v>
      </c>
      <c r="D3695" s="2">
        <v>4.3056713999999998E-3</v>
      </c>
      <c r="E3695" s="2">
        <v>1</v>
      </c>
      <c r="F3695" s="2">
        <v>6.4935773095186E-2</v>
      </c>
      <c r="G3695" s="2">
        <v>1</v>
      </c>
    </row>
    <row r="3696" spans="1:7" x14ac:dyDescent="0.2">
      <c r="A3696" s="2" t="s">
        <v>57</v>
      </c>
      <c r="B3696" s="14">
        <v>38930</v>
      </c>
      <c r="C3696" s="2">
        <v>-0.1500095914</v>
      </c>
      <c r="D3696" s="2">
        <v>7.4130669000000001E-4</v>
      </c>
      <c r="E3696" s="2">
        <v>1</v>
      </c>
      <c r="F3696" s="2">
        <v>3.1826534334916098E-2</v>
      </c>
      <c r="G3696" s="2">
        <v>1</v>
      </c>
    </row>
    <row r="3697" spans="1:7" x14ac:dyDescent="0.2">
      <c r="A3697" s="2" t="s">
        <v>57</v>
      </c>
      <c r="B3697" s="14">
        <v>38961</v>
      </c>
      <c r="C3697" s="2">
        <v>-5.2132701422000001E-2</v>
      </c>
      <c r="D3697" s="2">
        <v>-5.5806403999999997E-3</v>
      </c>
      <c r="E3697" s="2">
        <v>1</v>
      </c>
      <c r="F3697" s="2">
        <v>2.8349129005591198E-2</v>
      </c>
      <c r="G3697" s="2">
        <v>1</v>
      </c>
    </row>
    <row r="3698" spans="1:7" x14ac:dyDescent="0.2">
      <c r="A3698" s="2" t="s">
        <v>57</v>
      </c>
      <c r="B3698" s="14">
        <v>38991</v>
      </c>
      <c r="C3698" s="2">
        <v>-1.5357142856999999E-2</v>
      </c>
      <c r="D3698" s="2">
        <v>1.4333264999999999E-3</v>
      </c>
      <c r="E3698" s="2">
        <v>1</v>
      </c>
      <c r="F3698" s="2">
        <v>2.1381313558995901E-2</v>
      </c>
      <c r="G3698" s="2">
        <v>1</v>
      </c>
    </row>
    <row r="3699" spans="1:7" x14ac:dyDescent="0.2">
      <c r="A3699" s="2" t="s">
        <v>57</v>
      </c>
      <c r="B3699" s="14">
        <v>39022</v>
      </c>
      <c r="C3699" s="2">
        <v>6.0210373594999998E-2</v>
      </c>
      <c r="D3699" s="2">
        <v>1.8750265000000001E-3</v>
      </c>
      <c r="E3699" s="2">
        <v>1</v>
      </c>
      <c r="F3699" s="2">
        <v>1.6970346555423899E-2</v>
      </c>
      <c r="G3699" s="2">
        <v>1</v>
      </c>
    </row>
    <row r="3700" spans="1:7" x14ac:dyDescent="0.2">
      <c r="A3700" s="2" t="s">
        <v>57</v>
      </c>
      <c r="B3700" s="14">
        <v>39052</v>
      </c>
      <c r="C3700" s="2">
        <v>-2.4974341430000001E-2</v>
      </c>
      <c r="D3700" s="2">
        <v>-1.3425189999999999E-3</v>
      </c>
      <c r="E3700" s="2">
        <v>1</v>
      </c>
      <c r="F3700" s="2">
        <v>1.2466855930745899E-2</v>
      </c>
      <c r="G3700" s="2">
        <v>1</v>
      </c>
    </row>
    <row r="3701" spans="1:7" x14ac:dyDescent="0.2">
      <c r="A3701" s="2" t="s">
        <v>57</v>
      </c>
      <c r="B3701" s="14">
        <v>39083</v>
      </c>
      <c r="C3701" s="2">
        <v>-5.9649122804000003E-3</v>
      </c>
      <c r="D3701" s="2">
        <v>3.1471722999999998E-3</v>
      </c>
      <c r="E3701" s="2">
        <v>1</v>
      </c>
      <c r="F3701" s="2">
        <v>1.6094278925242799E-2</v>
      </c>
      <c r="G3701" s="2">
        <v>1</v>
      </c>
    </row>
    <row r="3702" spans="1:7" x14ac:dyDescent="0.2">
      <c r="A3702" s="2" t="s">
        <v>57</v>
      </c>
      <c r="B3702" s="14">
        <v>39114</v>
      </c>
      <c r="C3702" s="2">
        <v>-0.21437816213999999</v>
      </c>
      <c r="D3702" s="2">
        <v>1.3733305E-3</v>
      </c>
      <c r="E3702" s="2">
        <v>1</v>
      </c>
      <c r="F3702" s="2">
        <v>1.9867236289651601E-2</v>
      </c>
      <c r="G3702" s="2">
        <v>1</v>
      </c>
    </row>
    <row r="3703" spans="1:7" x14ac:dyDescent="0.2">
      <c r="A3703" s="2" t="s">
        <v>57</v>
      </c>
      <c r="B3703" s="14">
        <v>39142</v>
      </c>
      <c r="C3703" s="2">
        <v>8.5816983676000005E-2</v>
      </c>
      <c r="D3703" s="2">
        <v>9.1918185E-4</v>
      </c>
      <c r="E3703" s="2">
        <v>1</v>
      </c>
      <c r="F3703" s="2">
        <v>1.8822495963964601E-2</v>
      </c>
      <c r="G3703" s="2">
        <v>1</v>
      </c>
    </row>
    <row r="3704" spans="1:7" x14ac:dyDescent="0.2">
      <c r="A3704" s="2" t="s">
        <v>57</v>
      </c>
      <c r="B3704" s="14">
        <v>39173</v>
      </c>
      <c r="C3704" s="2">
        <v>-2.0689655173000001E-2</v>
      </c>
      <c r="D3704" s="2">
        <v>1.1250158999999999E-3</v>
      </c>
      <c r="E3704" s="2">
        <v>1</v>
      </c>
      <c r="F3704" s="2">
        <v>2.2404617335552501E-2</v>
      </c>
      <c r="G3704" s="2">
        <v>1</v>
      </c>
    </row>
    <row r="3705" spans="1:7" x14ac:dyDescent="0.2">
      <c r="A3705" s="2" t="s">
        <v>57</v>
      </c>
      <c r="B3705" s="14">
        <v>39203</v>
      </c>
      <c r="C3705" s="2">
        <v>-9.5313558532999998E-2</v>
      </c>
      <c r="D3705" s="2">
        <v>-4.4674755000000002E-4</v>
      </c>
      <c r="E3705" s="2">
        <v>1</v>
      </c>
      <c r="F3705" s="2">
        <v>2.2107549276171898E-2</v>
      </c>
      <c r="G3705" s="2">
        <v>1</v>
      </c>
    </row>
    <row r="3706" spans="1:7" x14ac:dyDescent="0.2">
      <c r="A3706" s="2" t="s">
        <v>57</v>
      </c>
      <c r="B3706" s="14">
        <v>39234</v>
      </c>
      <c r="C3706" s="2">
        <v>-4.217252396E-2</v>
      </c>
      <c r="D3706" s="2">
        <v>-5.0740860999999998E-3</v>
      </c>
      <c r="E3706" s="2">
        <v>1</v>
      </c>
      <c r="F3706" s="2">
        <v>1.73779600450806E-2</v>
      </c>
      <c r="G3706" s="2">
        <v>1</v>
      </c>
    </row>
    <row r="3707" spans="1:7" x14ac:dyDescent="0.2">
      <c r="A3707" s="2" t="s">
        <v>57</v>
      </c>
      <c r="B3707" s="14">
        <v>39264</v>
      </c>
      <c r="C3707" s="2">
        <v>-5.7705136758E-2</v>
      </c>
      <c r="D3707" s="2">
        <v>-1.1250159E-4</v>
      </c>
      <c r="E3707" s="2">
        <v>1</v>
      </c>
      <c r="F3707" s="2">
        <v>1.6851345530516801E-2</v>
      </c>
      <c r="G3707" s="2">
        <v>1</v>
      </c>
    </row>
    <row r="3708" spans="1:7" x14ac:dyDescent="0.2">
      <c r="A3708" s="2" t="s">
        <v>57</v>
      </c>
      <c r="B3708" s="14">
        <v>39295</v>
      </c>
      <c r="C3708" s="2">
        <v>-0.12548672565999999</v>
      </c>
      <c r="D3708" s="2">
        <v>-1.9768152999999999E-3</v>
      </c>
      <c r="E3708" s="2">
        <v>1</v>
      </c>
      <c r="F3708" s="2">
        <v>1.1845117366393199E-2</v>
      </c>
      <c r="G3708" s="2">
        <v>1</v>
      </c>
    </row>
    <row r="3709" spans="1:7" x14ac:dyDescent="0.2">
      <c r="A3709" s="2" t="s">
        <v>57</v>
      </c>
      <c r="B3709" s="14">
        <v>39326</v>
      </c>
      <c r="C3709" s="2">
        <v>-1.4369560817999999E-2</v>
      </c>
      <c r="D3709" s="2">
        <v>-1.0125143000000001E-3</v>
      </c>
      <c r="E3709" s="2">
        <v>1</v>
      </c>
      <c r="F3709" s="2">
        <v>1.4669484995695699E-2</v>
      </c>
      <c r="G3709" s="2">
        <v>1</v>
      </c>
    </row>
    <row r="3710" spans="1:7" x14ac:dyDescent="0.2">
      <c r="A3710" s="2" t="s">
        <v>57</v>
      </c>
      <c r="B3710" s="14">
        <v>39356</v>
      </c>
      <c r="C3710" s="2">
        <v>-2.2587268994000001E-2</v>
      </c>
      <c r="D3710" s="2">
        <v>-1.912527E-3</v>
      </c>
      <c r="E3710" s="2">
        <v>1</v>
      </c>
      <c r="F3710" s="2">
        <v>1.1814025087275099E-2</v>
      </c>
      <c r="G3710" s="2">
        <v>1</v>
      </c>
    </row>
    <row r="3711" spans="1:7" x14ac:dyDescent="0.2">
      <c r="A3711" s="2" t="s">
        <v>57</v>
      </c>
      <c r="B3711" s="14">
        <v>39387</v>
      </c>
      <c r="C3711" s="2">
        <v>-0.19411764706000001</v>
      </c>
      <c r="D3711" s="2">
        <v>-5.2559394000000004E-3</v>
      </c>
      <c r="E3711" s="2">
        <v>1</v>
      </c>
      <c r="F3711" s="2">
        <v>1.1808004956967801E-2</v>
      </c>
      <c r="G3711" s="2">
        <v>1</v>
      </c>
    </row>
    <row r="3712" spans="1:7" x14ac:dyDescent="0.2">
      <c r="A3712" s="2" t="s">
        <v>57</v>
      </c>
      <c r="B3712" s="14">
        <v>39417</v>
      </c>
      <c r="C3712" s="2">
        <v>-2.502606882E-2</v>
      </c>
      <c r="D3712" s="2">
        <v>-4.9879425000000002E-3</v>
      </c>
      <c r="E3712" s="2">
        <v>1</v>
      </c>
      <c r="F3712" s="2">
        <v>9.5320240136981399E-3</v>
      </c>
      <c r="G3712" s="2">
        <v>1</v>
      </c>
    </row>
    <row r="3713" spans="1:7" x14ac:dyDescent="0.2">
      <c r="A3713" s="2" t="s">
        <v>57</v>
      </c>
      <c r="B3713" s="14">
        <v>39448</v>
      </c>
      <c r="C3713" s="2">
        <v>-6.4171122996000002E-2</v>
      </c>
      <c r="D3713" s="19">
        <v>1.2272048E-5</v>
      </c>
      <c r="E3713" s="2">
        <v>1</v>
      </c>
      <c r="F3713" s="2">
        <v>1.0085021113111801E-2</v>
      </c>
      <c r="G3713" s="2">
        <v>1</v>
      </c>
    </row>
    <row r="3714" spans="1:7" x14ac:dyDescent="0.2">
      <c r="A3714" s="2" t="s">
        <v>57</v>
      </c>
      <c r="B3714" s="14">
        <v>39479</v>
      </c>
      <c r="C3714" s="2">
        <v>-1.4857142857000001E-2</v>
      </c>
      <c r="D3714" s="2">
        <v>-3.1762765999999998E-3</v>
      </c>
      <c r="E3714" s="2">
        <v>1</v>
      </c>
      <c r="F3714" s="2">
        <v>1.0015372875108701E-2</v>
      </c>
      <c r="G3714" s="2">
        <v>1</v>
      </c>
    </row>
    <row r="3715" spans="1:7" x14ac:dyDescent="0.2">
      <c r="A3715" s="2" t="s">
        <v>57</v>
      </c>
      <c r="B3715" s="14">
        <v>39508</v>
      </c>
      <c r="C3715" s="2">
        <v>-0.14443155452000001</v>
      </c>
      <c r="D3715" s="19">
        <v>-3.8633047000000003E-5</v>
      </c>
      <c r="E3715" s="2">
        <v>1</v>
      </c>
      <c r="F3715" s="2">
        <v>1.29890283313502E-2</v>
      </c>
      <c r="G3715" s="2">
        <v>1</v>
      </c>
    </row>
    <row r="3716" spans="1:7" x14ac:dyDescent="0.2">
      <c r="A3716" s="2" t="s">
        <v>57</v>
      </c>
      <c r="B3716" s="14">
        <v>39539</v>
      </c>
      <c r="C3716" s="2">
        <v>0</v>
      </c>
      <c r="D3716" s="19">
        <v>5.6620173999999999E-5</v>
      </c>
      <c r="E3716" s="2">
        <v>1</v>
      </c>
      <c r="F3716" s="2">
        <v>9.4052961340591306E-3</v>
      </c>
      <c r="G3716" s="2">
        <v>1</v>
      </c>
    </row>
    <row r="3717" spans="1:7" x14ac:dyDescent="0.2">
      <c r="A3717" s="2" t="s">
        <v>57</v>
      </c>
      <c r="B3717" s="14">
        <v>39569</v>
      </c>
      <c r="C3717" s="2">
        <v>-6.6104675488000003E-2</v>
      </c>
      <c r="D3717" s="19">
        <v>-5.7806690000000003E-5</v>
      </c>
      <c r="E3717" s="2">
        <v>1</v>
      </c>
      <c r="F3717" s="2">
        <v>1.00914592946611E-2</v>
      </c>
      <c r="G3717" s="2">
        <v>1</v>
      </c>
    </row>
    <row r="3718" spans="1:7" x14ac:dyDescent="0.2">
      <c r="A3718" s="2" t="s">
        <v>57</v>
      </c>
      <c r="B3718" s="14">
        <v>39600</v>
      </c>
      <c r="C3718" s="2">
        <v>-0.1524796447</v>
      </c>
      <c r="D3718" s="19">
        <v>-7.2552648000000005E-5</v>
      </c>
      <c r="E3718" s="2">
        <v>1</v>
      </c>
      <c r="F3718" s="2">
        <v>1.39771133623907E-2</v>
      </c>
      <c r="G3718" s="2">
        <v>1</v>
      </c>
    </row>
    <row r="3719" spans="1:7" x14ac:dyDescent="0.2">
      <c r="A3719" s="2" t="s">
        <v>57</v>
      </c>
      <c r="B3719" s="14">
        <v>39630</v>
      </c>
      <c r="C3719" s="2">
        <v>3.4934497816999997E-2</v>
      </c>
      <c r="D3719" s="2">
        <v>-1.5782436E-2</v>
      </c>
      <c r="E3719" s="2">
        <v>1</v>
      </c>
      <c r="F3719" s="2">
        <v>1.07542340860564E-2</v>
      </c>
      <c r="G3719" s="2">
        <v>1</v>
      </c>
    </row>
    <row r="3720" spans="1:7" x14ac:dyDescent="0.2">
      <c r="A3720" s="2" t="s">
        <v>57</v>
      </c>
      <c r="B3720" s="14">
        <v>39661</v>
      </c>
      <c r="C3720" s="2">
        <v>-0.17721518987000001</v>
      </c>
      <c r="D3720" s="2">
        <v>0</v>
      </c>
      <c r="E3720" s="2">
        <v>1</v>
      </c>
      <c r="F3720" s="2">
        <v>3.1473758520240501E-2</v>
      </c>
      <c r="G3720" s="2">
        <v>1</v>
      </c>
    </row>
    <row r="3721" spans="1:7" x14ac:dyDescent="0.2">
      <c r="A3721" s="2" t="s">
        <v>57</v>
      </c>
      <c r="B3721" s="14">
        <v>39692</v>
      </c>
      <c r="C3721" s="2">
        <v>-0.16871794872000001</v>
      </c>
      <c r="D3721" s="2">
        <v>-1.0102496000000001E-2</v>
      </c>
      <c r="E3721" s="2">
        <v>1</v>
      </c>
      <c r="F3721" s="2">
        <v>2.7325481352123999E-2</v>
      </c>
      <c r="G3721" s="2">
        <v>1</v>
      </c>
    </row>
    <row r="3722" spans="1:7" x14ac:dyDescent="0.2">
      <c r="A3722" s="2" t="s">
        <v>57</v>
      </c>
      <c r="B3722" s="14">
        <v>39722</v>
      </c>
      <c r="C3722" s="2">
        <v>-1.9123997532E-2</v>
      </c>
      <c r="D3722" s="2">
        <v>0</v>
      </c>
      <c r="E3722" s="2">
        <v>1</v>
      </c>
      <c r="F3722" s="2">
        <v>2.70946788668378E-2</v>
      </c>
      <c r="G3722" s="2">
        <v>1</v>
      </c>
    </row>
    <row r="3723" spans="1:7" x14ac:dyDescent="0.2">
      <c r="A3723" s="2" t="s">
        <v>57</v>
      </c>
      <c r="B3723" s="14">
        <v>39753</v>
      </c>
      <c r="C3723" s="2">
        <v>-0.12012578616</v>
      </c>
      <c r="D3723" s="2">
        <v>0</v>
      </c>
      <c r="E3723" s="2">
        <v>1</v>
      </c>
      <c r="F3723" s="2">
        <v>2.65906635593544E-2</v>
      </c>
      <c r="G3723" s="2">
        <v>1</v>
      </c>
    </row>
    <row r="3724" spans="1:7" x14ac:dyDescent="0.2">
      <c r="A3724" s="2" t="s">
        <v>57</v>
      </c>
      <c r="B3724" s="14">
        <v>39783</v>
      </c>
      <c r="C3724" s="2">
        <v>-0.23516797713000001</v>
      </c>
      <c r="D3724" s="2">
        <v>0</v>
      </c>
      <c r="E3724" s="2">
        <v>1</v>
      </c>
      <c r="F3724" s="2">
        <v>2.5193700008286302E-2</v>
      </c>
      <c r="G3724" s="2">
        <v>1</v>
      </c>
    </row>
    <row r="3725" spans="1:7" x14ac:dyDescent="0.2">
      <c r="A3725" s="2" t="s">
        <v>58</v>
      </c>
      <c r="B3725" s="14">
        <v>37591</v>
      </c>
      <c r="E3725" s="2">
        <v>1</v>
      </c>
      <c r="G3725" s="2">
        <v>2</v>
      </c>
    </row>
    <row r="3726" spans="1:7" x14ac:dyDescent="0.2">
      <c r="A3726" s="2" t="s">
        <v>58</v>
      </c>
      <c r="B3726" s="14">
        <v>37622</v>
      </c>
      <c r="E3726" s="2">
        <v>1</v>
      </c>
      <c r="G3726" s="2">
        <v>2</v>
      </c>
    </row>
    <row r="3727" spans="1:7" x14ac:dyDescent="0.2">
      <c r="A3727" s="2" t="s">
        <v>58</v>
      </c>
      <c r="B3727" s="14">
        <v>37653</v>
      </c>
      <c r="E3727" s="2">
        <v>1</v>
      </c>
      <c r="G3727" s="2">
        <v>2</v>
      </c>
    </row>
    <row r="3728" spans="1:7" x14ac:dyDescent="0.2">
      <c r="A3728" s="2" t="s">
        <v>58</v>
      </c>
      <c r="B3728" s="14">
        <v>37681</v>
      </c>
      <c r="E3728" s="2">
        <v>1</v>
      </c>
      <c r="G3728" s="2">
        <v>2</v>
      </c>
    </row>
    <row r="3729" spans="1:7" x14ac:dyDescent="0.2">
      <c r="A3729" s="2" t="s">
        <v>58</v>
      </c>
      <c r="B3729" s="14">
        <v>37712</v>
      </c>
      <c r="E3729" s="2">
        <v>1</v>
      </c>
      <c r="G3729" s="2">
        <v>2</v>
      </c>
    </row>
    <row r="3730" spans="1:7" x14ac:dyDescent="0.2">
      <c r="A3730" s="2" t="s">
        <v>58</v>
      </c>
      <c r="B3730" s="14">
        <v>37742</v>
      </c>
      <c r="E3730" s="2">
        <v>1</v>
      </c>
      <c r="G3730" s="2">
        <v>2</v>
      </c>
    </row>
    <row r="3731" spans="1:7" x14ac:dyDescent="0.2">
      <c r="A3731" s="2" t="s">
        <v>58</v>
      </c>
      <c r="B3731" s="14">
        <v>37773</v>
      </c>
      <c r="E3731" s="2">
        <v>1</v>
      </c>
      <c r="G3731" s="2">
        <v>2</v>
      </c>
    </row>
    <row r="3732" spans="1:7" x14ac:dyDescent="0.2">
      <c r="A3732" s="2" t="s">
        <v>58</v>
      </c>
      <c r="B3732" s="14">
        <v>37803</v>
      </c>
      <c r="E3732" s="2">
        <v>1</v>
      </c>
      <c r="G3732" s="2">
        <v>2</v>
      </c>
    </row>
    <row r="3733" spans="1:7" x14ac:dyDescent="0.2">
      <c r="A3733" s="2" t="s">
        <v>58</v>
      </c>
      <c r="B3733" s="14">
        <v>37834</v>
      </c>
      <c r="D3733" s="2">
        <v>-1.4828236000000001E-4</v>
      </c>
      <c r="E3733" s="2">
        <v>1</v>
      </c>
      <c r="G3733" s="2">
        <v>2</v>
      </c>
    </row>
    <row r="3734" spans="1:7" x14ac:dyDescent="0.2">
      <c r="A3734" s="2" t="s">
        <v>58</v>
      </c>
      <c r="B3734" s="14">
        <v>37865</v>
      </c>
      <c r="D3734" s="2">
        <v>2.4657286E-4</v>
      </c>
      <c r="E3734" s="2">
        <v>1</v>
      </c>
      <c r="G3734" s="2">
        <v>2</v>
      </c>
    </row>
    <row r="3735" spans="1:7" x14ac:dyDescent="0.2">
      <c r="A3735" s="2" t="s">
        <v>58</v>
      </c>
      <c r="B3735" s="14">
        <v>37895</v>
      </c>
      <c r="D3735" s="19">
        <v>6.0145282999999997E-7</v>
      </c>
      <c r="E3735" s="2">
        <v>1</v>
      </c>
      <c r="G3735" s="2">
        <v>2</v>
      </c>
    </row>
    <row r="3736" spans="1:7" x14ac:dyDescent="0.2">
      <c r="A3736" s="2" t="s">
        <v>58</v>
      </c>
      <c r="B3736" s="14">
        <v>37926</v>
      </c>
      <c r="D3736" s="2">
        <v>-1.9848228999999999E-4</v>
      </c>
      <c r="E3736" s="2">
        <v>1</v>
      </c>
      <c r="G3736" s="2">
        <v>2</v>
      </c>
    </row>
    <row r="3737" spans="1:7" x14ac:dyDescent="0.2">
      <c r="A3737" s="2" t="s">
        <v>58</v>
      </c>
      <c r="B3737" s="14">
        <v>37956</v>
      </c>
      <c r="D3737" s="2">
        <v>1.1840639E-4</v>
      </c>
      <c r="E3737" s="2">
        <v>1</v>
      </c>
      <c r="G3737" s="2">
        <v>2</v>
      </c>
    </row>
    <row r="3738" spans="1:7" x14ac:dyDescent="0.2">
      <c r="A3738" s="2" t="s">
        <v>58</v>
      </c>
      <c r="B3738" s="14">
        <v>37987</v>
      </c>
      <c r="E3738" s="2">
        <v>1</v>
      </c>
      <c r="G3738" s="2">
        <v>2</v>
      </c>
    </row>
    <row r="3739" spans="1:7" x14ac:dyDescent="0.2">
      <c r="A3739" s="2" t="s">
        <v>58</v>
      </c>
      <c r="B3739" s="14">
        <v>38018</v>
      </c>
      <c r="E3739" s="2">
        <v>1</v>
      </c>
      <c r="G3739" s="2">
        <v>2</v>
      </c>
    </row>
    <row r="3740" spans="1:7" x14ac:dyDescent="0.2">
      <c r="A3740" s="2" t="s">
        <v>58</v>
      </c>
      <c r="B3740" s="14">
        <v>38047</v>
      </c>
      <c r="D3740" s="2">
        <v>0</v>
      </c>
      <c r="E3740" s="2">
        <v>1</v>
      </c>
      <c r="G3740" s="2">
        <v>2</v>
      </c>
    </row>
    <row r="3741" spans="1:7" x14ac:dyDescent="0.2">
      <c r="A3741" s="2" t="s">
        <v>58</v>
      </c>
      <c r="B3741" s="14">
        <v>38078</v>
      </c>
      <c r="D3741" s="2">
        <v>0</v>
      </c>
      <c r="E3741" s="2">
        <v>1</v>
      </c>
      <c r="G3741" s="2">
        <v>2</v>
      </c>
    </row>
    <row r="3742" spans="1:7" x14ac:dyDescent="0.2">
      <c r="A3742" s="2" t="s">
        <v>58</v>
      </c>
      <c r="B3742" s="14">
        <v>38108</v>
      </c>
      <c r="D3742" s="2">
        <v>0</v>
      </c>
      <c r="E3742" s="2">
        <v>1</v>
      </c>
      <c r="G3742" s="2">
        <v>2</v>
      </c>
    </row>
    <row r="3743" spans="1:7" x14ac:dyDescent="0.2">
      <c r="A3743" s="2" t="s">
        <v>58</v>
      </c>
      <c r="B3743" s="14">
        <v>38139</v>
      </c>
      <c r="D3743" s="2">
        <v>0</v>
      </c>
      <c r="E3743" s="2">
        <v>1</v>
      </c>
      <c r="G3743" s="2">
        <v>2</v>
      </c>
    </row>
    <row r="3744" spans="1:7" x14ac:dyDescent="0.2">
      <c r="A3744" s="2" t="s">
        <v>58</v>
      </c>
      <c r="B3744" s="14">
        <v>38169</v>
      </c>
      <c r="D3744" s="2">
        <v>0</v>
      </c>
      <c r="E3744" s="2">
        <v>1</v>
      </c>
      <c r="G3744" s="2">
        <v>2</v>
      </c>
    </row>
    <row r="3745" spans="1:7" x14ac:dyDescent="0.2">
      <c r="A3745" s="2" t="s">
        <v>58</v>
      </c>
      <c r="B3745" s="14">
        <v>38200</v>
      </c>
      <c r="D3745" s="2">
        <v>0</v>
      </c>
      <c r="E3745" s="2">
        <v>1</v>
      </c>
      <c r="G3745" s="2">
        <v>2</v>
      </c>
    </row>
    <row r="3746" spans="1:7" x14ac:dyDescent="0.2">
      <c r="A3746" s="2" t="s">
        <v>58</v>
      </c>
      <c r="B3746" s="14">
        <v>38231</v>
      </c>
      <c r="D3746" s="19">
        <v>4.0975756000000001E-5</v>
      </c>
      <c r="E3746" s="2">
        <v>1</v>
      </c>
      <c r="G3746" s="2">
        <v>2</v>
      </c>
    </row>
    <row r="3747" spans="1:7" x14ac:dyDescent="0.2">
      <c r="A3747" s="2" t="s">
        <v>58</v>
      </c>
      <c r="B3747" s="14">
        <v>38261</v>
      </c>
      <c r="D3747" s="2">
        <v>0</v>
      </c>
      <c r="E3747" s="2">
        <v>1</v>
      </c>
      <c r="G3747" s="2">
        <v>2</v>
      </c>
    </row>
    <row r="3748" spans="1:7" x14ac:dyDescent="0.2">
      <c r="A3748" s="2" t="s">
        <v>58</v>
      </c>
      <c r="B3748" s="14">
        <v>38292</v>
      </c>
      <c r="C3748" s="2">
        <v>5.7142857142E-2</v>
      </c>
      <c r="D3748" s="2">
        <v>0</v>
      </c>
      <c r="E3748" s="2">
        <v>1</v>
      </c>
      <c r="G3748" s="2">
        <v>2</v>
      </c>
    </row>
    <row r="3749" spans="1:7" x14ac:dyDescent="0.2">
      <c r="A3749" s="2" t="s">
        <v>58</v>
      </c>
      <c r="B3749" s="14">
        <v>38322</v>
      </c>
      <c r="C3749" s="2">
        <v>-0.1081081081</v>
      </c>
      <c r="D3749" s="2">
        <v>0</v>
      </c>
      <c r="E3749" s="2">
        <v>1</v>
      </c>
      <c r="G3749" s="2">
        <v>2</v>
      </c>
    </row>
    <row r="3750" spans="1:7" x14ac:dyDescent="0.2">
      <c r="A3750" s="2" t="s">
        <v>58</v>
      </c>
      <c r="B3750" s="14">
        <v>38353</v>
      </c>
      <c r="C3750" s="2">
        <v>0</v>
      </c>
      <c r="D3750" s="2">
        <v>0</v>
      </c>
      <c r="E3750" s="2">
        <v>1</v>
      </c>
      <c r="G3750" s="2">
        <v>2</v>
      </c>
    </row>
    <row r="3751" spans="1:7" x14ac:dyDescent="0.2">
      <c r="A3751" s="2" t="s">
        <v>58</v>
      </c>
      <c r="B3751" s="14">
        <v>38384</v>
      </c>
      <c r="C3751" s="2">
        <v>-0.14545454545</v>
      </c>
      <c r="D3751" s="2">
        <v>0</v>
      </c>
      <c r="E3751" s="2">
        <v>1</v>
      </c>
      <c r="G3751" s="2">
        <v>2</v>
      </c>
    </row>
    <row r="3752" spans="1:7" x14ac:dyDescent="0.2">
      <c r="A3752" s="2" t="s">
        <v>58</v>
      </c>
      <c r="B3752" s="14">
        <v>38412</v>
      </c>
      <c r="C3752" s="2">
        <v>1.0638297872E-2</v>
      </c>
      <c r="D3752" s="2">
        <v>0</v>
      </c>
      <c r="E3752" s="2">
        <v>1</v>
      </c>
      <c r="G3752" s="2">
        <v>2</v>
      </c>
    </row>
    <row r="3753" spans="1:7" x14ac:dyDescent="0.2">
      <c r="A3753" s="2" t="s">
        <v>58</v>
      </c>
      <c r="B3753" s="14">
        <v>38443</v>
      </c>
      <c r="C3753" s="2">
        <v>-3.5087719288999998E-3</v>
      </c>
      <c r="D3753" s="2">
        <v>0</v>
      </c>
      <c r="E3753" s="2">
        <v>1</v>
      </c>
      <c r="G3753" s="2">
        <v>2</v>
      </c>
    </row>
    <row r="3754" spans="1:7" x14ac:dyDescent="0.2">
      <c r="A3754" s="2" t="s">
        <v>58</v>
      </c>
      <c r="B3754" s="14">
        <v>38473</v>
      </c>
      <c r="C3754" s="2">
        <v>-0.11971830985</v>
      </c>
      <c r="D3754" s="2">
        <v>0</v>
      </c>
      <c r="E3754" s="2">
        <v>1</v>
      </c>
      <c r="G3754" s="2">
        <v>2</v>
      </c>
    </row>
    <row r="3755" spans="1:7" x14ac:dyDescent="0.2">
      <c r="A3755" s="2" t="s">
        <v>58</v>
      </c>
      <c r="B3755" s="14">
        <v>38504</v>
      </c>
      <c r="C3755" s="2">
        <v>-2.8000000000999999E-2</v>
      </c>
      <c r="D3755" s="2">
        <v>0</v>
      </c>
      <c r="E3755" s="2">
        <v>1</v>
      </c>
      <c r="G3755" s="2">
        <v>2</v>
      </c>
    </row>
    <row r="3756" spans="1:7" x14ac:dyDescent="0.2">
      <c r="A3756" s="2" t="s">
        <v>58</v>
      </c>
      <c r="B3756" s="14">
        <v>38534</v>
      </c>
      <c r="C3756" s="2">
        <v>-1.2345679012E-2</v>
      </c>
      <c r="D3756" s="2">
        <v>0</v>
      </c>
      <c r="E3756" s="2">
        <v>1</v>
      </c>
      <c r="G3756" s="2">
        <v>2</v>
      </c>
    </row>
    <row r="3757" spans="1:7" x14ac:dyDescent="0.2">
      <c r="A3757" s="2" t="s">
        <v>58</v>
      </c>
      <c r="B3757" s="14">
        <v>38565</v>
      </c>
      <c r="C3757" s="2">
        <v>-8.3333333332000006E-3</v>
      </c>
      <c r="D3757" s="2">
        <v>0</v>
      </c>
      <c r="E3757" s="2">
        <v>1</v>
      </c>
      <c r="F3757" s="2">
        <v>8.9567746433961704E-3</v>
      </c>
      <c r="G3757" s="2">
        <v>2</v>
      </c>
    </row>
    <row r="3758" spans="1:7" x14ac:dyDescent="0.2">
      <c r="A3758" s="2" t="s">
        <v>58</v>
      </c>
      <c r="B3758" s="14">
        <v>38596</v>
      </c>
      <c r="C3758" s="2">
        <v>-5.4621848739000001E-2</v>
      </c>
      <c r="D3758" s="2">
        <v>0</v>
      </c>
      <c r="E3758" s="2">
        <v>1</v>
      </c>
      <c r="F3758" s="2">
        <v>1.28768826730152E-2</v>
      </c>
      <c r="G3758" s="2">
        <v>2</v>
      </c>
    </row>
    <row r="3759" spans="1:7" x14ac:dyDescent="0.2">
      <c r="A3759" s="2" t="s">
        <v>58</v>
      </c>
      <c r="B3759" s="14">
        <v>38626</v>
      </c>
      <c r="C3759" s="2">
        <v>6.6666666666000005E-2</v>
      </c>
      <c r="D3759" s="2">
        <v>0</v>
      </c>
      <c r="E3759" s="2">
        <v>1</v>
      </c>
      <c r="F3759" s="2">
        <v>1.1060988020596499E-2</v>
      </c>
      <c r="G3759" s="2">
        <v>2</v>
      </c>
    </row>
    <row r="3760" spans="1:7" x14ac:dyDescent="0.2">
      <c r="A3760" s="2" t="s">
        <v>58</v>
      </c>
      <c r="B3760" s="14">
        <v>38657</v>
      </c>
      <c r="C3760" s="2">
        <v>-8.3333333332999998E-2</v>
      </c>
      <c r="D3760" s="2">
        <v>0</v>
      </c>
      <c r="E3760" s="2">
        <v>1</v>
      </c>
      <c r="F3760" s="2">
        <v>1.30210602213184E-2</v>
      </c>
      <c r="G3760" s="2">
        <v>2</v>
      </c>
    </row>
    <row r="3761" spans="1:7" x14ac:dyDescent="0.2">
      <c r="A3761" s="2" t="s">
        <v>58</v>
      </c>
      <c r="B3761" s="14">
        <v>38687</v>
      </c>
      <c r="C3761" s="2">
        <v>0</v>
      </c>
      <c r="D3761" s="2">
        <v>0</v>
      </c>
      <c r="E3761" s="2">
        <v>1</v>
      </c>
      <c r="F3761" s="2">
        <v>1.4190389575690099E-2</v>
      </c>
      <c r="G3761" s="2">
        <v>2</v>
      </c>
    </row>
    <row r="3762" spans="1:7" x14ac:dyDescent="0.2">
      <c r="A3762" s="2" t="s">
        <v>58</v>
      </c>
      <c r="B3762" s="14">
        <v>38718</v>
      </c>
      <c r="C3762" s="2">
        <v>-7.7272727272999997E-2</v>
      </c>
      <c r="D3762" s="2">
        <v>0</v>
      </c>
      <c r="E3762" s="2">
        <v>1</v>
      </c>
      <c r="F3762" s="2">
        <v>1.4944896665595E-2</v>
      </c>
      <c r="G3762" s="2">
        <v>2</v>
      </c>
    </row>
    <row r="3763" spans="1:7" x14ac:dyDescent="0.2">
      <c r="A3763" s="2" t="s">
        <v>58</v>
      </c>
      <c r="B3763" s="14">
        <v>38749</v>
      </c>
      <c r="C3763" s="2">
        <v>-2.4630541865999999E-3</v>
      </c>
      <c r="D3763" s="2">
        <v>0</v>
      </c>
      <c r="E3763" s="2">
        <v>1</v>
      </c>
      <c r="F3763" s="2">
        <v>1.3260681648452901E-2</v>
      </c>
      <c r="G3763" s="2">
        <v>2</v>
      </c>
    </row>
    <row r="3764" spans="1:7" x14ac:dyDescent="0.2">
      <c r="A3764" s="2" t="s">
        <v>58</v>
      </c>
      <c r="B3764" s="14">
        <v>38777</v>
      </c>
      <c r="C3764" s="2">
        <v>-0.20987654320999999</v>
      </c>
      <c r="D3764" s="2">
        <v>0</v>
      </c>
      <c r="E3764" s="2">
        <v>1</v>
      </c>
      <c r="F3764" s="2">
        <v>1.32503839164955E-2</v>
      </c>
      <c r="G3764" s="2">
        <v>2</v>
      </c>
    </row>
    <row r="3765" spans="1:7" x14ac:dyDescent="0.2">
      <c r="A3765" s="2" t="s">
        <v>58</v>
      </c>
      <c r="B3765" s="14">
        <v>38808</v>
      </c>
      <c r="C3765" s="2">
        <v>0</v>
      </c>
      <c r="D3765" s="2">
        <v>0</v>
      </c>
      <c r="E3765" s="2">
        <v>1</v>
      </c>
      <c r="F3765" s="2">
        <v>9.6988832984690396E-3</v>
      </c>
      <c r="G3765" s="2">
        <v>2</v>
      </c>
    </row>
    <row r="3766" spans="1:7" x14ac:dyDescent="0.2">
      <c r="A3766" s="2" t="s">
        <v>58</v>
      </c>
      <c r="B3766" s="14">
        <v>38838</v>
      </c>
      <c r="C3766" s="2">
        <v>0.11874999999999999</v>
      </c>
      <c r="D3766" s="2">
        <v>0</v>
      </c>
      <c r="E3766" s="2">
        <v>1</v>
      </c>
      <c r="F3766" s="2">
        <v>7.7763842738806897E-3</v>
      </c>
      <c r="G3766" s="2">
        <v>2</v>
      </c>
    </row>
    <row r="3767" spans="1:7" x14ac:dyDescent="0.2">
      <c r="A3767" s="2" t="s">
        <v>58</v>
      </c>
      <c r="B3767" s="14">
        <v>38869</v>
      </c>
      <c r="C3767" s="2">
        <v>-0.10614525139</v>
      </c>
      <c r="D3767" s="19">
        <v>9.4784408999999998E-5</v>
      </c>
      <c r="E3767" s="2">
        <v>1</v>
      </c>
      <c r="F3767" s="2">
        <v>1.3538610717322701E-2</v>
      </c>
      <c r="G3767" s="2">
        <v>2</v>
      </c>
    </row>
    <row r="3768" spans="1:7" x14ac:dyDescent="0.2">
      <c r="A3768" s="2" t="s">
        <v>58</v>
      </c>
      <c r="B3768" s="14">
        <v>38899</v>
      </c>
      <c r="C3768" s="2">
        <v>6.2500000058000004E-4</v>
      </c>
      <c r="D3768" s="2">
        <v>0</v>
      </c>
      <c r="E3768" s="2">
        <v>1</v>
      </c>
      <c r="F3768" s="2">
        <v>1.07908723549633E-2</v>
      </c>
      <c r="G3768" s="2">
        <v>2</v>
      </c>
    </row>
    <row r="3769" spans="1:7" x14ac:dyDescent="0.2">
      <c r="A3769" s="2" t="s">
        <v>58</v>
      </c>
      <c r="B3769" s="14">
        <v>38930</v>
      </c>
      <c r="C3769" s="2">
        <v>0</v>
      </c>
      <c r="D3769" s="2">
        <v>0</v>
      </c>
      <c r="E3769" s="2">
        <v>1</v>
      </c>
      <c r="F3769" s="2">
        <v>1.9097991298062601E-2</v>
      </c>
      <c r="G3769" s="2">
        <v>2</v>
      </c>
    </row>
    <row r="3770" spans="1:7" x14ac:dyDescent="0.2">
      <c r="A3770" s="2" t="s">
        <v>58</v>
      </c>
      <c r="B3770" s="14">
        <v>38961</v>
      </c>
      <c r="C3770" s="2">
        <v>-0.12554653340999999</v>
      </c>
      <c r="D3770" s="2">
        <v>0</v>
      </c>
      <c r="E3770" s="2">
        <v>1</v>
      </c>
      <c r="F3770" s="2">
        <v>1.9173351411188599E-2</v>
      </c>
      <c r="G3770" s="2">
        <v>2</v>
      </c>
    </row>
    <row r="3771" spans="1:7" x14ac:dyDescent="0.2">
      <c r="A3771" s="2" t="s">
        <v>58</v>
      </c>
      <c r="B3771" s="14">
        <v>38991</v>
      </c>
      <c r="C3771" s="2">
        <v>-0.28571428571000002</v>
      </c>
      <c r="D3771" s="2">
        <v>0</v>
      </c>
      <c r="E3771" s="2">
        <v>1</v>
      </c>
      <c r="F3771" s="2">
        <v>2.1995442246209099E-2</v>
      </c>
      <c r="G3771" s="2">
        <v>2</v>
      </c>
    </row>
    <row r="3772" spans="1:7" x14ac:dyDescent="0.2">
      <c r="A3772" s="2" t="s">
        <v>58</v>
      </c>
      <c r="B3772" s="14">
        <v>39022</v>
      </c>
      <c r="C3772" s="2">
        <v>0</v>
      </c>
      <c r="D3772" s="2">
        <v>0</v>
      </c>
      <c r="E3772" s="2">
        <v>1</v>
      </c>
      <c r="F3772" s="2">
        <v>1.4869598793571101E-2</v>
      </c>
      <c r="G3772" s="2">
        <v>2</v>
      </c>
    </row>
    <row r="3773" spans="1:7" x14ac:dyDescent="0.2">
      <c r="A3773" s="2" t="s">
        <v>58</v>
      </c>
      <c r="B3773" s="14">
        <v>39052</v>
      </c>
      <c r="C3773" s="2">
        <v>0</v>
      </c>
      <c r="D3773" s="2">
        <v>0</v>
      </c>
      <c r="E3773" s="2">
        <v>1</v>
      </c>
      <c r="F3773" s="2">
        <v>1.1463602586930299E-2</v>
      </c>
      <c r="G3773" s="2">
        <v>2</v>
      </c>
    </row>
    <row r="3774" spans="1:7" x14ac:dyDescent="0.2">
      <c r="A3774" s="2" t="s">
        <v>58</v>
      </c>
      <c r="B3774" s="14">
        <v>39083</v>
      </c>
      <c r="C3774" s="2">
        <v>0.3</v>
      </c>
      <c r="D3774" s="2">
        <v>0</v>
      </c>
      <c r="E3774" s="2">
        <v>1</v>
      </c>
      <c r="F3774" s="2">
        <v>1.4530221218693301E-2</v>
      </c>
      <c r="G3774" s="2">
        <v>2</v>
      </c>
    </row>
    <row r="3775" spans="1:7" x14ac:dyDescent="0.2">
      <c r="A3775" s="2" t="s">
        <v>58</v>
      </c>
      <c r="B3775" s="14">
        <v>39114</v>
      </c>
      <c r="C3775" s="2">
        <v>7.6923076923999995E-2</v>
      </c>
      <c r="D3775" s="2">
        <v>0</v>
      </c>
      <c r="E3775" s="2">
        <v>1</v>
      </c>
      <c r="F3775" s="2">
        <v>2.3337155477092E-2</v>
      </c>
      <c r="G3775" s="2">
        <v>2</v>
      </c>
    </row>
    <row r="3776" spans="1:7" x14ac:dyDescent="0.2">
      <c r="A3776" s="2" t="s">
        <v>58</v>
      </c>
      <c r="B3776" s="14">
        <v>39142</v>
      </c>
      <c r="C3776" s="2">
        <v>-0.14285714285000001</v>
      </c>
      <c r="D3776" s="2">
        <v>0</v>
      </c>
      <c r="E3776" s="2">
        <v>1</v>
      </c>
      <c r="F3776" s="2">
        <v>2.54441805097009E-2</v>
      </c>
      <c r="G3776" s="2">
        <v>2</v>
      </c>
    </row>
    <row r="3777" spans="1:7" x14ac:dyDescent="0.2">
      <c r="A3777" s="2" t="s">
        <v>58</v>
      </c>
      <c r="B3777" s="14">
        <v>39173</v>
      </c>
      <c r="C3777" s="2">
        <v>0</v>
      </c>
      <c r="D3777" s="2">
        <v>0</v>
      </c>
      <c r="E3777" s="2">
        <v>1</v>
      </c>
      <c r="F3777" s="2">
        <v>2.51730430800251E-2</v>
      </c>
      <c r="G3777" s="2">
        <v>2</v>
      </c>
    </row>
    <row r="3778" spans="1:7" x14ac:dyDescent="0.2">
      <c r="A3778" s="2" t="s">
        <v>58</v>
      </c>
      <c r="B3778" s="14">
        <v>39203</v>
      </c>
      <c r="C3778" s="2">
        <v>0.33333333332999998</v>
      </c>
      <c r="D3778" s="2">
        <v>0</v>
      </c>
      <c r="E3778" s="2">
        <v>1</v>
      </c>
      <c r="F3778" s="2">
        <v>3.3427550374938199E-2</v>
      </c>
      <c r="G3778" s="2">
        <v>2</v>
      </c>
    </row>
    <row r="3779" spans="1:7" x14ac:dyDescent="0.2">
      <c r="A3779" s="2" t="s">
        <v>58</v>
      </c>
      <c r="B3779" s="14">
        <v>39234</v>
      </c>
      <c r="C3779" s="2">
        <v>6.2500000003999998E-3</v>
      </c>
      <c r="D3779" s="2">
        <v>0</v>
      </c>
      <c r="E3779" s="2">
        <v>1</v>
      </c>
      <c r="F3779" s="2">
        <v>4.2928100449003997E-2</v>
      </c>
      <c r="G3779" s="2">
        <v>2</v>
      </c>
    </row>
    <row r="3780" spans="1:7" x14ac:dyDescent="0.2">
      <c r="A3780" s="2" t="s">
        <v>58</v>
      </c>
      <c r="B3780" s="14">
        <v>39264</v>
      </c>
      <c r="C3780" s="2">
        <v>-6.8322981365999999E-2</v>
      </c>
      <c r="D3780" s="2">
        <v>0</v>
      </c>
      <c r="E3780" s="2">
        <v>1</v>
      </c>
      <c r="F3780" s="2">
        <v>4.3029364808562898E-2</v>
      </c>
      <c r="G3780" s="2">
        <v>2</v>
      </c>
    </row>
    <row r="3781" spans="1:7" x14ac:dyDescent="0.2">
      <c r="A3781" s="2" t="s">
        <v>58</v>
      </c>
      <c r="B3781" s="14">
        <v>39295</v>
      </c>
      <c r="C3781" s="2">
        <v>3.3333333333000002E-2</v>
      </c>
      <c r="D3781" s="2">
        <v>0</v>
      </c>
      <c r="E3781" s="2">
        <v>1</v>
      </c>
      <c r="F3781" s="2">
        <v>4.77968224867883E-2</v>
      </c>
      <c r="G3781" s="2">
        <v>2</v>
      </c>
    </row>
    <row r="3782" spans="1:7" x14ac:dyDescent="0.2">
      <c r="A3782" s="2" t="s">
        <v>58</v>
      </c>
      <c r="B3782" s="14">
        <v>39326</v>
      </c>
      <c r="C3782" s="2">
        <v>-6.4516128986999996E-4</v>
      </c>
      <c r="D3782" s="2">
        <v>0</v>
      </c>
      <c r="E3782" s="2">
        <v>1</v>
      </c>
      <c r="F3782" s="2">
        <v>4.6465324480399403E-2</v>
      </c>
      <c r="G3782" s="2">
        <v>2</v>
      </c>
    </row>
    <row r="3783" spans="1:7" x14ac:dyDescent="0.2">
      <c r="A3783" s="2" t="s">
        <v>58</v>
      </c>
      <c r="B3783" s="14">
        <v>39356</v>
      </c>
      <c r="C3783" s="2">
        <v>-1.8721755970999999E-2</v>
      </c>
      <c r="D3783" s="2">
        <v>0</v>
      </c>
      <c r="E3783" s="2">
        <v>1</v>
      </c>
      <c r="F3783" s="2">
        <v>5.0476863396813398E-2</v>
      </c>
      <c r="G3783" s="2">
        <v>2</v>
      </c>
    </row>
    <row r="3784" spans="1:7" x14ac:dyDescent="0.2">
      <c r="A3784" s="2" t="s">
        <v>58</v>
      </c>
      <c r="B3784" s="14">
        <v>39387</v>
      </c>
      <c r="C3784" s="2">
        <v>0</v>
      </c>
      <c r="D3784" s="2">
        <v>0</v>
      </c>
      <c r="E3784" s="2">
        <v>1</v>
      </c>
      <c r="F3784" s="2">
        <v>4.9431452126247499E-2</v>
      </c>
      <c r="G3784" s="2">
        <v>2</v>
      </c>
    </row>
    <row r="3785" spans="1:7" x14ac:dyDescent="0.2">
      <c r="A3785" s="2" t="s">
        <v>58</v>
      </c>
      <c r="B3785" s="14">
        <v>39417</v>
      </c>
      <c r="C3785" s="2">
        <v>-9.5394736842000005E-2</v>
      </c>
      <c r="D3785" s="2">
        <v>0</v>
      </c>
      <c r="E3785" s="2">
        <v>1</v>
      </c>
      <c r="F3785" s="2">
        <v>3.9801193615467502E-2</v>
      </c>
      <c r="G3785" s="2">
        <v>2</v>
      </c>
    </row>
    <row r="3786" spans="1:7" x14ac:dyDescent="0.2">
      <c r="A3786" s="2" t="s">
        <v>58</v>
      </c>
      <c r="B3786" s="14">
        <v>39448</v>
      </c>
      <c r="C3786" s="2">
        <v>0</v>
      </c>
      <c r="D3786" s="2">
        <v>0</v>
      </c>
      <c r="E3786" s="2">
        <v>1</v>
      </c>
      <c r="F3786" s="2">
        <v>3.7192801471357E-2</v>
      </c>
      <c r="G3786" s="2">
        <v>2</v>
      </c>
    </row>
    <row r="3787" spans="1:7" x14ac:dyDescent="0.2">
      <c r="A3787" s="2" t="s">
        <v>58</v>
      </c>
      <c r="B3787" s="14">
        <v>39479</v>
      </c>
      <c r="C3787" s="2">
        <v>-2.5454545456E-2</v>
      </c>
      <c r="D3787" s="2">
        <v>0</v>
      </c>
      <c r="E3787" s="2">
        <v>1</v>
      </c>
      <c r="F3787" s="2">
        <v>3.8669085720149501E-2</v>
      </c>
      <c r="G3787" s="2">
        <v>2</v>
      </c>
    </row>
    <row r="3788" spans="1:7" x14ac:dyDescent="0.2">
      <c r="A3788" s="2" t="s">
        <v>58</v>
      </c>
      <c r="B3788" s="14">
        <v>39508</v>
      </c>
      <c r="C3788" s="2">
        <v>-2.9850746268000002E-2</v>
      </c>
      <c r="D3788" s="2">
        <v>-6.7898712999999999E-2</v>
      </c>
      <c r="E3788" s="2">
        <v>1</v>
      </c>
      <c r="F3788" s="2">
        <v>3.6999876085235701E-2</v>
      </c>
      <c r="G3788" s="2">
        <v>2</v>
      </c>
    </row>
    <row r="3789" spans="1:7" x14ac:dyDescent="0.2">
      <c r="A3789" s="2" t="s">
        <v>58</v>
      </c>
      <c r="B3789" s="14">
        <v>39539</v>
      </c>
      <c r="C3789" s="2">
        <v>-7.6923076923000003E-2</v>
      </c>
      <c r="D3789" s="2">
        <v>0</v>
      </c>
      <c r="E3789" s="2">
        <v>1</v>
      </c>
      <c r="F3789" s="2">
        <v>3.60647040727528E-2</v>
      </c>
      <c r="G3789" s="2">
        <v>2</v>
      </c>
    </row>
    <row r="3790" spans="1:7" x14ac:dyDescent="0.2">
      <c r="A3790" s="2" t="s">
        <v>58</v>
      </c>
      <c r="B3790" s="14">
        <v>39569</v>
      </c>
      <c r="C3790" s="2">
        <v>2.5421918392999999E-2</v>
      </c>
      <c r="D3790" s="2">
        <v>0</v>
      </c>
      <c r="E3790" s="2">
        <v>1</v>
      </c>
      <c r="F3790" s="2">
        <v>3.4678456568854397E-2</v>
      </c>
      <c r="G3790" s="2">
        <v>2</v>
      </c>
    </row>
    <row r="3791" spans="1:7" x14ac:dyDescent="0.2">
      <c r="A3791" s="2" t="s">
        <v>58</v>
      </c>
      <c r="B3791" s="14">
        <v>39600</v>
      </c>
      <c r="C3791" s="2">
        <v>0</v>
      </c>
      <c r="D3791" s="2">
        <v>0</v>
      </c>
      <c r="E3791" s="2">
        <v>1</v>
      </c>
      <c r="F3791" s="2">
        <v>3.4052187591324702E-2</v>
      </c>
      <c r="G3791" s="2">
        <v>2</v>
      </c>
    </row>
    <row r="3792" spans="1:7" x14ac:dyDescent="0.2">
      <c r="A3792" s="2" t="s">
        <v>58</v>
      </c>
      <c r="B3792" s="14">
        <v>39630</v>
      </c>
      <c r="C3792" s="2">
        <v>0</v>
      </c>
      <c r="D3792" s="2">
        <v>0</v>
      </c>
      <c r="E3792" s="2">
        <v>1</v>
      </c>
      <c r="F3792" s="2">
        <v>3.6801834251419599E-2</v>
      </c>
      <c r="G3792" s="2">
        <v>2</v>
      </c>
    </row>
    <row r="3793" spans="1:7" x14ac:dyDescent="0.2">
      <c r="A3793" s="2" t="s">
        <v>58</v>
      </c>
      <c r="B3793" s="14">
        <v>39661</v>
      </c>
      <c r="C3793" s="2">
        <v>0</v>
      </c>
      <c r="D3793" s="2">
        <v>0</v>
      </c>
      <c r="E3793" s="2">
        <v>1</v>
      </c>
      <c r="F3793" s="2">
        <v>3.0411998223428698E-2</v>
      </c>
      <c r="G3793" s="2">
        <v>2</v>
      </c>
    </row>
    <row r="3794" spans="1:7" x14ac:dyDescent="0.2">
      <c r="A3794" s="2" t="s">
        <v>58</v>
      </c>
      <c r="B3794" s="14">
        <v>39692</v>
      </c>
      <c r="C3794" s="2">
        <v>0</v>
      </c>
      <c r="D3794" s="2">
        <v>0</v>
      </c>
      <c r="E3794" s="2">
        <v>1</v>
      </c>
      <c r="F3794" s="2">
        <v>3.1094747093172798E-2</v>
      </c>
      <c r="G3794" s="2">
        <v>2</v>
      </c>
    </row>
    <row r="3795" spans="1:7" x14ac:dyDescent="0.2">
      <c r="A3795" s="2" t="s">
        <v>58</v>
      </c>
      <c r="B3795" s="14">
        <v>39722</v>
      </c>
      <c r="C3795" s="2">
        <v>0</v>
      </c>
      <c r="D3795" s="2">
        <v>0</v>
      </c>
      <c r="E3795" s="2">
        <v>1</v>
      </c>
      <c r="F3795" s="2">
        <v>3.19577271313847E-2</v>
      </c>
      <c r="G3795" s="2">
        <v>2</v>
      </c>
    </row>
    <row r="3796" spans="1:7" x14ac:dyDescent="0.2">
      <c r="A3796" s="2" t="s">
        <v>58</v>
      </c>
      <c r="B3796" s="14">
        <v>39753</v>
      </c>
      <c r="D3796" s="2">
        <v>0</v>
      </c>
      <c r="E3796" s="2">
        <v>1</v>
      </c>
      <c r="F3796" s="2">
        <v>3.4187583767882002E-2</v>
      </c>
      <c r="G3796" s="2">
        <v>2</v>
      </c>
    </row>
    <row r="3797" spans="1:7" x14ac:dyDescent="0.2">
      <c r="A3797" s="2" t="s">
        <v>58</v>
      </c>
      <c r="B3797" s="14">
        <v>39783</v>
      </c>
      <c r="C3797" s="2">
        <v>0</v>
      </c>
      <c r="D3797" s="2">
        <v>0</v>
      </c>
      <c r="E3797" s="2">
        <v>1</v>
      </c>
      <c r="G3797" s="2">
        <v>2</v>
      </c>
    </row>
    <row r="3798" spans="1:7" x14ac:dyDescent="0.2">
      <c r="A3798" s="2" t="s">
        <v>59</v>
      </c>
      <c r="B3798" s="14">
        <v>37591</v>
      </c>
      <c r="C3798" s="2">
        <v>-9.1322135755000006E-2</v>
      </c>
      <c r="E3798" s="2">
        <v>1</v>
      </c>
      <c r="G3798" s="2">
        <v>2</v>
      </c>
    </row>
    <row r="3799" spans="1:7" x14ac:dyDescent="0.2">
      <c r="A3799" s="2" t="s">
        <v>59</v>
      </c>
      <c r="B3799" s="14">
        <v>37622</v>
      </c>
      <c r="E3799" s="2">
        <v>1</v>
      </c>
      <c r="G3799" s="2">
        <v>2</v>
      </c>
    </row>
    <row r="3800" spans="1:7" x14ac:dyDescent="0.2">
      <c r="A3800" s="2" t="s">
        <v>59</v>
      </c>
      <c r="B3800" s="14">
        <v>37653</v>
      </c>
      <c r="E3800" s="2">
        <v>1</v>
      </c>
      <c r="G3800" s="2">
        <v>2</v>
      </c>
    </row>
    <row r="3801" spans="1:7" x14ac:dyDescent="0.2">
      <c r="A3801" s="2" t="s">
        <v>59</v>
      </c>
      <c r="B3801" s="14">
        <v>37681</v>
      </c>
      <c r="E3801" s="2">
        <v>1</v>
      </c>
      <c r="G3801" s="2">
        <v>2</v>
      </c>
    </row>
    <row r="3802" spans="1:7" x14ac:dyDescent="0.2">
      <c r="A3802" s="2" t="s">
        <v>59</v>
      </c>
      <c r="B3802" s="14">
        <v>37712</v>
      </c>
      <c r="C3802" s="2">
        <v>0</v>
      </c>
      <c r="E3802" s="2">
        <v>1</v>
      </c>
      <c r="G3802" s="2">
        <v>2</v>
      </c>
    </row>
    <row r="3803" spans="1:7" x14ac:dyDescent="0.2">
      <c r="A3803" s="2" t="s">
        <v>59</v>
      </c>
      <c r="B3803" s="14">
        <v>37742</v>
      </c>
      <c r="C3803" s="2">
        <v>0</v>
      </c>
      <c r="E3803" s="2">
        <v>1</v>
      </c>
      <c r="G3803" s="2">
        <v>2</v>
      </c>
    </row>
    <row r="3804" spans="1:7" x14ac:dyDescent="0.2">
      <c r="A3804" s="2" t="s">
        <v>59</v>
      </c>
      <c r="B3804" s="14">
        <v>37773</v>
      </c>
      <c r="E3804" s="2">
        <v>1</v>
      </c>
      <c r="G3804" s="2">
        <v>2</v>
      </c>
    </row>
    <row r="3805" spans="1:7" x14ac:dyDescent="0.2">
      <c r="A3805" s="2" t="s">
        <v>59</v>
      </c>
      <c r="B3805" s="14">
        <v>37803</v>
      </c>
      <c r="E3805" s="2">
        <v>1</v>
      </c>
      <c r="G3805" s="2">
        <v>2</v>
      </c>
    </row>
    <row r="3806" spans="1:7" x14ac:dyDescent="0.2">
      <c r="A3806" s="2" t="s">
        <v>59</v>
      </c>
      <c r="B3806" s="14">
        <v>37834</v>
      </c>
      <c r="C3806" s="2">
        <v>0</v>
      </c>
      <c r="E3806" s="2">
        <v>1</v>
      </c>
      <c r="G3806" s="2">
        <v>2</v>
      </c>
    </row>
    <row r="3807" spans="1:7" x14ac:dyDescent="0.2">
      <c r="A3807" s="2" t="s">
        <v>59</v>
      </c>
      <c r="B3807" s="14">
        <v>37865</v>
      </c>
      <c r="C3807" s="2">
        <v>7.4999999999000005E-2</v>
      </c>
      <c r="E3807" s="2">
        <v>1</v>
      </c>
      <c r="F3807" s="2">
        <v>7.5279503061161906E-2</v>
      </c>
      <c r="G3807" s="2">
        <v>2</v>
      </c>
    </row>
    <row r="3808" spans="1:7" x14ac:dyDescent="0.2">
      <c r="A3808" s="2" t="s">
        <v>59</v>
      </c>
      <c r="B3808" s="14">
        <v>37895</v>
      </c>
      <c r="C3808" s="2">
        <v>0</v>
      </c>
      <c r="E3808" s="2">
        <v>1</v>
      </c>
      <c r="F3808" s="2">
        <v>7.7984467582278505E-2</v>
      </c>
      <c r="G3808" s="2">
        <v>2</v>
      </c>
    </row>
    <row r="3809" spans="1:7" x14ac:dyDescent="0.2">
      <c r="A3809" s="2" t="s">
        <v>59</v>
      </c>
      <c r="B3809" s="14">
        <v>37926</v>
      </c>
      <c r="E3809" s="2">
        <v>1</v>
      </c>
      <c r="F3809" s="2">
        <v>7.7910282605434603E-2</v>
      </c>
      <c r="G3809" s="2">
        <v>2</v>
      </c>
    </row>
    <row r="3810" spans="1:7" x14ac:dyDescent="0.2">
      <c r="A3810" s="2" t="s">
        <v>59</v>
      </c>
      <c r="B3810" s="14">
        <v>37956</v>
      </c>
      <c r="C3810" s="2">
        <v>0.39534883721000003</v>
      </c>
      <c r="E3810" s="2">
        <v>1</v>
      </c>
      <c r="G3810" s="2">
        <v>2</v>
      </c>
    </row>
    <row r="3811" spans="1:7" x14ac:dyDescent="0.2">
      <c r="A3811" s="2" t="s">
        <v>59</v>
      </c>
      <c r="B3811" s="14">
        <v>37987</v>
      </c>
      <c r="E3811" s="2">
        <v>1</v>
      </c>
      <c r="F3811" s="2">
        <v>9.09092345611488E-2</v>
      </c>
      <c r="G3811" s="2">
        <v>2</v>
      </c>
    </row>
    <row r="3812" spans="1:7" x14ac:dyDescent="0.2">
      <c r="A3812" s="2" t="s">
        <v>59</v>
      </c>
      <c r="B3812" s="14">
        <v>38018</v>
      </c>
      <c r="E3812" s="2">
        <v>1</v>
      </c>
      <c r="G3812" s="2">
        <v>2</v>
      </c>
    </row>
    <row r="3813" spans="1:7" x14ac:dyDescent="0.2">
      <c r="A3813" s="2" t="s">
        <v>59</v>
      </c>
      <c r="B3813" s="14">
        <v>38047</v>
      </c>
      <c r="C3813" s="2">
        <v>0</v>
      </c>
      <c r="E3813" s="2">
        <v>1</v>
      </c>
      <c r="G3813" s="2">
        <v>2</v>
      </c>
    </row>
    <row r="3814" spans="1:7" x14ac:dyDescent="0.2">
      <c r="A3814" s="2" t="s">
        <v>59</v>
      </c>
      <c r="B3814" s="14">
        <v>38078</v>
      </c>
      <c r="C3814" s="2">
        <v>3.3666666666000003E-2</v>
      </c>
      <c r="E3814" s="2">
        <v>1</v>
      </c>
      <c r="F3814" s="2">
        <v>8.8540609378548796E-2</v>
      </c>
      <c r="G3814" s="2">
        <v>2</v>
      </c>
    </row>
    <row r="3815" spans="1:7" x14ac:dyDescent="0.2">
      <c r="A3815" s="2" t="s">
        <v>59</v>
      </c>
      <c r="B3815" s="14">
        <v>38108</v>
      </c>
      <c r="E3815" s="2">
        <v>1</v>
      </c>
      <c r="F3815" s="2">
        <v>8.9400029517260102E-2</v>
      </c>
      <c r="G3815" s="2">
        <v>2</v>
      </c>
    </row>
    <row r="3816" spans="1:7" x14ac:dyDescent="0.2">
      <c r="A3816" s="2" t="s">
        <v>59</v>
      </c>
      <c r="B3816" s="14">
        <v>38139</v>
      </c>
      <c r="E3816" s="2">
        <v>1</v>
      </c>
      <c r="G3816" s="2">
        <v>2</v>
      </c>
    </row>
    <row r="3817" spans="1:7" x14ac:dyDescent="0.2">
      <c r="A3817" s="2" t="s">
        <v>59</v>
      </c>
      <c r="B3817" s="14">
        <v>38169</v>
      </c>
      <c r="C3817" s="2">
        <v>0.1609158336</v>
      </c>
      <c r="E3817" s="2">
        <v>1</v>
      </c>
      <c r="G3817" s="2">
        <v>2</v>
      </c>
    </row>
    <row r="3818" spans="1:7" x14ac:dyDescent="0.2">
      <c r="A3818" s="2" t="s">
        <v>59</v>
      </c>
      <c r="B3818" s="14">
        <v>38200</v>
      </c>
      <c r="C3818" s="2">
        <v>1.9166666667000001</v>
      </c>
      <c r="E3818" s="2">
        <v>1</v>
      </c>
      <c r="F3818" s="2">
        <v>6.7076321911626602E-2</v>
      </c>
      <c r="G3818" s="2">
        <v>2</v>
      </c>
    </row>
    <row r="3819" spans="1:7" x14ac:dyDescent="0.2">
      <c r="A3819" s="2" t="s">
        <v>59</v>
      </c>
      <c r="B3819" s="14">
        <v>38231</v>
      </c>
      <c r="C3819" s="2">
        <v>3.5714285713999998</v>
      </c>
      <c r="E3819" s="2">
        <v>1</v>
      </c>
      <c r="F3819" s="2">
        <v>0.13035263554003501</v>
      </c>
      <c r="G3819" s="2">
        <v>2</v>
      </c>
    </row>
    <row r="3820" spans="1:7" x14ac:dyDescent="0.2">
      <c r="A3820" s="2" t="s">
        <v>59</v>
      </c>
      <c r="B3820" s="14">
        <v>38261</v>
      </c>
      <c r="C3820" s="2">
        <v>0.12499999999</v>
      </c>
      <c r="D3820" s="2">
        <v>0</v>
      </c>
      <c r="E3820" s="2">
        <v>1</v>
      </c>
      <c r="F3820" s="2">
        <v>0.24278029767079101</v>
      </c>
      <c r="G3820" s="2">
        <v>2</v>
      </c>
    </row>
    <row r="3821" spans="1:7" x14ac:dyDescent="0.2">
      <c r="A3821" s="2" t="s">
        <v>59</v>
      </c>
      <c r="B3821" s="14">
        <v>38292</v>
      </c>
      <c r="C3821" s="2">
        <v>-0.20370370369999999</v>
      </c>
      <c r="D3821" s="2">
        <v>0</v>
      </c>
      <c r="E3821" s="2">
        <v>1</v>
      </c>
      <c r="F3821" s="2">
        <v>0.24491857135318501</v>
      </c>
      <c r="G3821" s="2">
        <v>2</v>
      </c>
    </row>
    <row r="3822" spans="1:7" x14ac:dyDescent="0.2">
      <c r="A3822" s="2" t="s">
        <v>59</v>
      </c>
      <c r="B3822" s="14">
        <v>38322</v>
      </c>
      <c r="C3822" s="2">
        <v>4.6511627907000003E-2</v>
      </c>
      <c r="D3822" s="2">
        <v>0</v>
      </c>
      <c r="E3822" s="2">
        <v>1</v>
      </c>
      <c r="F3822" s="2">
        <v>0.23873691199569899</v>
      </c>
      <c r="G3822" s="2">
        <v>2</v>
      </c>
    </row>
    <row r="3823" spans="1:7" x14ac:dyDescent="0.2">
      <c r="A3823" s="2" t="s">
        <v>59</v>
      </c>
      <c r="B3823" s="14">
        <v>38353</v>
      </c>
      <c r="C3823" s="2">
        <v>0</v>
      </c>
      <c r="D3823" s="2">
        <v>0</v>
      </c>
      <c r="E3823" s="2">
        <v>1</v>
      </c>
      <c r="F3823" s="2">
        <v>0.24033385434235699</v>
      </c>
      <c r="G3823" s="2">
        <v>2</v>
      </c>
    </row>
    <row r="3824" spans="1:7" x14ac:dyDescent="0.2">
      <c r="A3824" s="2" t="s">
        <v>59</v>
      </c>
      <c r="B3824" s="14">
        <v>38384</v>
      </c>
      <c r="C3824" s="2">
        <v>0.21111111111</v>
      </c>
      <c r="D3824" s="2">
        <v>0</v>
      </c>
      <c r="E3824" s="2">
        <v>1</v>
      </c>
      <c r="F3824" s="2">
        <v>0.234477539643412</v>
      </c>
      <c r="G3824" s="2">
        <v>2</v>
      </c>
    </row>
    <row r="3825" spans="1:7" x14ac:dyDescent="0.2">
      <c r="A3825" s="2" t="s">
        <v>59</v>
      </c>
      <c r="B3825" s="14">
        <v>38412</v>
      </c>
      <c r="C3825" s="2">
        <v>-1.8348623852999998E-2</v>
      </c>
      <c r="D3825" s="2">
        <v>0</v>
      </c>
      <c r="E3825" s="2">
        <v>1</v>
      </c>
      <c r="F3825" s="2">
        <v>0.183537693057854</v>
      </c>
      <c r="G3825" s="2">
        <v>2</v>
      </c>
    </row>
    <row r="3826" spans="1:7" x14ac:dyDescent="0.2">
      <c r="A3826" s="2" t="s">
        <v>59</v>
      </c>
      <c r="B3826" s="14">
        <v>38443</v>
      </c>
      <c r="C3826" s="2">
        <v>6.5420560747999998E-2</v>
      </c>
      <c r="D3826" s="2">
        <v>0</v>
      </c>
      <c r="E3826" s="2">
        <v>1</v>
      </c>
      <c r="F3826" s="2">
        <v>7.98871751732282E-2</v>
      </c>
      <c r="G3826" s="2">
        <v>2</v>
      </c>
    </row>
    <row r="3827" spans="1:7" x14ac:dyDescent="0.2">
      <c r="A3827" s="2" t="s">
        <v>59</v>
      </c>
      <c r="B3827" s="14">
        <v>38473</v>
      </c>
      <c r="C3827" s="2">
        <v>-4.9116170074000001E-2</v>
      </c>
      <c r="D3827" s="2">
        <v>0</v>
      </c>
      <c r="E3827" s="2">
        <v>1</v>
      </c>
      <c r="F3827" s="2">
        <v>7.7992348783201604E-2</v>
      </c>
      <c r="G3827" s="2">
        <v>2</v>
      </c>
    </row>
    <row r="3828" spans="1:7" x14ac:dyDescent="0.2">
      <c r="A3828" s="2" t="s">
        <v>59</v>
      </c>
      <c r="B3828" s="14">
        <v>38504</v>
      </c>
      <c r="C3828" s="2">
        <v>0.17924528302000001</v>
      </c>
      <c r="D3828" s="2">
        <v>0</v>
      </c>
      <c r="E3828" s="2">
        <v>1</v>
      </c>
      <c r="F3828" s="2">
        <v>8.1762775283623704E-2</v>
      </c>
      <c r="G3828" s="2">
        <v>2</v>
      </c>
    </row>
    <row r="3829" spans="1:7" x14ac:dyDescent="0.2">
      <c r="A3829" s="2" t="s">
        <v>59</v>
      </c>
      <c r="B3829" s="14">
        <v>38534</v>
      </c>
      <c r="C3829" s="2">
        <v>5.5984000000999998E-2</v>
      </c>
      <c r="D3829" s="2">
        <v>0</v>
      </c>
      <c r="E3829" s="2">
        <v>1</v>
      </c>
      <c r="F3829" s="2">
        <v>8.4296398685556995E-2</v>
      </c>
      <c r="G3829" s="2">
        <v>2</v>
      </c>
    </row>
    <row r="3830" spans="1:7" x14ac:dyDescent="0.2">
      <c r="A3830" s="2" t="s">
        <v>59</v>
      </c>
      <c r="B3830" s="14">
        <v>38565</v>
      </c>
      <c r="C3830" s="2">
        <v>-0.18180578493999999</v>
      </c>
      <c r="D3830" s="2">
        <v>0</v>
      </c>
      <c r="E3830" s="2">
        <v>1</v>
      </c>
      <c r="F3830" s="2">
        <v>3.6103649413513197E-2</v>
      </c>
      <c r="G3830" s="2">
        <v>2</v>
      </c>
    </row>
    <row r="3831" spans="1:7" x14ac:dyDescent="0.2">
      <c r="A3831" s="2" t="s">
        <v>59</v>
      </c>
      <c r="B3831" s="14">
        <v>38596</v>
      </c>
      <c r="C3831" s="2">
        <v>3.7037037038000001E-2</v>
      </c>
      <c r="D3831" s="2">
        <v>0</v>
      </c>
      <c r="E3831" s="2">
        <v>1</v>
      </c>
      <c r="F3831" s="2">
        <v>2.3666502434558399E-2</v>
      </c>
      <c r="G3831" s="2">
        <v>2</v>
      </c>
    </row>
    <row r="3832" spans="1:7" x14ac:dyDescent="0.2">
      <c r="A3832" s="2" t="s">
        <v>59</v>
      </c>
      <c r="B3832" s="14">
        <v>38626</v>
      </c>
      <c r="C3832" s="2">
        <v>1.9599989075000001E-2</v>
      </c>
      <c r="D3832" s="2">
        <v>0</v>
      </c>
      <c r="E3832" s="2">
        <v>1</v>
      </c>
      <c r="F3832" s="2">
        <v>8.1946946975810907E-3</v>
      </c>
      <c r="G3832" s="2">
        <v>2</v>
      </c>
    </row>
    <row r="3833" spans="1:7" x14ac:dyDescent="0.2">
      <c r="A3833" s="2" t="s">
        <v>59</v>
      </c>
      <c r="B3833" s="14">
        <v>38657</v>
      </c>
      <c r="C3833" s="2">
        <v>-0.23571428571</v>
      </c>
      <c r="D3833" s="2">
        <v>0</v>
      </c>
      <c r="E3833" s="2">
        <v>1</v>
      </c>
      <c r="F3833" s="2">
        <v>6.7920419149809699E-3</v>
      </c>
      <c r="G3833" s="2">
        <v>2</v>
      </c>
    </row>
    <row r="3834" spans="1:7" x14ac:dyDescent="0.2">
      <c r="A3834" s="2" t="s">
        <v>59</v>
      </c>
      <c r="B3834" s="14">
        <v>38687</v>
      </c>
      <c r="C3834" s="2">
        <v>-0.10315420560000001</v>
      </c>
      <c r="D3834" s="2">
        <v>0</v>
      </c>
      <c r="E3834" s="2">
        <v>1</v>
      </c>
      <c r="F3834" s="2">
        <v>2.11420689553476E-3</v>
      </c>
      <c r="G3834" s="2">
        <v>2</v>
      </c>
    </row>
    <row r="3835" spans="1:7" x14ac:dyDescent="0.2">
      <c r="A3835" s="2" t="s">
        <v>59</v>
      </c>
      <c r="B3835" s="14">
        <v>38718</v>
      </c>
      <c r="C3835" s="2">
        <v>-8.8185489123999997E-2</v>
      </c>
      <c r="D3835" s="2">
        <v>0</v>
      </c>
      <c r="E3835" s="2">
        <v>1</v>
      </c>
      <c r="F3835" s="2">
        <v>-5.7317665320053401E-3</v>
      </c>
      <c r="G3835" s="2">
        <v>2</v>
      </c>
    </row>
    <row r="3836" spans="1:7" x14ac:dyDescent="0.2">
      <c r="A3836" s="2" t="s">
        <v>59</v>
      </c>
      <c r="B3836" s="14">
        <v>38749</v>
      </c>
      <c r="C3836" s="2">
        <v>2.8571428571E-2</v>
      </c>
      <c r="D3836" s="2">
        <v>0</v>
      </c>
      <c r="E3836" s="2">
        <v>1</v>
      </c>
      <c r="F3836" s="2">
        <v>-9.6427296519995993E-3</v>
      </c>
      <c r="G3836" s="2">
        <v>2</v>
      </c>
    </row>
    <row r="3837" spans="1:7" x14ac:dyDescent="0.2">
      <c r="A3837" s="2" t="s">
        <v>59</v>
      </c>
      <c r="B3837" s="14">
        <v>38777</v>
      </c>
      <c r="C3837" s="2">
        <v>-0.19722222221999999</v>
      </c>
      <c r="D3837" s="2">
        <v>0</v>
      </c>
      <c r="E3837" s="2">
        <v>1</v>
      </c>
      <c r="F3837" s="2">
        <v>-3.9712989688870503E-3</v>
      </c>
      <c r="G3837" s="2">
        <v>2</v>
      </c>
    </row>
    <row r="3838" spans="1:7" x14ac:dyDescent="0.2">
      <c r="A3838" s="2" t="s">
        <v>59</v>
      </c>
      <c r="B3838" s="14">
        <v>38808</v>
      </c>
      <c r="C3838" s="2">
        <v>1.3840830449999999E-2</v>
      </c>
      <c r="D3838" s="2">
        <v>0</v>
      </c>
      <c r="E3838" s="2">
        <v>1</v>
      </c>
      <c r="F3838" s="2">
        <v>-1.0046018099052201E-2</v>
      </c>
      <c r="G3838" s="2">
        <v>2</v>
      </c>
    </row>
    <row r="3839" spans="1:7" x14ac:dyDescent="0.2">
      <c r="A3839" s="2" t="s">
        <v>59</v>
      </c>
      <c r="B3839" s="14">
        <v>38838</v>
      </c>
      <c r="C3839" s="2">
        <v>-6.3055872651999996E-3</v>
      </c>
      <c r="D3839" s="2">
        <v>0</v>
      </c>
      <c r="E3839" s="2">
        <v>1</v>
      </c>
      <c r="F3839" s="2">
        <v>-1.0301207041890701E-2</v>
      </c>
      <c r="G3839" s="2">
        <v>2</v>
      </c>
    </row>
    <row r="3840" spans="1:7" x14ac:dyDescent="0.2">
      <c r="A3840" s="2" t="s">
        <v>59</v>
      </c>
      <c r="B3840" s="14">
        <v>38869</v>
      </c>
      <c r="C3840" s="2">
        <v>4.0000000001E-2</v>
      </c>
      <c r="D3840" s="2">
        <v>0</v>
      </c>
      <c r="E3840" s="2">
        <v>1</v>
      </c>
      <c r="F3840" s="2">
        <v>-3.3040309957561198E-3</v>
      </c>
      <c r="G3840" s="2">
        <v>2</v>
      </c>
    </row>
    <row r="3841" spans="1:7" x14ac:dyDescent="0.2">
      <c r="A3841" s="2" t="s">
        <v>59</v>
      </c>
      <c r="B3841" s="14">
        <v>38899</v>
      </c>
      <c r="C3841" s="2">
        <v>-0.13461538461</v>
      </c>
      <c r="D3841" s="2">
        <v>0</v>
      </c>
      <c r="E3841" s="2">
        <v>1</v>
      </c>
      <c r="F3841" s="2">
        <v>4.1899745054971299E-4</v>
      </c>
      <c r="G3841" s="2">
        <v>2</v>
      </c>
    </row>
    <row r="3842" spans="1:7" x14ac:dyDescent="0.2">
      <c r="A3842" s="2" t="s">
        <v>59</v>
      </c>
      <c r="B3842" s="14">
        <v>38930</v>
      </c>
      <c r="C3842" s="2">
        <v>4.8888888890000003E-2</v>
      </c>
      <c r="D3842" s="2">
        <v>0</v>
      </c>
      <c r="E3842" s="2">
        <v>1</v>
      </c>
      <c r="F3842" s="2">
        <v>6.9038868513651699E-3</v>
      </c>
      <c r="G3842" s="2">
        <v>2</v>
      </c>
    </row>
    <row r="3843" spans="1:7" x14ac:dyDescent="0.2">
      <c r="A3843" s="2" t="s">
        <v>59</v>
      </c>
      <c r="B3843" s="14">
        <v>38961</v>
      </c>
      <c r="C3843" s="2">
        <v>-5.9322033899000003E-2</v>
      </c>
      <c r="D3843" s="2">
        <v>0</v>
      </c>
      <c r="E3843" s="2">
        <v>1</v>
      </c>
      <c r="F3843" s="2">
        <v>7.34824277311295E-3</v>
      </c>
      <c r="G3843" s="2">
        <v>2</v>
      </c>
    </row>
    <row r="3844" spans="1:7" x14ac:dyDescent="0.2">
      <c r="A3844" s="2" t="s">
        <v>59</v>
      </c>
      <c r="B3844" s="14">
        <v>38991</v>
      </c>
      <c r="C3844" s="2">
        <v>-1.3513513513E-2</v>
      </c>
      <c r="D3844" s="2">
        <v>0</v>
      </c>
      <c r="E3844" s="2">
        <v>1</v>
      </c>
      <c r="F3844" s="2">
        <v>1.1402907319486399E-2</v>
      </c>
      <c r="G3844" s="2">
        <v>2</v>
      </c>
    </row>
    <row r="3845" spans="1:7" x14ac:dyDescent="0.2">
      <c r="A3845" s="2" t="s">
        <v>59</v>
      </c>
      <c r="B3845" s="14">
        <v>39022</v>
      </c>
      <c r="C3845" s="2">
        <v>7.7625570776999997E-2</v>
      </c>
      <c r="D3845" s="2">
        <v>0</v>
      </c>
      <c r="E3845" s="2">
        <v>1</v>
      </c>
      <c r="F3845" s="2">
        <v>1.06077651785764E-2</v>
      </c>
      <c r="G3845" s="2">
        <v>2</v>
      </c>
    </row>
    <row r="3846" spans="1:7" x14ac:dyDescent="0.2">
      <c r="A3846" s="2" t="s">
        <v>59</v>
      </c>
      <c r="B3846" s="14">
        <v>39052</v>
      </c>
      <c r="C3846" s="2">
        <v>9.7457627118000004E-2</v>
      </c>
      <c r="D3846" s="2">
        <v>0</v>
      </c>
      <c r="E3846" s="2">
        <v>1</v>
      </c>
      <c r="F3846" s="2">
        <v>1.26636734766095E-2</v>
      </c>
      <c r="G3846" s="2">
        <v>2</v>
      </c>
    </row>
    <row r="3847" spans="1:7" x14ac:dyDescent="0.2">
      <c r="A3847" s="2" t="s">
        <v>59</v>
      </c>
      <c r="B3847" s="14">
        <v>39083</v>
      </c>
      <c r="C3847" s="2">
        <v>0.27413127412999999</v>
      </c>
      <c r="D3847" s="2">
        <v>0</v>
      </c>
      <c r="E3847" s="2">
        <v>1</v>
      </c>
      <c r="F3847" s="2">
        <v>1.4197716893722701E-2</v>
      </c>
      <c r="G3847" s="2">
        <v>2</v>
      </c>
    </row>
    <row r="3848" spans="1:7" x14ac:dyDescent="0.2">
      <c r="A3848" s="2" t="s">
        <v>59</v>
      </c>
      <c r="B3848" s="14">
        <v>39114</v>
      </c>
      <c r="C3848" s="2">
        <v>4.5454545454000003E-2</v>
      </c>
      <c r="D3848" s="2">
        <v>0</v>
      </c>
      <c r="E3848" s="2">
        <v>1</v>
      </c>
      <c r="F3848" s="2">
        <v>2.6016478919558599E-2</v>
      </c>
      <c r="G3848" s="2">
        <v>2</v>
      </c>
    </row>
    <row r="3849" spans="1:7" x14ac:dyDescent="0.2">
      <c r="A3849" s="2" t="s">
        <v>59</v>
      </c>
      <c r="B3849" s="14">
        <v>39142</v>
      </c>
      <c r="C3849" s="2">
        <v>0.30434782609</v>
      </c>
      <c r="D3849" s="2">
        <v>0</v>
      </c>
      <c r="E3849" s="2">
        <v>1</v>
      </c>
      <c r="F3849" s="2">
        <v>2.5821512136207699E-2</v>
      </c>
      <c r="G3849" s="2">
        <v>2</v>
      </c>
    </row>
    <row r="3850" spans="1:7" x14ac:dyDescent="0.2">
      <c r="A3850" s="2" t="s">
        <v>59</v>
      </c>
      <c r="B3850" s="14">
        <v>39173</v>
      </c>
      <c r="C3850" s="2">
        <v>-0.24444444443999999</v>
      </c>
      <c r="D3850" s="2">
        <v>0</v>
      </c>
      <c r="E3850" s="2">
        <v>1</v>
      </c>
      <c r="F3850" s="2">
        <v>3.5843858092897002E-2</v>
      </c>
      <c r="G3850" s="2">
        <v>2</v>
      </c>
    </row>
    <row r="3851" spans="1:7" x14ac:dyDescent="0.2">
      <c r="A3851" s="2" t="s">
        <v>59</v>
      </c>
      <c r="B3851" s="14">
        <v>39203</v>
      </c>
      <c r="C3851" s="2">
        <v>0.11764705882</v>
      </c>
      <c r="D3851" s="2">
        <v>0</v>
      </c>
      <c r="E3851" s="2">
        <v>1</v>
      </c>
      <c r="F3851" s="2">
        <v>3.0323166205135199E-2</v>
      </c>
      <c r="G3851" s="2">
        <v>2</v>
      </c>
    </row>
    <row r="3852" spans="1:7" x14ac:dyDescent="0.2">
      <c r="A3852" s="2" t="s">
        <v>59</v>
      </c>
      <c r="B3852" s="14">
        <v>39234</v>
      </c>
      <c r="C3852" s="2">
        <v>0.18447368420999999</v>
      </c>
      <c r="D3852" s="2">
        <v>0</v>
      </c>
      <c r="E3852" s="2">
        <v>1</v>
      </c>
      <c r="F3852" s="2">
        <v>3.1246660320695799E-2</v>
      </c>
      <c r="G3852" s="2">
        <v>2</v>
      </c>
    </row>
    <row r="3853" spans="1:7" x14ac:dyDescent="0.2">
      <c r="A3853" s="2" t="s">
        <v>59</v>
      </c>
      <c r="B3853" s="14">
        <v>39264</v>
      </c>
      <c r="C3853" s="2">
        <v>-2.2217285095E-4</v>
      </c>
      <c r="D3853" s="2">
        <v>0</v>
      </c>
      <c r="E3853" s="2">
        <v>1</v>
      </c>
      <c r="F3853" s="2">
        <v>3.34702146017734E-2</v>
      </c>
      <c r="G3853" s="2">
        <v>2</v>
      </c>
    </row>
    <row r="3854" spans="1:7" x14ac:dyDescent="0.2">
      <c r="A3854" s="2" t="s">
        <v>59</v>
      </c>
      <c r="B3854" s="14">
        <v>39295</v>
      </c>
      <c r="C3854" s="2">
        <v>-1.1111111111000001E-2</v>
      </c>
      <c r="D3854" s="2">
        <v>0</v>
      </c>
      <c r="E3854" s="2">
        <v>1</v>
      </c>
      <c r="F3854" s="2">
        <v>2.5939625589142101E-2</v>
      </c>
      <c r="G3854" s="2">
        <v>2</v>
      </c>
    </row>
    <row r="3855" spans="1:7" x14ac:dyDescent="0.2">
      <c r="A3855" s="2" t="s">
        <v>59</v>
      </c>
      <c r="B3855" s="14">
        <v>39326</v>
      </c>
      <c r="C3855" s="2">
        <v>0</v>
      </c>
      <c r="D3855" s="2">
        <v>0</v>
      </c>
      <c r="E3855" s="2">
        <v>1</v>
      </c>
      <c r="F3855" s="2">
        <v>2.4363739349967401E-2</v>
      </c>
      <c r="G3855" s="2">
        <v>2</v>
      </c>
    </row>
    <row r="3856" spans="1:7" x14ac:dyDescent="0.2">
      <c r="A3856" s="2" t="s">
        <v>59</v>
      </c>
      <c r="B3856" s="14">
        <v>39356</v>
      </c>
      <c r="C3856" s="2">
        <v>-1.1235955057000001E-2</v>
      </c>
      <c r="D3856" s="2">
        <v>0</v>
      </c>
      <c r="E3856" s="2">
        <v>1</v>
      </c>
      <c r="F3856" s="2">
        <v>1.55050494080339E-2</v>
      </c>
      <c r="G3856" s="2">
        <v>2</v>
      </c>
    </row>
    <row r="3857" spans="1:7" x14ac:dyDescent="0.2">
      <c r="A3857" s="2" t="s">
        <v>59</v>
      </c>
      <c r="B3857" s="14">
        <v>39387</v>
      </c>
      <c r="D3857" s="2">
        <v>0</v>
      </c>
      <c r="E3857" s="2">
        <v>1</v>
      </c>
      <c r="F3857" s="2">
        <v>2.2266161681017201E-2</v>
      </c>
      <c r="G3857" s="2">
        <v>2</v>
      </c>
    </row>
    <row r="3858" spans="1:7" x14ac:dyDescent="0.2">
      <c r="A3858" s="2" t="s">
        <v>59</v>
      </c>
      <c r="B3858" s="14">
        <v>39417</v>
      </c>
      <c r="D3858" s="2">
        <v>0</v>
      </c>
      <c r="E3858" s="2">
        <v>1</v>
      </c>
      <c r="G3858" s="2">
        <v>2</v>
      </c>
    </row>
    <row r="3859" spans="1:7" x14ac:dyDescent="0.2">
      <c r="A3859" s="2" t="s">
        <v>59</v>
      </c>
      <c r="B3859" s="14">
        <v>39448</v>
      </c>
      <c r="D3859" s="2">
        <v>0</v>
      </c>
      <c r="E3859" s="2">
        <v>1</v>
      </c>
      <c r="G3859" s="2">
        <v>2</v>
      </c>
    </row>
    <row r="3860" spans="1:7" x14ac:dyDescent="0.2">
      <c r="A3860" s="2" t="s">
        <v>59</v>
      </c>
      <c r="B3860" s="14">
        <v>39479</v>
      </c>
      <c r="D3860" s="2">
        <v>0</v>
      </c>
      <c r="E3860" s="2">
        <v>1</v>
      </c>
      <c r="G3860" s="2">
        <v>2</v>
      </c>
    </row>
    <row r="3861" spans="1:7" x14ac:dyDescent="0.2">
      <c r="A3861" s="2" t="s">
        <v>59</v>
      </c>
      <c r="B3861" s="14">
        <v>39508</v>
      </c>
      <c r="D3861" s="2">
        <v>0</v>
      </c>
      <c r="E3861" s="2">
        <v>1</v>
      </c>
      <c r="G3861" s="2">
        <v>2</v>
      </c>
    </row>
    <row r="3862" spans="1:7" x14ac:dyDescent="0.2">
      <c r="A3862" s="2" t="s">
        <v>59</v>
      </c>
      <c r="B3862" s="14">
        <v>39539</v>
      </c>
      <c r="D3862" s="2">
        <v>0</v>
      </c>
      <c r="E3862" s="2">
        <v>1</v>
      </c>
      <c r="G3862" s="2">
        <v>2</v>
      </c>
    </row>
    <row r="3863" spans="1:7" x14ac:dyDescent="0.2">
      <c r="A3863" s="2" t="s">
        <v>59</v>
      </c>
      <c r="B3863" s="14">
        <v>39569</v>
      </c>
      <c r="D3863" s="2">
        <v>0</v>
      </c>
      <c r="E3863" s="2">
        <v>1</v>
      </c>
      <c r="G3863" s="2">
        <v>2</v>
      </c>
    </row>
    <row r="3864" spans="1:7" x14ac:dyDescent="0.2">
      <c r="A3864" s="2" t="s">
        <v>59</v>
      </c>
      <c r="B3864" s="14">
        <v>39600</v>
      </c>
      <c r="D3864" s="2">
        <v>0</v>
      </c>
      <c r="E3864" s="2">
        <v>1</v>
      </c>
      <c r="G3864" s="2">
        <v>2</v>
      </c>
    </row>
    <row r="3865" spans="1:7" x14ac:dyDescent="0.2">
      <c r="A3865" s="2" t="s">
        <v>59</v>
      </c>
      <c r="B3865" s="14">
        <v>39630</v>
      </c>
      <c r="C3865" s="2">
        <v>-0.5</v>
      </c>
      <c r="D3865" s="2">
        <v>0</v>
      </c>
      <c r="E3865" s="2">
        <v>1</v>
      </c>
      <c r="F3865" s="2">
        <v>1.1509135621970701E-2</v>
      </c>
      <c r="G3865" s="2">
        <v>2</v>
      </c>
    </row>
    <row r="3866" spans="1:7" x14ac:dyDescent="0.2">
      <c r="A3866" s="2" t="s">
        <v>59</v>
      </c>
      <c r="B3866" s="14">
        <v>39661</v>
      </c>
      <c r="C3866" s="2">
        <v>-0.13636363636000001</v>
      </c>
      <c r="D3866" s="2">
        <v>0</v>
      </c>
      <c r="E3866" s="2">
        <v>1</v>
      </c>
      <c r="G3866" s="2">
        <v>2</v>
      </c>
    </row>
    <row r="3867" spans="1:7" x14ac:dyDescent="0.2">
      <c r="A3867" s="2" t="s">
        <v>59</v>
      </c>
      <c r="B3867" s="14">
        <v>39692</v>
      </c>
      <c r="C3867" s="2">
        <v>-1.0526315789E-2</v>
      </c>
      <c r="D3867" s="2">
        <v>0</v>
      </c>
      <c r="E3867" s="2">
        <v>1</v>
      </c>
      <c r="G3867" s="2">
        <v>2</v>
      </c>
    </row>
    <row r="3868" spans="1:7" x14ac:dyDescent="0.2">
      <c r="A3868" s="2" t="s">
        <v>59</v>
      </c>
      <c r="B3868" s="14">
        <v>39722</v>
      </c>
      <c r="D3868" s="2">
        <v>0</v>
      </c>
      <c r="E3868" s="2">
        <v>1</v>
      </c>
      <c r="G3868" s="2">
        <v>2</v>
      </c>
    </row>
    <row r="3869" spans="1:7" x14ac:dyDescent="0.2">
      <c r="A3869" s="2" t="s">
        <v>59</v>
      </c>
      <c r="B3869" s="14">
        <v>39753</v>
      </c>
      <c r="C3869" s="2">
        <v>-0.12287234042</v>
      </c>
      <c r="D3869" s="2">
        <v>0</v>
      </c>
      <c r="E3869" s="2">
        <v>1</v>
      </c>
      <c r="G3869" s="2">
        <v>2</v>
      </c>
    </row>
    <row r="3870" spans="1:7" x14ac:dyDescent="0.2">
      <c r="A3870" s="2" t="s">
        <v>59</v>
      </c>
      <c r="B3870" s="14">
        <v>39783</v>
      </c>
      <c r="D3870" s="2">
        <v>0</v>
      </c>
      <c r="E3870" s="2">
        <v>1</v>
      </c>
      <c r="G3870" s="2">
        <v>2</v>
      </c>
    </row>
    <row r="3871" spans="1:7" x14ac:dyDescent="0.2">
      <c r="A3871" s="2" t="s">
        <v>60</v>
      </c>
      <c r="B3871" s="14">
        <v>37591</v>
      </c>
      <c r="C3871" s="2">
        <v>3.2727258854999997E-2</v>
      </c>
      <c r="E3871" s="2">
        <v>1</v>
      </c>
      <c r="G3871" s="2">
        <v>2</v>
      </c>
    </row>
    <row r="3872" spans="1:7" x14ac:dyDescent="0.2">
      <c r="A3872" s="2" t="s">
        <v>60</v>
      </c>
      <c r="B3872" s="14">
        <v>37622</v>
      </c>
      <c r="C3872" s="2">
        <v>0.20598593169000001</v>
      </c>
      <c r="E3872" s="2">
        <v>1</v>
      </c>
      <c r="G3872" s="2">
        <v>2</v>
      </c>
    </row>
    <row r="3873" spans="1:7" x14ac:dyDescent="0.2">
      <c r="A3873" s="2" t="s">
        <v>60</v>
      </c>
      <c r="B3873" s="14">
        <v>37653</v>
      </c>
      <c r="C3873" s="2">
        <v>8.0291970801999998E-2</v>
      </c>
      <c r="E3873" s="2">
        <v>1</v>
      </c>
      <c r="G3873" s="2">
        <v>2</v>
      </c>
    </row>
    <row r="3874" spans="1:7" x14ac:dyDescent="0.2">
      <c r="A3874" s="2" t="s">
        <v>60</v>
      </c>
      <c r="B3874" s="14">
        <v>37681</v>
      </c>
      <c r="C3874" s="2">
        <v>4.7297297297000003E-2</v>
      </c>
      <c r="E3874" s="2">
        <v>1</v>
      </c>
      <c r="G3874" s="2">
        <v>2</v>
      </c>
    </row>
    <row r="3875" spans="1:7" x14ac:dyDescent="0.2">
      <c r="A3875" s="2" t="s">
        <v>60</v>
      </c>
      <c r="B3875" s="14">
        <v>37712</v>
      </c>
      <c r="C3875" s="2">
        <v>0.61290322581000001</v>
      </c>
      <c r="E3875" s="2">
        <v>1</v>
      </c>
      <c r="G3875" s="2">
        <v>2</v>
      </c>
    </row>
    <row r="3876" spans="1:7" x14ac:dyDescent="0.2">
      <c r="A3876" s="2" t="s">
        <v>60</v>
      </c>
      <c r="B3876" s="14">
        <v>37742</v>
      </c>
      <c r="C3876" s="2">
        <v>0.12544305184999999</v>
      </c>
      <c r="E3876" s="2">
        <v>1</v>
      </c>
      <c r="G3876" s="2">
        <v>2</v>
      </c>
    </row>
    <row r="3877" spans="1:7" x14ac:dyDescent="0.2">
      <c r="A3877" s="2" t="s">
        <v>60</v>
      </c>
      <c r="B3877" s="14">
        <v>37773</v>
      </c>
      <c r="C3877" s="2">
        <v>0.25</v>
      </c>
      <c r="E3877" s="2">
        <v>1</v>
      </c>
      <c r="G3877" s="2">
        <v>2</v>
      </c>
    </row>
    <row r="3878" spans="1:7" x14ac:dyDescent="0.2">
      <c r="A3878" s="2" t="s">
        <v>60</v>
      </c>
      <c r="B3878" s="14">
        <v>37803</v>
      </c>
      <c r="C3878" s="2">
        <v>0</v>
      </c>
      <c r="E3878" s="2">
        <v>1</v>
      </c>
      <c r="G3878" s="2">
        <v>2</v>
      </c>
    </row>
    <row r="3879" spans="1:7" x14ac:dyDescent="0.2">
      <c r="A3879" s="2" t="s">
        <v>60</v>
      </c>
      <c r="B3879" s="14">
        <v>37834</v>
      </c>
      <c r="C3879" s="2">
        <v>-8.5714285713999999E-2</v>
      </c>
      <c r="E3879" s="2">
        <v>1</v>
      </c>
      <c r="F3879" s="2">
        <v>0.10113819183367299</v>
      </c>
      <c r="G3879" s="2">
        <v>2</v>
      </c>
    </row>
    <row r="3880" spans="1:7" x14ac:dyDescent="0.2">
      <c r="A3880" s="2" t="s">
        <v>60</v>
      </c>
      <c r="B3880" s="14">
        <v>37865</v>
      </c>
      <c r="C3880" s="2">
        <v>-0.15628128051000001</v>
      </c>
      <c r="E3880" s="2">
        <v>1</v>
      </c>
      <c r="F3880" s="2">
        <v>9.6694963932723602E-2</v>
      </c>
      <c r="G3880" s="2">
        <v>2</v>
      </c>
    </row>
    <row r="3881" spans="1:7" x14ac:dyDescent="0.2">
      <c r="A3881" s="2" t="s">
        <v>60</v>
      </c>
      <c r="B3881" s="14">
        <v>37895</v>
      </c>
      <c r="C3881" s="2">
        <v>0.15106838621999999</v>
      </c>
      <c r="E3881" s="2">
        <v>1</v>
      </c>
      <c r="F3881" s="2">
        <v>9.1412852854735993E-2</v>
      </c>
      <c r="G3881" s="2">
        <v>2</v>
      </c>
    </row>
    <row r="3882" spans="1:7" x14ac:dyDescent="0.2">
      <c r="A3882" s="2" t="s">
        <v>60</v>
      </c>
      <c r="B3882" s="14">
        <v>37926</v>
      </c>
      <c r="C3882" s="2">
        <v>0</v>
      </c>
      <c r="E3882" s="2">
        <v>1</v>
      </c>
      <c r="F3882" s="2">
        <v>7.7518177352841805E-2</v>
      </c>
      <c r="G3882" s="2">
        <v>2</v>
      </c>
    </row>
    <row r="3883" spans="1:7" x14ac:dyDescent="0.2">
      <c r="A3883" s="2" t="s">
        <v>60</v>
      </c>
      <c r="B3883" s="14">
        <v>37956</v>
      </c>
      <c r="C3883" s="2">
        <v>-1.6129032258000001E-2</v>
      </c>
      <c r="E3883" s="2">
        <v>1</v>
      </c>
      <c r="F3883" s="2">
        <v>7.3752640701046396E-2</v>
      </c>
      <c r="G3883" s="2">
        <v>2</v>
      </c>
    </row>
    <row r="3884" spans="1:7" x14ac:dyDescent="0.2">
      <c r="A3884" s="2" t="s">
        <v>60</v>
      </c>
      <c r="B3884" s="14">
        <v>37987</v>
      </c>
      <c r="C3884" s="2">
        <v>-5.2306055265999997E-2</v>
      </c>
      <c r="E3884" s="2">
        <v>1</v>
      </c>
      <c r="F3884" s="2">
        <v>6.5986645619879505E-2</v>
      </c>
      <c r="G3884" s="2">
        <v>2</v>
      </c>
    </row>
    <row r="3885" spans="1:7" x14ac:dyDescent="0.2">
      <c r="A3885" s="2" t="s">
        <v>60</v>
      </c>
      <c r="B3885" s="14">
        <v>38018</v>
      </c>
      <c r="C3885" s="2">
        <v>0.29824561402999999</v>
      </c>
      <c r="E3885" s="2">
        <v>1</v>
      </c>
      <c r="F3885" s="2">
        <v>6.4659771292083307E-2</v>
      </c>
      <c r="G3885" s="2">
        <v>2</v>
      </c>
    </row>
    <row r="3886" spans="1:7" x14ac:dyDescent="0.2">
      <c r="A3886" s="2" t="s">
        <v>60</v>
      </c>
      <c r="B3886" s="14">
        <v>38047</v>
      </c>
      <c r="C3886" s="2">
        <v>0.70270270270000001</v>
      </c>
      <c r="E3886" s="2">
        <v>1</v>
      </c>
      <c r="F3886" s="2">
        <v>7.5340177751359497E-2</v>
      </c>
      <c r="G3886" s="2">
        <v>2</v>
      </c>
    </row>
    <row r="3887" spans="1:7" x14ac:dyDescent="0.2">
      <c r="A3887" s="2" t="s">
        <v>60</v>
      </c>
      <c r="B3887" s="14">
        <v>38078</v>
      </c>
      <c r="C3887" s="2">
        <v>-0.20634920635000001</v>
      </c>
      <c r="E3887" s="2">
        <v>1</v>
      </c>
      <c r="F3887" s="2">
        <v>0.100101492485461</v>
      </c>
      <c r="G3887" s="2">
        <v>2</v>
      </c>
    </row>
    <row r="3888" spans="1:7" x14ac:dyDescent="0.2">
      <c r="A3888" s="2" t="s">
        <v>60</v>
      </c>
      <c r="B3888" s="14">
        <v>38108</v>
      </c>
      <c r="C3888" s="2">
        <v>0.11999999998999999</v>
      </c>
      <c r="E3888" s="2">
        <v>1</v>
      </c>
      <c r="F3888" s="2">
        <v>8.98455150855757E-2</v>
      </c>
      <c r="G3888" s="2">
        <v>2</v>
      </c>
    </row>
    <row r="3889" spans="1:7" x14ac:dyDescent="0.2">
      <c r="A3889" s="2" t="s">
        <v>60</v>
      </c>
      <c r="B3889" s="14">
        <v>38139</v>
      </c>
      <c r="C3889" s="2">
        <v>7.1428571428999998E-2</v>
      </c>
      <c r="E3889" s="2">
        <v>1</v>
      </c>
      <c r="F3889" s="2">
        <v>9.3053129983828003E-2</v>
      </c>
      <c r="G3889" s="2">
        <v>2</v>
      </c>
    </row>
    <row r="3890" spans="1:7" x14ac:dyDescent="0.2">
      <c r="A3890" s="2" t="s">
        <v>60</v>
      </c>
      <c r="B3890" s="14">
        <v>38169</v>
      </c>
      <c r="C3890" s="2">
        <v>0.10174847031000001</v>
      </c>
      <c r="E3890" s="2">
        <v>1</v>
      </c>
      <c r="F3890" s="2">
        <v>9.5321014344374705E-2</v>
      </c>
      <c r="G3890" s="2">
        <v>2</v>
      </c>
    </row>
    <row r="3891" spans="1:7" x14ac:dyDescent="0.2">
      <c r="A3891" s="2" t="s">
        <v>60</v>
      </c>
      <c r="B3891" s="14">
        <v>38200</v>
      </c>
      <c r="C3891" s="2">
        <v>0.24237804877999999</v>
      </c>
      <c r="E3891" s="2">
        <v>1</v>
      </c>
      <c r="F3891" s="2">
        <v>7.5922156780520597E-2</v>
      </c>
      <c r="G3891" s="2">
        <v>2</v>
      </c>
    </row>
    <row r="3892" spans="1:7" x14ac:dyDescent="0.2">
      <c r="A3892" s="2" t="s">
        <v>60</v>
      </c>
      <c r="B3892" s="14">
        <v>38231</v>
      </c>
      <c r="C3892" s="2">
        <v>0.80368098160000001</v>
      </c>
      <c r="E3892" s="2">
        <v>1</v>
      </c>
      <c r="F3892" s="2">
        <v>7.3784832569516706E-2</v>
      </c>
      <c r="G3892" s="2">
        <v>2</v>
      </c>
    </row>
    <row r="3893" spans="1:7" x14ac:dyDescent="0.2">
      <c r="A3893" s="2" t="s">
        <v>60</v>
      </c>
      <c r="B3893" s="14">
        <v>38261</v>
      </c>
      <c r="C3893" s="2">
        <v>-1.6410561362E-2</v>
      </c>
      <c r="D3893" s="2">
        <v>2.4893121000000001E-3</v>
      </c>
      <c r="E3893" s="2">
        <v>1</v>
      </c>
      <c r="F3893" s="2">
        <v>7.6448963590862007E-2</v>
      </c>
      <c r="G3893" s="2">
        <v>2</v>
      </c>
    </row>
    <row r="3894" spans="1:7" x14ac:dyDescent="0.2">
      <c r="A3894" s="2" t="s">
        <v>60</v>
      </c>
      <c r="B3894" s="14">
        <v>38292</v>
      </c>
      <c r="C3894" s="2">
        <v>7.2097902096999997E-2</v>
      </c>
      <c r="D3894" s="19">
        <v>-5.7752484000000003E-5</v>
      </c>
      <c r="E3894" s="2">
        <v>1</v>
      </c>
      <c r="F3894" s="2">
        <v>8.2103945308862794E-2</v>
      </c>
      <c r="G3894" s="2">
        <v>2</v>
      </c>
    </row>
    <row r="3895" spans="1:7" x14ac:dyDescent="0.2">
      <c r="A3895" s="2" t="s">
        <v>60</v>
      </c>
      <c r="B3895" s="14">
        <v>38322</v>
      </c>
      <c r="C3895" s="2">
        <v>-7.7033461614000001E-2</v>
      </c>
      <c r="D3895" s="2">
        <v>-1.3656713E-3</v>
      </c>
      <c r="E3895" s="2">
        <v>1</v>
      </c>
      <c r="F3895" s="2">
        <v>8.0505631801340793E-2</v>
      </c>
      <c r="G3895" s="2">
        <v>2</v>
      </c>
    </row>
    <row r="3896" spans="1:7" x14ac:dyDescent="0.2">
      <c r="A3896" s="2" t="s">
        <v>60</v>
      </c>
      <c r="B3896" s="14">
        <v>38353</v>
      </c>
      <c r="C3896" s="2">
        <v>1.7022073424E-2</v>
      </c>
      <c r="D3896" s="2">
        <v>-5.7363056000000003E-4</v>
      </c>
      <c r="E3896" s="2">
        <v>1</v>
      </c>
      <c r="F3896" s="2">
        <v>7.6474544126518301E-2</v>
      </c>
      <c r="G3896" s="2">
        <v>2</v>
      </c>
    </row>
    <row r="3897" spans="1:7" x14ac:dyDescent="0.2">
      <c r="A3897" s="2" t="s">
        <v>60</v>
      </c>
      <c r="B3897" s="14">
        <v>38384</v>
      </c>
      <c r="C3897" s="2">
        <v>0.11345070422</v>
      </c>
      <c r="D3897" s="2">
        <v>9.4551878000000004E-4</v>
      </c>
      <c r="E3897" s="2">
        <v>1</v>
      </c>
      <c r="F3897" s="2">
        <v>7.3943677924766096E-2</v>
      </c>
      <c r="G3897" s="2">
        <v>2</v>
      </c>
    </row>
    <row r="3898" spans="1:7" x14ac:dyDescent="0.2">
      <c r="A3898" s="2" t="s">
        <v>60</v>
      </c>
      <c r="B3898" s="14">
        <v>38412</v>
      </c>
      <c r="C3898" s="2">
        <v>0.51793055467999904</v>
      </c>
      <c r="D3898" s="2">
        <v>0</v>
      </c>
      <c r="E3898" s="2">
        <v>1</v>
      </c>
      <c r="F3898" s="2">
        <v>6.9936452694005599E-2</v>
      </c>
      <c r="G3898" s="2">
        <v>2</v>
      </c>
    </row>
    <row r="3899" spans="1:7" x14ac:dyDescent="0.2">
      <c r="A3899" s="2" t="s">
        <v>60</v>
      </c>
      <c r="B3899" s="14">
        <v>38443</v>
      </c>
      <c r="C3899" s="2">
        <v>-3.2929088369999998E-2</v>
      </c>
      <c r="D3899" s="2">
        <v>-5.1194360000000004E-4</v>
      </c>
      <c r="E3899" s="2">
        <v>1</v>
      </c>
      <c r="F3899" s="2">
        <v>6.0228006932612398E-2</v>
      </c>
      <c r="G3899" s="2">
        <v>2</v>
      </c>
    </row>
    <row r="3900" spans="1:7" x14ac:dyDescent="0.2">
      <c r="A3900" s="2" t="s">
        <v>60</v>
      </c>
      <c r="B3900" s="14">
        <v>38473</v>
      </c>
      <c r="C3900" s="2">
        <v>-0.23137050546999999</v>
      </c>
      <c r="D3900" s="2">
        <v>-8.4638072000000003E-4</v>
      </c>
      <c r="E3900" s="2">
        <v>1</v>
      </c>
      <c r="F3900" s="2">
        <v>5.9538141379254998E-2</v>
      </c>
      <c r="G3900" s="2">
        <v>2</v>
      </c>
    </row>
    <row r="3901" spans="1:7" x14ac:dyDescent="0.2">
      <c r="A3901" s="2" t="s">
        <v>60</v>
      </c>
      <c r="B3901" s="14">
        <v>38504</v>
      </c>
      <c r="C3901" s="2">
        <v>7.0621468926999997E-2</v>
      </c>
      <c r="D3901" s="2">
        <v>-1.3382571E-4</v>
      </c>
      <c r="E3901" s="2">
        <v>1</v>
      </c>
      <c r="F3901" s="2">
        <v>5.1821949669756499E-2</v>
      </c>
      <c r="G3901" s="2">
        <v>2</v>
      </c>
    </row>
    <row r="3902" spans="1:7" x14ac:dyDescent="0.2">
      <c r="A3902" s="2" t="s">
        <v>60</v>
      </c>
      <c r="B3902" s="14">
        <v>38534</v>
      </c>
      <c r="C3902" s="2">
        <v>0.10573828339999999</v>
      </c>
      <c r="D3902" s="2">
        <v>0</v>
      </c>
      <c r="E3902" s="2">
        <v>1</v>
      </c>
      <c r="F3902" s="2">
        <v>5.5932865660527797E-2</v>
      </c>
      <c r="G3902" s="2">
        <v>2</v>
      </c>
    </row>
    <row r="3903" spans="1:7" x14ac:dyDescent="0.2">
      <c r="A3903" s="2" t="s">
        <v>60</v>
      </c>
      <c r="B3903" s="14">
        <v>38565</v>
      </c>
      <c r="C3903" s="2">
        <v>-6.5661478598999998E-2</v>
      </c>
      <c r="D3903" s="2">
        <v>0</v>
      </c>
      <c r="E3903" s="2">
        <v>1</v>
      </c>
      <c r="F3903" s="2">
        <v>3.03921306632896E-2</v>
      </c>
      <c r="G3903" s="2">
        <v>2</v>
      </c>
    </row>
    <row r="3904" spans="1:7" x14ac:dyDescent="0.2">
      <c r="A3904" s="2" t="s">
        <v>60</v>
      </c>
      <c r="B3904" s="14">
        <v>38596</v>
      </c>
      <c r="C3904" s="2">
        <v>0.1130661114</v>
      </c>
      <c r="D3904" s="2">
        <v>0</v>
      </c>
      <c r="E3904" s="2">
        <v>1</v>
      </c>
      <c r="F3904" s="2">
        <v>2.54296742645123E-2</v>
      </c>
      <c r="G3904" s="2">
        <v>2</v>
      </c>
    </row>
    <row r="3905" spans="1:7" x14ac:dyDescent="0.2">
      <c r="A3905" s="2" t="s">
        <v>60</v>
      </c>
      <c r="B3905" s="14">
        <v>38626</v>
      </c>
      <c r="C3905" s="2">
        <v>-5.6695076321000001E-2</v>
      </c>
      <c r="D3905" s="2">
        <v>0</v>
      </c>
      <c r="E3905" s="2">
        <v>1</v>
      </c>
      <c r="F3905" s="2">
        <v>1.15476177158095E-2</v>
      </c>
      <c r="G3905" s="2">
        <v>2</v>
      </c>
    </row>
    <row r="3906" spans="1:7" x14ac:dyDescent="0.2">
      <c r="A3906" s="2" t="s">
        <v>60</v>
      </c>
      <c r="B3906" s="14">
        <v>38657</v>
      </c>
      <c r="C3906" s="2">
        <v>-6.6161616160999998E-2</v>
      </c>
      <c r="D3906" s="2">
        <v>0</v>
      </c>
      <c r="E3906" s="2">
        <v>1</v>
      </c>
      <c r="F3906" s="2">
        <v>1.1067853082481101E-2</v>
      </c>
      <c r="G3906" s="2">
        <v>2</v>
      </c>
    </row>
    <row r="3907" spans="1:7" x14ac:dyDescent="0.2">
      <c r="A3907" s="2" t="s">
        <v>60</v>
      </c>
      <c r="B3907" s="14">
        <v>38687</v>
      </c>
      <c r="C3907" s="2">
        <v>-5.3542455379999999E-2</v>
      </c>
      <c r="D3907" s="2">
        <v>0</v>
      </c>
      <c r="E3907" s="2">
        <v>1</v>
      </c>
      <c r="F3907" s="2">
        <v>1.6044242748012999E-2</v>
      </c>
      <c r="G3907" s="2">
        <v>2</v>
      </c>
    </row>
    <row r="3908" spans="1:7" x14ac:dyDescent="0.2">
      <c r="A3908" s="2" t="s">
        <v>60</v>
      </c>
      <c r="B3908" s="14">
        <v>38718</v>
      </c>
      <c r="C3908" s="2">
        <v>0.16537548738999999</v>
      </c>
      <c r="D3908" s="2">
        <v>0</v>
      </c>
      <c r="E3908" s="2">
        <v>1</v>
      </c>
      <c r="F3908" s="2">
        <v>1.2560266869159601E-2</v>
      </c>
      <c r="G3908" s="2">
        <v>2</v>
      </c>
    </row>
    <row r="3909" spans="1:7" x14ac:dyDescent="0.2">
      <c r="A3909" s="2" t="s">
        <v>60</v>
      </c>
      <c r="B3909" s="14">
        <v>38749</v>
      </c>
      <c r="C3909" s="2">
        <v>3.447761194E-2</v>
      </c>
      <c r="D3909" s="2">
        <v>0</v>
      </c>
      <c r="E3909" s="2">
        <v>1</v>
      </c>
      <c r="F3909" s="2">
        <v>1.4035562655405899E-2</v>
      </c>
      <c r="G3909" s="2">
        <v>2</v>
      </c>
    </row>
    <row r="3910" spans="1:7" x14ac:dyDescent="0.2">
      <c r="A3910" s="2" t="s">
        <v>60</v>
      </c>
      <c r="B3910" s="14">
        <v>38777</v>
      </c>
      <c r="C3910" s="2">
        <v>-2.8519213197000001E-2</v>
      </c>
      <c r="D3910" s="2">
        <v>0</v>
      </c>
      <c r="E3910" s="2">
        <v>1</v>
      </c>
      <c r="F3910" s="2">
        <v>1.6830500697250499E-2</v>
      </c>
      <c r="G3910" s="2">
        <v>2</v>
      </c>
    </row>
    <row r="3911" spans="1:7" x14ac:dyDescent="0.2">
      <c r="A3911" s="2" t="s">
        <v>60</v>
      </c>
      <c r="B3911" s="14">
        <v>38808</v>
      </c>
      <c r="C3911" s="2">
        <v>4.2201472206000002E-4</v>
      </c>
      <c r="D3911" s="2">
        <v>0</v>
      </c>
      <c r="E3911" s="2">
        <v>1</v>
      </c>
      <c r="F3911" s="2">
        <v>1.13671165815733E-2</v>
      </c>
      <c r="G3911" s="2">
        <v>2</v>
      </c>
    </row>
    <row r="3912" spans="1:7" x14ac:dyDescent="0.2">
      <c r="A3912" s="2" t="s">
        <v>60</v>
      </c>
      <c r="B3912" s="14">
        <v>38838</v>
      </c>
      <c r="C3912" s="2">
        <v>2.4487756122E-2</v>
      </c>
      <c r="D3912" s="2">
        <v>0</v>
      </c>
      <c r="E3912" s="2">
        <v>1</v>
      </c>
      <c r="F3912" s="2">
        <v>1.3031456094942899E-2</v>
      </c>
      <c r="G3912" s="2">
        <v>2</v>
      </c>
    </row>
    <row r="3913" spans="1:7" x14ac:dyDescent="0.2">
      <c r="A3913" s="2" t="s">
        <v>60</v>
      </c>
      <c r="B3913" s="14">
        <v>38869</v>
      </c>
      <c r="C3913" s="2">
        <v>-2.9268292683000002E-2</v>
      </c>
      <c r="D3913" s="2">
        <v>0</v>
      </c>
      <c r="E3913" s="2">
        <v>1</v>
      </c>
      <c r="F3913" s="2">
        <v>1.5066295538823E-2</v>
      </c>
      <c r="G3913" s="2">
        <v>2</v>
      </c>
    </row>
    <row r="3914" spans="1:7" x14ac:dyDescent="0.2">
      <c r="A3914" s="2" t="s">
        <v>60</v>
      </c>
      <c r="B3914" s="14">
        <v>38899</v>
      </c>
      <c r="C3914" s="2">
        <v>-8.6575182057999998E-3</v>
      </c>
      <c r="D3914" s="2">
        <v>0</v>
      </c>
      <c r="E3914" s="2">
        <v>1</v>
      </c>
      <c r="F3914" s="2">
        <v>1.5825374513523099E-2</v>
      </c>
      <c r="G3914" s="2">
        <v>2</v>
      </c>
    </row>
    <row r="3915" spans="1:7" x14ac:dyDescent="0.2">
      <c r="A3915" s="2" t="s">
        <v>60</v>
      </c>
      <c r="B3915" s="14">
        <v>38930</v>
      </c>
      <c r="C3915" s="2">
        <v>7.6923076922000002E-3</v>
      </c>
      <c r="D3915" s="2">
        <v>0</v>
      </c>
      <c r="E3915" s="2">
        <v>1</v>
      </c>
      <c r="F3915" s="2">
        <v>7.8774329983467995E-3</v>
      </c>
      <c r="G3915" s="2">
        <v>2</v>
      </c>
    </row>
    <row r="3916" spans="1:7" x14ac:dyDescent="0.2">
      <c r="A3916" s="2" t="s">
        <v>60</v>
      </c>
      <c r="B3916" s="14">
        <v>38961</v>
      </c>
      <c r="C3916" s="2">
        <v>1.7811704833999999E-2</v>
      </c>
      <c r="D3916" s="19">
        <v>1.3382572E-5</v>
      </c>
      <c r="E3916" s="2">
        <v>1</v>
      </c>
      <c r="F3916" s="2">
        <v>7.0256531918758396E-3</v>
      </c>
      <c r="G3916" s="2">
        <v>2</v>
      </c>
    </row>
    <row r="3917" spans="1:7" x14ac:dyDescent="0.2">
      <c r="A3917" s="2" t="s">
        <v>60</v>
      </c>
      <c r="B3917" s="14">
        <v>38991</v>
      </c>
      <c r="C3917" s="2">
        <v>-9.1401763329000008E-3</v>
      </c>
      <c r="D3917" s="2">
        <v>0</v>
      </c>
      <c r="E3917" s="2">
        <v>1</v>
      </c>
      <c r="F3917" s="2">
        <v>8.1734958366270396E-3</v>
      </c>
      <c r="G3917" s="2">
        <v>2</v>
      </c>
    </row>
    <row r="3918" spans="1:7" x14ac:dyDescent="0.2">
      <c r="A3918" s="2" t="s">
        <v>60</v>
      </c>
      <c r="B3918" s="14">
        <v>39022</v>
      </c>
      <c r="C3918" s="2">
        <v>-1.5306122448E-2</v>
      </c>
      <c r="D3918" s="2">
        <v>0</v>
      </c>
      <c r="E3918" s="2">
        <v>1</v>
      </c>
      <c r="F3918" s="2">
        <v>7.8954886704751502E-3</v>
      </c>
      <c r="G3918" s="2">
        <v>2</v>
      </c>
    </row>
    <row r="3919" spans="1:7" x14ac:dyDescent="0.2">
      <c r="A3919" s="2" t="s">
        <v>60</v>
      </c>
      <c r="B3919" s="14">
        <v>39052</v>
      </c>
      <c r="C3919" s="2">
        <v>0.19689119171</v>
      </c>
      <c r="D3919" s="2">
        <v>0</v>
      </c>
      <c r="E3919" s="2">
        <v>1</v>
      </c>
      <c r="F3919" s="2">
        <v>6.7089545593501804E-3</v>
      </c>
      <c r="G3919" s="2">
        <v>2</v>
      </c>
    </row>
    <row r="3920" spans="1:7" x14ac:dyDescent="0.2">
      <c r="A3920" s="2" t="s">
        <v>60</v>
      </c>
      <c r="B3920" s="14">
        <v>39083</v>
      </c>
      <c r="C3920" s="2">
        <v>4.0671906755999999E-2</v>
      </c>
      <c r="D3920" s="2">
        <v>0</v>
      </c>
      <c r="E3920" s="2">
        <v>1</v>
      </c>
      <c r="F3920" s="2">
        <v>1.31809574192574E-2</v>
      </c>
      <c r="G3920" s="2">
        <v>2</v>
      </c>
    </row>
    <row r="3921" spans="1:7" x14ac:dyDescent="0.2">
      <c r="A3921" s="2" t="s">
        <v>60</v>
      </c>
      <c r="B3921" s="14">
        <v>39114</v>
      </c>
      <c r="C3921" s="2">
        <v>-2.9411764706000001E-2</v>
      </c>
      <c r="D3921" s="2">
        <v>0</v>
      </c>
      <c r="E3921" s="2">
        <v>1</v>
      </c>
      <c r="F3921" s="2">
        <v>1.4289489129952201E-2</v>
      </c>
      <c r="G3921" s="2">
        <v>2</v>
      </c>
    </row>
    <row r="3922" spans="1:7" x14ac:dyDescent="0.2">
      <c r="A3922" s="2" t="s">
        <v>60</v>
      </c>
      <c r="B3922" s="14">
        <v>39142</v>
      </c>
      <c r="C3922" s="2">
        <v>8.2251082251000002E-2</v>
      </c>
      <c r="D3922" s="2">
        <v>0</v>
      </c>
      <c r="E3922" s="2">
        <v>1</v>
      </c>
      <c r="F3922" s="2">
        <v>1.33105570681677E-2</v>
      </c>
      <c r="G3922" s="2">
        <v>2</v>
      </c>
    </row>
    <row r="3923" spans="1:7" x14ac:dyDescent="0.2">
      <c r="A3923" s="2" t="s">
        <v>60</v>
      </c>
      <c r="B3923" s="14">
        <v>39173</v>
      </c>
      <c r="C3923" s="2">
        <v>0.13074805784999999</v>
      </c>
      <c r="D3923" s="2">
        <v>1.8354063E-3</v>
      </c>
      <c r="E3923" s="2">
        <v>1</v>
      </c>
      <c r="F3923" s="2">
        <v>1.50174460316227E-2</v>
      </c>
      <c r="G3923" s="2">
        <v>2</v>
      </c>
    </row>
    <row r="3924" spans="1:7" x14ac:dyDescent="0.2">
      <c r="A3924" s="2" t="s">
        <v>60</v>
      </c>
      <c r="B3924" s="14">
        <v>39203</v>
      </c>
      <c r="C3924" s="2">
        <v>-2.5714285714000001E-2</v>
      </c>
      <c r="D3924" s="19">
        <v>4.517287E-5</v>
      </c>
      <c r="E3924" s="2">
        <v>1</v>
      </c>
      <c r="F3924" s="2">
        <v>1.8924626052666399E-2</v>
      </c>
      <c r="G3924" s="2">
        <v>2</v>
      </c>
    </row>
    <row r="3925" spans="1:7" x14ac:dyDescent="0.2">
      <c r="A3925" s="2" t="s">
        <v>60</v>
      </c>
      <c r="B3925" s="14">
        <v>39234</v>
      </c>
      <c r="C3925" s="2">
        <v>0.31598240469</v>
      </c>
      <c r="D3925" s="2">
        <v>6.0888024999999999E-4</v>
      </c>
      <c r="E3925" s="2">
        <v>1</v>
      </c>
      <c r="F3925" s="2">
        <v>1.8722577477318599E-2</v>
      </c>
      <c r="G3925" s="2">
        <v>2</v>
      </c>
    </row>
    <row r="3926" spans="1:7" x14ac:dyDescent="0.2">
      <c r="A3926" s="2" t="s">
        <v>60</v>
      </c>
      <c r="B3926" s="14">
        <v>39264</v>
      </c>
      <c r="C3926" s="2">
        <v>4.6661696741E-2</v>
      </c>
      <c r="D3926" s="2">
        <v>-6.1897736000000002E-4</v>
      </c>
      <c r="E3926" s="2">
        <v>1</v>
      </c>
      <c r="F3926" s="2">
        <v>2.2191621303495199E-2</v>
      </c>
      <c r="G3926" s="2">
        <v>2</v>
      </c>
    </row>
    <row r="3927" spans="1:7" x14ac:dyDescent="0.2">
      <c r="A3927" s="2" t="s">
        <v>60</v>
      </c>
      <c r="B3927" s="14">
        <v>39295</v>
      </c>
      <c r="C3927" s="2">
        <v>-2.144772118E-2</v>
      </c>
      <c r="D3927" s="2">
        <v>-1.8182899000000001E-4</v>
      </c>
      <c r="E3927" s="2">
        <v>1</v>
      </c>
      <c r="F3927" s="2">
        <v>2.0636125037662802E-2</v>
      </c>
      <c r="G3927" s="2">
        <v>2</v>
      </c>
    </row>
    <row r="3928" spans="1:7" x14ac:dyDescent="0.2">
      <c r="A3928" s="2" t="s">
        <v>60</v>
      </c>
      <c r="B3928" s="14">
        <v>39326</v>
      </c>
      <c r="C3928" s="2">
        <v>0.15068493150000001</v>
      </c>
      <c r="D3928" s="19">
        <v>1.2044314000000001E-5</v>
      </c>
      <c r="E3928" s="2">
        <v>1</v>
      </c>
      <c r="F3928" s="2">
        <v>2.0947959892378298E-2</v>
      </c>
      <c r="G3928" s="2">
        <v>2</v>
      </c>
    </row>
    <row r="3929" spans="1:7" x14ac:dyDescent="0.2">
      <c r="A3929" s="2" t="s">
        <v>60</v>
      </c>
      <c r="B3929" s="14">
        <v>39356</v>
      </c>
      <c r="C3929" s="2">
        <v>0.10167038061</v>
      </c>
      <c r="D3929" s="2">
        <v>-2.0408421000000002E-3</v>
      </c>
      <c r="E3929" s="2">
        <v>1</v>
      </c>
      <c r="F3929" s="2">
        <v>2.2643425736663499E-2</v>
      </c>
      <c r="G3929" s="2">
        <v>2</v>
      </c>
    </row>
    <row r="3930" spans="1:7" x14ac:dyDescent="0.2">
      <c r="A3930" s="2" t="s">
        <v>60</v>
      </c>
      <c r="B3930" s="14">
        <v>39387</v>
      </c>
      <c r="C3930" s="2">
        <v>7.3913043479000004E-2</v>
      </c>
      <c r="D3930" s="2">
        <v>-1.6796465E-4</v>
      </c>
      <c r="E3930" s="2">
        <v>1</v>
      </c>
      <c r="F3930" s="2">
        <v>2.1542993152102199E-2</v>
      </c>
      <c r="G3930" s="2">
        <v>2</v>
      </c>
    </row>
    <row r="3931" spans="1:7" x14ac:dyDescent="0.2">
      <c r="A3931" s="2" t="s">
        <v>60</v>
      </c>
      <c r="B3931" s="14">
        <v>39417</v>
      </c>
      <c r="C3931" s="2">
        <v>1.1943319838E-2</v>
      </c>
      <c r="D3931" s="2">
        <v>0</v>
      </c>
      <c r="E3931" s="2">
        <v>1</v>
      </c>
      <c r="F3931" s="2">
        <v>2.4177395648355901E-2</v>
      </c>
      <c r="G3931" s="2">
        <v>2</v>
      </c>
    </row>
    <row r="3932" spans="1:7" x14ac:dyDescent="0.2">
      <c r="A3932" s="2" t="s">
        <v>60</v>
      </c>
      <c r="B3932" s="14">
        <v>39448</v>
      </c>
      <c r="C3932" s="2">
        <v>-9.5106979511E-2</v>
      </c>
      <c r="D3932" s="2">
        <v>0</v>
      </c>
      <c r="E3932" s="2">
        <v>1</v>
      </c>
      <c r="F3932" s="2">
        <v>1.52916717330929E-2</v>
      </c>
      <c r="G3932" s="2">
        <v>2</v>
      </c>
    </row>
    <row r="3933" spans="1:7" x14ac:dyDescent="0.2">
      <c r="A3933" s="2" t="s">
        <v>60</v>
      </c>
      <c r="B3933" s="14">
        <v>39479</v>
      </c>
      <c r="C3933" s="2">
        <v>0.11111111110999999</v>
      </c>
      <c r="D3933" s="2">
        <v>0</v>
      </c>
      <c r="E3933" s="2">
        <v>1</v>
      </c>
      <c r="F3933" s="2">
        <v>1.16480544771774E-2</v>
      </c>
      <c r="G3933" s="2">
        <v>2</v>
      </c>
    </row>
    <row r="3934" spans="1:7" x14ac:dyDescent="0.2">
      <c r="A3934" s="2" t="s">
        <v>60</v>
      </c>
      <c r="B3934" s="14">
        <v>39508</v>
      </c>
      <c r="C3934" s="2">
        <v>-5.4000000000999998E-2</v>
      </c>
      <c r="D3934" s="2">
        <v>0</v>
      </c>
      <c r="E3934" s="2">
        <v>1</v>
      </c>
      <c r="F3934" s="2">
        <v>1.5177985427405E-2</v>
      </c>
      <c r="G3934" s="2">
        <v>2</v>
      </c>
    </row>
    <row r="3935" spans="1:7" x14ac:dyDescent="0.2">
      <c r="A3935" s="2" t="s">
        <v>60</v>
      </c>
      <c r="B3935" s="14">
        <v>39539</v>
      </c>
      <c r="C3935" s="2">
        <v>6.6321220439999995E-2</v>
      </c>
      <c r="D3935" s="2">
        <v>0</v>
      </c>
      <c r="E3935" s="2">
        <v>1</v>
      </c>
      <c r="F3935" s="2">
        <v>9.50583829200107E-3</v>
      </c>
      <c r="G3935" s="2">
        <v>2</v>
      </c>
    </row>
    <row r="3936" spans="1:7" x14ac:dyDescent="0.2">
      <c r="A3936" s="2" t="s">
        <v>60</v>
      </c>
      <c r="B3936" s="14">
        <v>39569</v>
      </c>
      <c r="C3936" s="2">
        <v>0</v>
      </c>
      <c r="D3936" s="2">
        <v>0</v>
      </c>
      <c r="E3936" s="2">
        <v>1</v>
      </c>
      <c r="F3936" s="2">
        <v>8.3195173088153693E-3</v>
      </c>
      <c r="G3936" s="2">
        <v>2</v>
      </c>
    </row>
    <row r="3937" spans="1:7" x14ac:dyDescent="0.2">
      <c r="A3937" s="2" t="s">
        <v>60</v>
      </c>
      <c r="B3937" s="14">
        <v>39600</v>
      </c>
      <c r="C3937" s="2">
        <v>0.58399999999999996</v>
      </c>
      <c r="D3937" s="2">
        <v>0</v>
      </c>
      <c r="E3937" s="2">
        <v>1</v>
      </c>
      <c r="F3937" s="2">
        <v>6.1555888212663596E-3</v>
      </c>
      <c r="G3937" s="2">
        <v>2</v>
      </c>
    </row>
    <row r="3938" spans="1:7" x14ac:dyDescent="0.2">
      <c r="A3938" s="2" t="s">
        <v>60</v>
      </c>
      <c r="B3938" s="14">
        <v>39630</v>
      </c>
      <c r="C3938" s="2">
        <v>-0.14962620597000001</v>
      </c>
      <c r="D3938" s="2">
        <v>0</v>
      </c>
      <c r="E3938" s="2">
        <v>1</v>
      </c>
      <c r="F3938" s="2">
        <v>2.2868192300191902E-2</v>
      </c>
      <c r="G3938" s="2">
        <v>2</v>
      </c>
    </row>
    <row r="3939" spans="1:7" x14ac:dyDescent="0.2">
      <c r="A3939" s="2" t="s">
        <v>60</v>
      </c>
      <c r="B3939" s="14">
        <v>39661</v>
      </c>
      <c r="C3939" s="2">
        <v>-8.2500372966999996E-2</v>
      </c>
      <c r="D3939" s="2">
        <v>0</v>
      </c>
      <c r="E3939" s="2">
        <v>1</v>
      </c>
      <c r="F3939" s="2">
        <v>8.9445903048908804E-3</v>
      </c>
      <c r="G3939" s="2">
        <v>2</v>
      </c>
    </row>
    <row r="3940" spans="1:7" x14ac:dyDescent="0.2">
      <c r="A3940" s="2" t="s">
        <v>60</v>
      </c>
      <c r="B3940" s="14">
        <v>39692</v>
      </c>
      <c r="C3940" s="2">
        <v>-0.18699186992</v>
      </c>
      <c r="D3940" s="2">
        <v>0</v>
      </c>
      <c r="E3940" s="2">
        <v>1</v>
      </c>
      <c r="F3940" s="2">
        <v>3.6102709806821098E-3</v>
      </c>
      <c r="G3940" s="2">
        <v>2</v>
      </c>
    </row>
    <row r="3941" spans="1:7" x14ac:dyDescent="0.2">
      <c r="A3941" s="2" t="s">
        <v>60</v>
      </c>
      <c r="B3941" s="14">
        <v>39722</v>
      </c>
      <c r="C3941" s="2">
        <v>-0.3330315855</v>
      </c>
      <c r="D3941" s="2">
        <v>0</v>
      </c>
      <c r="E3941" s="2">
        <v>1</v>
      </c>
      <c r="F3941" s="2">
        <v>4.2818719971126398E-4</v>
      </c>
      <c r="G3941" s="2">
        <v>2</v>
      </c>
    </row>
    <row r="3942" spans="1:7" x14ac:dyDescent="0.2">
      <c r="A3942" s="2" t="s">
        <v>60</v>
      </c>
      <c r="B3942" s="14">
        <v>39753</v>
      </c>
      <c r="C3942" s="2">
        <v>-6.2027231467000003E-2</v>
      </c>
      <c r="D3942" s="2">
        <v>0</v>
      </c>
      <c r="E3942" s="2">
        <v>1</v>
      </c>
      <c r="F3942" s="2">
        <v>-9.7150042857753506E-3</v>
      </c>
      <c r="G3942" s="2">
        <v>2</v>
      </c>
    </row>
    <row r="3943" spans="1:7" x14ac:dyDescent="0.2">
      <c r="A3943" s="2" t="s">
        <v>60</v>
      </c>
      <c r="B3943" s="14">
        <v>39783</v>
      </c>
      <c r="C3943" s="2">
        <v>-8.2258064517000004E-2</v>
      </c>
      <c r="D3943" s="2">
        <v>0</v>
      </c>
      <c r="E3943" s="2">
        <v>1</v>
      </c>
      <c r="F3943" s="2">
        <v>-1.13780456443686E-2</v>
      </c>
      <c r="G3943" s="2">
        <v>2</v>
      </c>
    </row>
    <row r="3944" spans="1:7" x14ac:dyDescent="0.2">
      <c r="A3944" s="2" t="s">
        <v>61</v>
      </c>
      <c r="B3944" s="14">
        <v>37591</v>
      </c>
      <c r="E3944" s="2">
        <v>1</v>
      </c>
      <c r="G3944" s="2">
        <v>2</v>
      </c>
    </row>
    <row r="3945" spans="1:7" x14ac:dyDescent="0.2">
      <c r="A3945" s="2" t="s">
        <v>61</v>
      </c>
      <c r="B3945" s="14">
        <v>37622</v>
      </c>
      <c r="E3945" s="2">
        <v>1</v>
      </c>
      <c r="G3945" s="2">
        <v>2</v>
      </c>
    </row>
    <row r="3946" spans="1:7" x14ac:dyDescent="0.2">
      <c r="A3946" s="2" t="s">
        <v>61</v>
      </c>
      <c r="B3946" s="14">
        <v>37653</v>
      </c>
      <c r="E3946" s="2">
        <v>1</v>
      </c>
      <c r="G3946" s="2">
        <v>2</v>
      </c>
    </row>
    <row r="3947" spans="1:7" x14ac:dyDescent="0.2">
      <c r="A3947" s="2" t="s">
        <v>61</v>
      </c>
      <c r="B3947" s="14">
        <v>37681</v>
      </c>
      <c r="E3947" s="2">
        <v>1</v>
      </c>
      <c r="G3947" s="2">
        <v>2</v>
      </c>
    </row>
    <row r="3948" spans="1:7" x14ac:dyDescent="0.2">
      <c r="A3948" s="2" t="s">
        <v>61</v>
      </c>
      <c r="B3948" s="14">
        <v>37712</v>
      </c>
      <c r="E3948" s="2">
        <v>1</v>
      </c>
      <c r="G3948" s="2">
        <v>2</v>
      </c>
    </row>
    <row r="3949" spans="1:7" x14ac:dyDescent="0.2">
      <c r="A3949" s="2" t="s">
        <v>61</v>
      </c>
      <c r="B3949" s="14">
        <v>37742</v>
      </c>
      <c r="E3949" s="2">
        <v>1</v>
      </c>
      <c r="G3949" s="2">
        <v>2</v>
      </c>
    </row>
    <row r="3950" spans="1:7" x14ac:dyDescent="0.2">
      <c r="A3950" s="2" t="s">
        <v>61</v>
      </c>
      <c r="B3950" s="14">
        <v>37773</v>
      </c>
      <c r="E3950" s="2">
        <v>1</v>
      </c>
      <c r="G3950" s="2">
        <v>2</v>
      </c>
    </row>
    <row r="3951" spans="1:7" x14ac:dyDescent="0.2">
      <c r="A3951" s="2" t="s">
        <v>61</v>
      </c>
      <c r="B3951" s="14">
        <v>37803</v>
      </c>
      <c r="E3951" s="2">
        <v>1</v>
      </c>
      <c r="G3951" s="2">
        <v>2</v>
      </c>
    </row>
    <row r="3952" spans="1:7" x14ac:dyDescent="0.2">
      <c r="A3952" s="2" t="s">
        <v>61</v>
      </c>
      <c r="B3952" s="14">
        <v>37834</v>
      </c>
      <c r="E3952" s="2">
        <v>1</v>
      </c>
      <c r="G3952" s="2">
        <v>2</v>
      </c>
    </row>
    <row r="3953" spans="1:7" x14ac:dyDescent="0.2">
      <c r="A3953" s="2" t="s">
        <v>61</v>
      </c>
      <c r="B3953" s="14">
        <v>37865</v>
      </c>
      <c r="E3953" s="2">
        <v>1</v>
      </c>
      <c r="G3953" s="2">
        <v>2</v>
      </c>
    </row>
    <row r="3954" spans="1:7" x14ac:dyDescent="0.2">
      <c r="A3954" s="2" t="s">
        <v>61</v>
      </c>
      <c r="B3954" s="14">
        <v>37895</v>
      </c>
      <c r="E3954" s="2">
        <v>1</v>
      </c>
      <c r="G3954" s="2">
        <v>2</v>
      </c>
    </row>
    <row r="3955" spans="1:7" x14ac:dyDescent="0.2">
      <c r="A3955" s="2" t="s">
        <v>61</v>
      </c>
      <c r="B3955" s="14">
        <v>37926</v>
      </c>
      <c r="E3955" s="2">
        <v>1</v>
      </c>
      <c r="G3955" s="2">
        <v>2</v>
      </c>
    </row>
    <row r="3956" spans="1:7" x14ac:dyDescent="0.2">
      <c r="A3956" s="2" t="s">
        <v>61</v>
      </c>
      <c r="B3956" s="14">
        <v>37956</v>
      </c>
      <c r="E3956" s="2">
        <v>1</v>
      </c>
      <c r="G3956" s="2">
        <v>2</v>
      </c>
    </row>
    <row r="3957" spans="1:7" x14ac:dyDescent="0.2">
      <c r="A3957" s="2" t="s">
        <v>61</v>
      </c>
      <c r="B3957" s="14">
        <v>37987</v>
      </c>
      <c r="E3957" s="2">
        <v>1</v>
      </c>
      <c r="G3957" s="2">
        <v>2</v>
      </c>
    </row>
    <row r="3958" spans="1:7" x14ac:dyDescent="0.2">
      <c r="A3958" s="2" t="s">
        <v>61</v>
      </c>
      <c r="B3958" s="14">
        <v>38018</v>
      </c>
      <c r="E3958" s="2">
        <v>1</v>
      </c>
      <c r="G3958" s="2">
        <v>2</v>
      </c>
    </row>
    <row r="3959" spans="1:7" x14ac:dyDescent="0.2">
      <c r="A3959" s="2" t="s">
        <v>61</v>
      </c>
      <c r="B3959" s="14">
        <v>38047</v>
      </c>
      <c r="E3959" s="2">
        <v>1</v>
      </c>
      <c r="G3959" s="2">
        <v>2</v>
      </c>
    </row>
    <row r="3960" spans="1:7" x14ac:dyDescent="0.2">
      <c r="A3960" s="2" t="s">
        <v>61</v>
      </c>
      <c r="B3960" s="14">
        <v>38078</v>
      </c>
      <c r="E3960" s="2">
        <v>1</v>
      </c>
      <c r="G3960" s="2">
        <v>2</v>
      </c>
    </row>
    <row r="3961" spans="1:7" x14ac:dyDescent="0.2">
      <c r="A3961" s="2" t="s">
        <v>61</v>
      </c>
      <c r="B3961" s="14">
        <v>38108</v>
      </c>
      <c r="E3961" s="2">
        <v>1</v>
      </c>
      <c r="G3961" s="2">
        <v>2</v>
      </c>
    </row>
    <row r="3962" spans="1:7" x14ac:dyDescent="0.2">
      <c r="A3962" s="2" t="s">
        <v>61</v>
      </c>
      <c r="B3962" s="14">
        <v>38139</v>
      </c>
      <c r="E3962" s="2">
        <v>1</v>
      </c>
      <c r="G3962" s="2">
        <v>2</v>
      </c>
    </row>
    <row r="3963" spans="1:7" x14ac:dyDescent="0.2">
      <c r="A3963" s="2" t="s">
        <v>61</v>
      </c>
      <c r="B3963" s="14">
        <v>38169</v>
      </c>
      <c r="E3963" s="2">
        <v>1</v>
      </c>
      <c r="G3963" s="2">
        <v>2</v>
      </c>
    </row>
    <row r="3964" spans="1:7" x14ac:dyDescent="0.2">
      <c r="A3964" s="2" t="s">
        <v>61</v>
      </c>
      <c r="B3964" s="14">
        <v>38200</v>
      </c>
      <c r="E3964" s="2">
        <v>1</v>
      </c>
      <c r="G3964" s="2">
        <v>2</v>
      </c>
    </row>
    <row r="3965" spans="1:7" x14ac:dyDescent="0.2">
      <c r="A3965" s="2" t="s">
        <v>61</v>
      </c>
      <c r="B3965" s="14">
        <v>38231</v>
      </c>
      <c r="E3965" s="2">
        <v>1</v>
      </c>
      <c r="G3965" s="2">
        <v>2</v>
      </c>
    </row>
    <row r="3966" spans="1:7" x14ac:dyDescent="0.2">
      <c r="A3966" s="2" t="s">
        <v>61</v>
      </c>
      <c r="B3966" s="14">
        <v>38261</v>
      </c>
      <c r="E3966" s="2">
        <v>1</v>
      </c>
      <c r="G3966" s="2">
        <v>2</v>
      </c>
    </row>
    <row r="3967" spans="1:7" x14ac:dyDescent="0.2">
      <c r="A3967" s="2" t="s">
        <v>61</v>
      </c>
      <c r="B3967" s="14">
        <v>38292</v>
      </c>
      <c r="E3967" s="2">
        <v>1</v>
      </c>
      <c r="G3967" s="2">
        <v>2</v>
      </c>
    </row>
    <row r="3968" spans="1:7" x14ac:dyDescent="0.2">
      <c r="A3968" s="2" t="s">
        <v>61</v>
      </c>
      <c r="B3968" s="14">
        <v>38322</v>
      </c>
      <c r="E3968" s="2">
        <v>1</v>
      </c>
      <c r="G3968" s="2">
        <v>2</v>
      </c>
    </row>
    <row r="3969" spans="1:7" x14ac:dyDescent="0.2">
      <c r="A3969" s="2" t="s">
        <v>61</v>
      </c>
      <c r="B3969" s="14">
        <v>38353</v>
      </c>
      <c r="E3969" s="2">
        <v>1</v>
      </c>
      <c r="G3969" s="2">
        <v>2</v>
      </c>
    </row>
    <row r="3970" spans="1:7" x14ac:dyDescent="0.2">
      <c r="A3970" s="2" t="s">
        <v>61</v>
      </c>
      <c r="B3970" s="14">
        <v>38384</v>
      </c>
      <c r="E3970" s="2">
        <v>1</v>
      </c>
      <c r="G3970" s="2">
        <v>2</v>
      </c>
    </row>
    <row r="3971" spans="1:7" x14ac:dyDescent="0.2">
      <c r="A3971" s="2" t="s">
        <v>61</v>
      </c>
      <c r="B3971" s="14">
        <v>38412</v>
      </c>
      <c r="E3971" s="2">
        <v>1</v>
      </c>
      <c r="G3971" s="2">
        <v>2</v>
      </c>
    </row>
    <row r="3972" spans="1:7" x14ac:dyDescent="0.2">
      <c r="A3972" s="2" t="s">
        <v>61</v>
      </c>
      <c r="B3972" s="14">
        <v>38443</v>
      </c>
      <c r="E3972" s="2">
        <v>1</v>
      </c>
      <c r="G3972" s="2">
        <v>2</v>
      </c>
    </row>
    <row r="3973" spans="1:7" x14ac:dyDescent="0.2">
      <c r="A3973" s="2" t="s">
        <v>61</v>
      </c>
      <c r="B3973" s="14">
        <v>38473</v>
      </c>
      <c r="E3973" s="2">
        <v>1</v>
      </c>
      <c r="G3973" s="2">
        <v>2</v>
      </c>
    </row>
    <row r="3974" spans="1:7" x14ac:dyDescent="0.2">
      <c r="A3974" s="2" t="s">
        <v>61</v>
      </c>
      <c r="B3974" s="14">
        <v>38504</v>
      </c>
      <c r="E3974" s="2">
        <v>1</v>
      </c>
      <c r="G3974" s="2">
        <v>2</v>
      </c>
    </row>
    <row r="3975" spans="1:7" x14ac:dyDescent="0.2">
      <c r="A3975" s="2" t="s">
        <v>61</v>
      </c>
      <c r="B3975" s="14">
        <v>38534</v>
      </c>
      <c r="E3975" s="2">
        <v>1</v>
      </c>
      <c r="G3975" s="2">
        <v>2</v>
      </c>
    </row>
    <row r="3976" spans="1:7" x14ac:dyDescent="0.2">
      <c r="A3976" s="2" t="s">
        <v>61</v>
      </c>
      <c r="B3976" s="14">
        <v>38565</v>
      </c>
      <c r="E3976" s="2">
        <v>1</v>
      </c>
      <c r="G3976" s="2">
        <v>2</v>
      </c>
    </row>
    <row r="3977" spans="1:7" x14ac:dyDescent="0.2">
      <c r="A3977" s="2" t="s">
        <v>61</v>
      </c>
      <c r="B3977" s="14">
        <v>38596</v>
      </c>
      <c r="E3977" s="2">
        <v>1</v>
      </c>
      <c r="G3977" s="2">
        <v>2</v>
      </c>
    </row>
    <row r="3978" spans="1:7" x14ac:dyDescent="0.2">
      <c r="A3978" s="2" t="s">
        <v>61</v>
      </c>
      <c r="B3978" s="14">
        <v>38626</v>
      </c>
      <c r="E3978" s="2">
        <v>1</v>
      </c>
      <c r="G3978" s="2">
        <v>2</v>
      </c>
    </row>
    <row r="3979" spans="1:7" x14ac:dyDescent="0.2">
      <c r="A3979" s="2" t="s">
        <v>61</v>
      </c>
      <c r="B3979" s="14">
        <v>38657</v>
      </c>
      <c r="E3979" s="2">
        <v>1</v>
      </c>
      <c r="G3979" s="2">
        <v>2</v>
      </c>
    </row>
    <row r="3980" spans="1:7" x14ac:dyDescent="0.2">
      <c r="A3980" s="2" t="s">
        <v>61</v>
      </c>
      <c r="B3980" s="14">
        <v>38687</v>
      </c>
      <c r="C3980" s="2">
        <v>-3.7037037037000002E-2</v>
      </c>
      <c r="D3980" s="2">
        <v>0</v>
      </c>
      <c r="E3980" s="2">
        <v>1</v>
      </c>
      <c r="G3980" s="2">
        <v>2</v>
      </c>
    </row>
    <row r="3981" spans="1:7" x14ac:dyDescent="0.2">
      <c r="A3981" s="2" t="s">
        <v>61</v>
      </c>
      <c r="B3981" s="14">
        <v>38718</v>
      </c>
      <c r="C3981" s="2">
        <v>2.4038461537000001E-2</v>
      </c>
      <c r="D3981" s="2">
        <v>0</v>
      </c>
      <c r="E3981" s="2">
        <v>1</v>
      </c>
      <c r="G3981" s="2">
        <v>2</v>
      </c>
    </row>
    <row r="3982" spans="1:7" x14ac:dyDescent="0.2">
      <c r="A3982" s="2" t="s">
        <v>61</v>
      </c>
      <c r="B3982" s="14">
        <v>38749</v>
      </c>
      <c r="C3982" s="2">
        <v>0.16431924882999999</v>
      </c>
      <c r="D3982" s="2">
        <v>0</v>
      </c>
      <c r="E3982" s="2">
        <v>1</v>
      </c>
      <c r="G3982" s="2">
        <v>2</v>
      </c>
    </row>
    <row r="3983" spans="1:7" x14ac:dyDescent="0.2">
      <c r="A3983" s="2" t="s">
        <v>61</v>
      </c>
      <c r="B3983" s="14">
        <v>38777</v>
      </c>
      <c r="C3983" s="2">
        <v>0.18951612903000001</v>
      </c>
      <c r="D3983" s="2">
        <v>0</v>
      </c>
      <c r="E3983" s="2">
        <v>1</v>
      </c>
      <c r="G3983" s="2">
        <v>2</v>
      </c>
    </row>
    <row r="3984" spans="1:7" x14ac:dyDescent="0.2">
      <c r="A3984" s="2" t="s">
        <v>61</v>
      </c>
      <c r="B3984" s="14">
        <v>38808</v>
      </c>
      <c r="C3984" s="2">
        <v>0.21355932203</v>
      </c>
      <c r="D3984" s="2">
        <v>0</v>
      </c>
      <c r="E3984" s="2">
        <v>1</v>
      </c>
      <c r="G3984" s="2">
        <v>2</v>
      </c>
    </row>
    <row r="3985" spans="1:7" x14ac:dyDescent="0.2">
      <c r="A3985" s="2" t="s">
        <v>61</v>
      </c>
      <c r="B3985" s="14">
        <v>38838</v>
      </c>
      <c r="C3985" s="2">
        <v>1.2023837981999999E-2</v>
      </c>
      <c r="D3985" s="2">
        <v>0</v>
      </c>
      <c r="E3985" s="2">
        <v>1</v>
      </c>
      <c r="G3985" s="2">
        <v>2</v>
      </c>
    </row>
    <row r="3986" spans="1:7" x14ac:dyDescent="0.2">
      <c r="A3986" s="2" t="s">
        <v>61</v>
      </c>
      <c r="B3986" s="14">
        <v>38869</v>
      </c>
      <c r="C3986" s="2">
        <v>5.0420168066999997E-2</v>
      </c>
      <c r="D3986" s="2">
        <v>0</v>
      </c>
      <c r="E3986" s="2">
        <v>1</v>
      </c>
      <c r="G3986" s="2">
        <v>2</v>
      </c>
    </row>
    <row r="3987" spans="1:7" x14ac:dyDescent="0.2">
      <c r="A3987" s="2" t="s">
        <v>61</v>
      </c>
      <c r="B3987" s="14">
        <v>38899</v>
      </c>
      <c r="C3987" s="2">
        <v>8.0000000015999998E-3</v>
      </c>
      <c r="D3987" s="2">
        <v>0</v>
      </c>
      <c r="E3987" s="2">
        <v>1</v>
      </c>
      <c r="G3987" s="2">
        <v>2</v>
      </c>
    </row>
    <row r="3988" spans="1:7" x14ac:dyDescent="0.2">
      <c r="A3988" s="2" t="s">
        <v>61</v>
      </c>
      <c r="B3988" s="14">
        <v>38930</v>
      </c>
      <c r="C3988" s="2">
        <v>-3.4391534392000003E-2</v>
      </c>
      <c r="D3988" s="19">
        <v>2.3281250999999999E-5</v>
      </c>
      <c r="E3988" s="2">
        <v>1</v>
      </c>
      <c r="F3988" s="2">
        <v>3.8020951661914798E-2</v>
      </c>
      <c r="G3988" s="2">
        <v>2</v>
      </c>
    </row>
    <row r="3989" spans="1:7" x14ac:dyDescent="0.2">
      <c r="A3989" s="2" t="s">
        <v>61</v>
      </c>
      <c r="B3989" s="14">
        <v>38961</v>
      </c>
      <c r="C3989" s="2">
        <v>2.4657534246E-2</v>
      </c>
      <c r="D3989" s="2">
        <v>0</v>
      </c>
      <c r="E3989" s="2">
        <v>1</v>
      </c>
      <c r="F3989" s="2">
        <v>3.2384471420596299E-2</v>
      </c>
      <c r="G3989" s="2">
        <v>2</v>
      </c>
    </row>
    <row r="3990" spans="1:7" x14ac:dyDescent="0.2">
      <c r="A3990" s="2" t="s">
        <v>61</v>
      </c>
      <c r="B3990" s="14">
        <v>38991</v>
      </c>
      <c r="C3990" s="2">
        <v>0.10962566845000001</v>
      </c>
      <c r="D3990" s="2">
        <v>0</v>
      </c>
      <c r="E3990" s="2">
        <v>1</v>
      </c>
      <c r="F3990" s="2">
        <v>2.74789827057298E-2</v>
      </c>
      <c r="G3990" s="2">
        <v>2</v>
      </c>
    </row>
    <row r="3991" spans="1:7" x14ac:dyDescent="0.2">
      <c r="A3991" s="2" t="s">
        <v>61</v>
      </c>
      <c r="B3991" s="14">
        <v>39022</v>
      </c>
      <c r="C3991" s="2">
        <v>0.14457831325000001</v>
      </c>
      <c r="D3991" s="2">
        <v>0</v>
      </c>
      <c r="E3991" s="2">
        <v>1</v>
      </c>
      <c r="F3991" s="2">
        <v>2.4172847073585399E-2</v>
      </c>
      <c r="G3991" s="2">
        <v>2</v>
      </c>
    </row>
    <row r="3992" spans="1:7" x14ac:dyDescent="0.2">
      <c r="A3992" s="2" t="s">
        <v>61</v>
      </c>
      <c r="B3992" s="14">
        <v>39052</v>
      </c>
      <c r="C3992" s="2">
        <v>-7.5789473694000001E-3</v>
      </c>
      <c r="D3992" s="2">
        <v>0</v>
      </c>
      <c r="E3992" s="2">
        <v>1</v>
      </c>
      <c r="F3992" s="2">
        <v>2.7673551595648199E-2</v>
      </c>
      <c r="G3992" s="2">
        <v>2</v>
      </c>
    </row>
    <row r="3993" spans="1:7" x14ac:dyDescent="0.2">
      <c r="A3993" s="2" t="s">
        <v>61</v>
      </c>
      <c r="B3993" s="14">
        <v>39083</v>
      </c>
      <c r="C3993" s="2">
        <v>0.32904115401</v>
      </c>
      <c r="D3993" s="2">
        <v>0</v>
      </c>
      <c r="E3993" s="2">
        <v>1</v>
      </c>
      <c r="F3993" s="2">
        <v>2.5959474306186101E-2</v>
      </c>
      <c r="G3993" s="2">
        <v>2</v>
      </c>
    </row>
    <row r="3994" spans="1:7" x14ac:dyDescent="0.2">
      <c r="A3994" s="2" t="s">
        <v>61</v>
      </c>
      <c r="B3994" s="14">
        <v>39114</v>
      </c>
      <c r="C3994" s="2">
        <v>-1.0390895595E-2</v>
      </c>
      <c r="D3994" s="2">
        <v>0</v>
      </c>
      <c r="E3994" s="2">
        <v>1</v>
      </c>
      <c r="F3994" s="2">
        <v>3.5061125851308703E-2</v>
      </c>
      <c r="G3994" s="2">
        <v>2</v>
      </c>
    </row>
    <row r="3995" spans="1:7" x14ac:dyDescent="0.2">
      <c r="A3995" s="2" t="s">
        <v>61</v>
      </c>
      <c r="B3995" s="14">
        <v>39142</v>
      </c>
      <c r="C3995" s="2">
        <v>2.9032258064000002E-2</v>
      </c>
      <c r="D3995" s="2">
        <v>0</v>
      </c>
      <c r="E3995" s="2">
        <v>1</v>
      </c>
      <c r="F3995" s="2">
        <v>3.58212455867951E-2</v>
      </c>
      <c r="G3995" s="2">
        <v>2</v>
      </c>
    </row>
    <row r="3996" spans="1:7" x14ac:dyDescent="0.2">
      <c r="A3996" s="2" t="s">
        <v>61</v>
      </c>
      <c r="B3996" s="14">
        <v>39173</v>
      </c>
      <c r="C3996" s="2">
        <v>-1.5519240629E-2</v>
      </c>
      <c r="D3996" s="2">
        <v>0</v>
      </c>
      <c r="E3996" s="2">
        <v>1</v>
      </c>
      <c r="F3996" s="2">
        <v>3.5807785316496102E-2</v>
      </c>
      <c r="G3996" s="2">
        <v>2</v>
      </c>
    </row>
    <row r="3997" spans="1:7" x14ac:dyDescent="0.2">
      <c r="A3997" s="2" t="s">
        <v>61</v>
      </c>
      <c r="B3997" s="14">
        <v>39203</v>
      </c>
      <c r="C3997" s="2">
        <v>-5.3376623376E-2</v>
      </c>
      <c r="D3997" s="2">
        <v>0</v>
      </c>
      <c r="E3997" s="2">
        <v>1</v>
      </c>
      <c r="F3997" s="2">
        <v>3.2137483313157598E-2</v>
      </c>
      <c r="G3997" s="2">
        <v>2</v>
      </c>
    </row>
    <row r="3998" spans="1:7" x14ac:dyDescent="0.2">
      <c r="A3998" s="2" t="s">
        <v>61</v>
      </c>
      <c r="B3998" s="14">
        <v>39234</v>
      </c>
      <c r="C3998" s="2">
        <v>2.0373165044E-2</v>
      </c>
      <c r="D3998" s="2">
        <v>0</v>
      </c>
      <c r="E3998" s="2">
        <v>1</v>
      </c>
      <c r="F3998" s="2">
        <v>2.6619999774978201E-2</v>
      </c>
      <c r="G3998" s="2">
        <v>2</v>
      </c>
    </row>
    <row r="3999" spans="1:7" x14ac:dyDescent="0.2">
      <c r="A3999" s="2" t="s">
        <v>61</v>
      </c>
      <c r="B3999" s="14">
        <v>39264</v>
      </c>
      <c r="C3999" s="2">
        <v>-3.2352941177000001E-2</v>
      </c>
      <c r="D3999" s="2">
        <v>0</v>
      </c>
      <c r="E3999" s="2">
        <v>1</v>
      </c>
      <c r="F3999" s="2">
        <v>2.7387101326229801E-2</v>
      </c>
      <c r="G3999" s="2">
        <v>2</v>
      </c>
    </row>
    <row r="4000" spans="1:7" x14ac:dyDescent="0.2">
      <c r="A4000" s="2" t="s">
        <v>61</v>
      </c>
      <c r="B4000" s="14">
        <v>39295</v>
      </c>
      <c r="C4000" s="2">
        <v>-6.2092922276000002E-2</v>
      </c>
      <c r="D4000" s="2">
        <v>0</v>
      </c>
      <c r="E4000" s="2">
        <v>1</v>
      </c>
      <c r="F4000" s="2">
        <v>5.4498093371662098E-3</v>
      </c>
      <c r="G4000" s="2">
        <v>2</v>
      </c>
    </row>
    <row r="4001" spans="1:7" x14ac:dyDescent="0.2">
      <c r="A4001" s="2" t="s">
        <v>61</v>
      </c>
      <c r="B4001" s="14">
        <v>39326</v>
      </c>
      <c r="C4001" s="2">
        <v>1.8518518519999999E-2</v>
      </c>
      <c r="D4001" s="2">
        <v>0</v>
      </c>
      <c r="E4001" s="2">
        <v>1</v>
      </c>
      <c r="F4001" s="2">
        <v>4.14062107861142E-3</v>
      </c>
      <c r="G4001" s="2">
        <v>2</v>
      </c>
    </row>
    <row r="4002" spans="1:7" x14ac:dyDescent="0.2">
      <c r="A4002" s="2" t="s">
        <v>61</v>
      </c>
      <c r="B4002" s="14">
        <v>39356</v>
      </c>
      <c r="C4002" s="2">
        <v>-0.15094545454</v>
      </c>
      <c r="D4002" s="2">
        <v>0</v>
      </c>
      <c r="E4002" s="2">
        <v>1</v>
      </c>
      <c r="F4002" s="2">
        <v>3.7968242148666898E-3</v>
      </c>
      <c r="G4002" s="2">
        <v>2</v>
      </c>
    </row>
    <row r="4003" spans="1:7" x14ac:dyDescent="0.2">
      <c r="A4003" s="2" t="s">
        <v>61</v>
      </c>
      <c r="B4003" s="14">
        <v>39387</v>
      </c>
      <c r="C4003" s="2">
        <v>-0.23979613688000001</v>
      </c>
      <c r="D4003" s="2">
        <v>0</v>
      </c>
      <c r="E4003" s="2">
        <v>1</v>
      </c>
      <c r="F4003" s="2">
        <v>4.45788061839982E-4</v>
      </c>
      <c r="G4003" s="2">
        <v>2</v>
      </c>
    </row>
    <row r="4004" spans="1:7" x14ac:dyDescent="0.2">
      <c r="A4004" s="2" t="s">
        <v>61</v>
      </c>
      <c r="B4004" s="14">
        <v>39417</v>
      </c>
      <c r="C4004" s="2">
        <v>-4.7887323943999999E-2</v>
      </c>
      <c r="D4004" s="2">
        <v>0</v>
      </c>
      <c r="E4004" s="2">
        <v>1</v>
      </c>
      <c r="F4004" s="2">
        <v>-4.06273711364086E-3</v>
      </c>
      <c r="G4004" s="2">
        <v>2</v>
      </c>
    </row>
    <row r="4005" spans="1:7" x14ac:dyDescent="0.2">
      <c r="A4005" s="2" t="s">
        <v>61</v>
      </c>
      <c r="B4005" s="14">
        <v>39448</v>
      </c>
      <c r="C4005" s="2">
        <v>-0.26923076923</v>
      </c>
      <c r="D4005" s="2">
        <v>0</v>
      </c>
      <c r="E4005" s="2">
        <v>1</v>
      </c>
      <c r="F4005" s="2">
        <v>-5.9173008216393298E-3</v>
      </c>
      <c r="G4005" s="2">
        <v>2</v>
      </c>
    </row>
    <row r="4006" spans="1:7" x14ac:dyDescent="0.2">
      <c r="A4006" s="2" t="s">
        <v>61</v>
      </c>
      <c r="B4006" s="14">
        <v>39479</v>
      </c>
      <c r="C4006" s="2">
        <v>-4.4534412955999997E-2</v>
      </c>
      <c r="D4006" s="2">
        <v>2.1030443999999998E-3</v>
      </c>
      <c r="E4006" s="2">
        <v>1</v>
      </c>
      <c r="F4006" s="2">
        <v>-1.26825534017918E-2</v>
      </c>
      <c r="G4006" s="2">
        <v>2</v>
      </c>
    </row>
    <row r="4007" spans="1:7" x14ac:dyDescent="0.2">
      <c r="A4007" s="2" t="s">
        <v>61</v>
      </c>
      <c r="B4007" s="14">
        <v>39508</v>
      </c>
      <c r="C4007" s="2">
        <v>-4.6610169492000003E-2</v>
      </c>
      <c r="D4007" s="2">
        <v>1.1173368000000001E-3</v>
      </c>
      <c r="E4007" s="2">
        <v>1</v>
      </c>
      <c r="F4007" s="2">
        <v>-1.20961281713628E-2</v>
      </c>
      <c r="G4007" s="2">
        <v>2</v>
      </c>
    </row>
    <row r="4008" spans="1:7" x14ac:dyDescent="0.2">
      <c r="A4008" s="2" t="s">
        <v>61</v>
      </c>
      <c r="B4008" s="14">
        <v>39539</v>
      </c>
      <c r="C4008" s="2">
        <v>8.1008728273E-2</v>
      </c>
      <c r="D4008" s="2">
        <v>2.5686135000000001E-3</v>
      </c>
      <c r="E4008" s="2">
        <v>1</v>
      </c>
      <c r="F4008" s="2">
        <v>-1.39562524484961E-2</v>
      </c>
      <c r="G4008" s="2">
        <v>2</v>
      </c>
    </row>
    <row r="4009" spans="1:7" x14ac:dyDescent="0.2">
      <c r="A4009" s="2" t="s">
        <v>61</v>
      </c>
      <c r="B4009" s="14">
        <v>39569</v>
      </c>
      <c r="C4009" s="2">
        <v>0.27108333333000001</v>
      </c>
      <c r="D4009" s="2">
        <v>0</v>
      </c>
      <c r="E4009" s="2">
        <v>1</v>
      </c>
      <c r="F4009" s="2">
        <v>-7.2254443970204496E-3</v>
      </c>
      <c r="G4009" s="2">
        <v>2</v>
      </c>
    </row>
    <row r="4010" spans="1:7" x14ac:dyDescent="0.2">
      <c r="A4010" s="2" t="s">
        <v>61</v>
      </c>
      <c r="B4010" s="14">
        <v>39600</v>
      </c>
      <c r="C4010" s="2">
        <v>0.17353963154999999</v>
      </c>
      <c r="D4010" s="2">
        <v>-1.6729983999999999E-3</v>
      </c>
      <c r="E4010" s="2">
        <v>1</v>
      </c>
      <c r="F4010" s="2">
        <v>7.7267897469696697E-3</v>
      </c>
      <c r="G4010" s="2">
        <v>2</v>
      </c>
    </row>
    <row r="4011" spans="1:7" x14ac:dyDescent="0.2">
      <c r="A4011" s="2" t="s">
        <v>61</v>
      </c>
      <c r="B4011" s="14">
        <v>39630</v>
      </c>
      <c r="C4011" s="2">
        <v>-0.12011173184</v>
      </c>
      <c r="D4011" s="2">
        <v>0</v>
      </c>
      <c r="E4011" s="2">
        <v>1</v>
      </c>
      <c r="F4011" s="2">
        <v>1.3992068639484601E-2</v>
      </c>
      <c r="G4011" s="2">
        <v>2</v>
      </c>
    </row>
    <row r="4012" spans="1:7" x14ac:dyDescent="0.2">
      <c r="A4012" s="2" t="s">
        <v>61</v>
      </c>
      <c r="B4012" s="14">
        <v>39661</v>
      </c>
      <c r="C4012" s="2">
        <v>-9.5238095238000003E-2</v>
      </c>
      <c r="D4012" s="2">
        <v>0</v>
      </c>
      <c r="E4012" s="2">
        <v>1</v>
      </c>
      <c r="F4012" s="2">
        <v>2.4564676763396201E-2</v>
      </c>
      <c r="G4012" s="2">
        <v>2</v>
      </c>
    </row>
    <row r="4013" spans="1:7" x14ac:dyDescent="0.2">
      <c r="A4013" s="2" t="s">
        <v>61</v>
      </c>
      <c r="B4013" s="14">
        <v>39692</v>
      </c>
      <c r="C4013" s="2">
        <v>-0.21052631579</v>
      </c>
      <c r="D4013" s="2">
        <v>0</v>
      </c>
      <c r="E4013" s="2">
        <v>1</v>
      </c>
      <c r="F4013" s="2">
        <v>2.3342137494461901E-2</v>
      </c>
      <c r="G4013" s="2">
        <v>2</v>
      </c>
    </row>
    <row r="4014" spans="1:7" x14ac:dyDescent="0.2">
      <c r="A4014" s="2" t="s">
        <v>61</v>
      </c>
      <c r="B4014" s="14">
        <v>39722</v>
      </c>
      <c r="C4014" s="2">
        <v>-0.24444444443999999</v>
      </c>
      <c r="D4014" s="2">
        <v>0</v>
      </c>
      <c r="E4014" s="2">
        <v>1</v>
      </c>
      <c r="F4014" s="2">
        <v>1.92587648803886E-2</v>
      </c>
      <c r="G4014" s="2">
        <v>2</v>
      </c>
    </row>
    <row r="4015" spans="1:7" x14ac:dyDescent="0.2">
      <c r="A4015" s="2" t="s">
        <v>61</v>
      </c>
      <c r="B4015" s="14">
        <v>39753</v>
      </c>
      <c r="C4015" s="2">
        <v>-0.15882352941</v>
      </c>
      <c r="D4015" s="2">
        <v>0</v>
      </c>
      <c r="E4015" s="2">
        <v>1</v>
      </c>
      <c r="F4015" s="2">
        <v>1.0622667658129499E-2</v>
      </c>
      <c r="G4015" s="2">
        <v>2</v>
      </c>
    </row>
    <row r="4016" spans="1:7" x14ac:dyDescent="0.2">
      <c r="A4016" s="2" t="s">
        <v>61</v>
      </c>
      <c r="B4016" s="14">
        <v>39783</v>
      </c>
      <c r="C4016" s="2">
        <v>-0.13986013986000001</v>
      </c>
      <c r="D4016" s="2">
        <v>0</v>
      </c>
      <c r="E4016" s="2">
        <v>1</v>
      </c>
      <c r="F4016" s="2">
        <v>-1.5163356208402401E-3</v>
      </c>
      <c r="G4016" s="2">
        <v>2</v>
      </c>
    </row>
    <row r="4017" spans="1:7" x14ac:dyDescent="0.2">
      <c r="A4017" s="2" t="s">
        <v>62</v>
      </c>
      <c r="B4017" s="14">
        <v>37591</v>
      </c>
      <c r="C4017" s="2">
        <v>6.1224489797000001E-2</v>
      </c>
      <c r="D4017" s="2">
        <v>0</v>
      </c>
      <c r="E4017" s="2">
        <v>1</v>
      </c>
      <c r="G4017" s="2">
        <v>2</v>
      </c>
    </row>
    <row r="4018" spans="1:7" x14ac:dyDescent="0.2">
      <c r="A4018" s="2" t="s">
        <v>62</v>
      </c>
      <c r="B4018" s="14">
        <v>37622</v>
      </c>
      <c r="C4018" s="2">
        <v>3.8461538460999999E-2</v>
      </c>
      <c r="D4018" s="2">
        <v>0</v>
      </c>
      <c r="E4018" s="2">
        <v>1</v>
      </c>
      <c r="G4018" s="2">
        <v>2</v>
      </c>
    </row>
    <row r="4019" spans="1:7" x14ac:dyDescent="0.2">
      <c r="A4019" s="2" t="s">
        <v>62</v>
      </c>
      <c r="B4019" s="14">
        <v>37653</v>
      </c>
      <c r="C4019" s="2">
        <v>-4.3627878518999998E-2</v>
      </c>
      <c r="D4019" s="2">
        <v>0</v>
      </c>
      <c r="E4019" s="2">
        <v>1</v>
      </c>
      <c r="G4019" s="2">
        <v>2</v>
      </c>
    </row>
    <row r="4020" spans="1:7" x14ac:dyDescent="0.2">
      <c r="A4020" s="2" t="s">
        <v>62</v>
      </c>
      <c r="B4020" s="14">
        <v>37681</v>
      </c>
      <c r="C4020" s="2">
        <v>-8.3750009535999995E-2</v>
      </c>
      <c r="D4020" s="2">
        <v>4.0312874999999998E-2</v>
      </c>
      <c r="E4020" s="2">
        <v>1</v>
      </c>
      <c r="G4020" s="2">
        <v>2</v>
      </c>
    </row>
    <row r="4021" spans="1:7" x14ac:dyDescent="0.2">
      <c r="A4021" s="2" t="s">
        <v>62</v>
      </c>
      <c r="B4021" s="14">
        <v>37712</v>
      </c>
      <c r="C4021" s="2">
        <v>0.47794453562</v>
      </c>
      <c r="D4021" s="2">
        <v>2.8534529999999999E-4</v>
      </c>
      <c r="E4021" s="2">
        <v>1</v>
      </c>
      <c r="G4021" s="2">
        <v>2</v>
      </c>
    </row>
    <row r="4022" spans="1:7" x14ac:dyDescent="0.2">
      <c r="A4022" s="2" t="s">
        <v>62</v>
      </c>
      <c r="B4022" s="14">
        <v>37742</v>
      </c>
      <c r="C4022" s="2">
        <v>0.12307692307</v>
      </c>
      <c r="D4022" s="2">
        <v>-9.1596637000000009E-3</v>
      </c>
      <c r="E4022" s="2">
        <v>1</v>
      </c>
      <c r="G4022" s="2">
        <v>2</v>
      </c>
    </row>
    <row r="4023" spans="1:7" x14ac:dyDescent="0.2">
      <c r="A4023" s="2" t="s">
        <v>62</v>
      </c>
      <c r="B4023" s="14">
        <v>37773</v>
      </c>
      <c r="C4023" s="2">
        <v>-0.20547945205000001</v>
      </c>
      <c r="D4023" s="2">
        <v>6.4669102000000003E-3</v>
      </c>
      <c r="E4023" s="2">
        <v>1</v>
      </c>
      <c r="G4023" s="2">
        <v>2</v>
      </c>
    </row>
    <row r="4024" spans="1:7" x14ac:dyDescent="0.2">
      <c r="A4024" s="2" t="s">
        <v>62</v>
      </c>
      <c r="B4024" s="14">
        <v>37803</v>
      </c>
      <c r="C4024" s="2">
        <v>-5.1724137931000003E-2</v>
      </c>
      <c r="D4024" s="2">
        <v>-4.4824560000000001E-3</v>
      </c>
      <c r="E4024" s="2">
        <v>1</v>
      </c>
      <c r="G4024" s="2">
        <v>2</v>
      </c>
    </row>
    <row r="4025" spans="1:7" x14ac:dyDescent="0.2">
      <c r="A4025" s="2" t="s">
        <v>62</v>
      </c>
      <c r="B4025" s="14">
        <v>37834</v>
      </c>
      <c r="C4025" s="2">
        <v>0.21818181817999999</v>
      </c>
      <c r="D4025" s="2">
        <v>4.5338489000000003E-2</v>
      </c>
      <c r="E4025" s="2">
        <v>1</v>
      </c>
      <c r="F4025" s="2">
        <v>8.3183176208958098E-2</v>
      </c>
      <c r="G4025" s="2">
        <v>2</v>
      </c>
    </row>
    <row r="4026" spans="1:7" x14ac:dyDescent="0.2">
      <c r="A4026" s="2" t="s">
        <v>62</v>
      </c>
      <c r="B4026" s="14">
        <v>37865</v>
      </c>
      <c r="C4026" s="2">
        <v>0.10447761194000001</v>
      </c>
      <c r="D4026" s="2">
        <v>1.0519039E-3</v>
      </c>
      <c r="E4026" s="2">
        <v>1</v>
      </c>
      <c r="F4026" s="2">
        <v>9.0178395320125698E-2</v>
      </c>
      <c r="G4026" s="2">
        <v>2</v>
      </c>
    </row>
    <row r="4027" spans="1:7" x14ac:dyDescent="0.2">
      <c r="A4027" s="2" t="s">
        <v>62</v>
      </c>
      <c r="B4027" s="14">
        <v>37895</v>
      </c>
      <c r="C4027" s="2">
        <v>0.21621621622000001</v>
      </c>
      <c r="D4027" s="2">
        <v>-3.4469943000000002E-3</v>
      </c>
      <c r="E4027" s="2">
        <v>1</v>
      </c>
      <c r="F4027" s="2">
        <v>9.43931129979457E-2</v>
      </c>
      <c r="G4027" s="2">
        <v>2</v>
      </c>
    </row>
    <row r="4028" spans="1:7" x14ac:dyDescent="0.2">
      <c r="A4028" s="2" t="s">
        <v>62</v>
      </c>
      <c r="B4028" s="14">
        <v>37926</v>
      </c>
      <c r="C4028" s="2">
        <v>8.3333333334000004E-2</v>
      </c>
      <c r="D4028" s="2">
        <v>-2.1095103999999999E-3</v>
      </c>
      <c r="E4028" s="2">
        <v>1</v>
      </c>
      <c r="F4028" s="2">
        <v>8.6284803459197701E-2</v>
      </c>
      <c r="G4028" s="2">
        <v>2</v>
      </c>
    </row>
    <row r="4029" spans="1:7" x14ac:dyDescent="0.2">
      <c r="A4029" s="2" t="s">
        <v>62</v>
      </c>
      <c r="B4029" s="14">
        <v>37956</v>
      </c>
      <c r="C4029" s="2">
        <v>-5.1282051280999996E-3</v>
      </c>
      <c r="D4029" s="2">
        <v>1.7718066000000001E-3</v>
      </c>
      <c r="E4029" s="2">
        <v>1</v>
      </c>
      <c r="F4029" s="2">
        <v>8.4767339288725693E-2</v>
      </c>
      <c r="G4029" s="2">
        <v>2</v>
      </c>
    </row>
    <row r="4030" spans="1:7" x14ac:dyDescent="0.2">
      <c r="A4030" s="2" t="s">
        <v>62</v>
      </c>
      <c r="B4030" s="14">
        <v>37987</v>
      </c>
      <c r="C4030" s="2">
        <v>-0.10309278349999999</v>
      </c>
      <c r="E4030" s="2">
        <v>1</v>
      </c>
      <c r="F4030" s="2">
        <v>9.0438050259186498E-2</v>
      </c>
      <c r="G4030" s="2">
        <v>2</v>
      </c>
    </row>
    <row r="4031" spans="1:7" x14ac:dyDescent="0.2">
      <c r="A4031" s="2" t="s">
        <v>62</v>
      </c>
      <c r="B4031" s="14">
        <v>38018</v>
      </c>
      <c r="C4031" s="2">
        <v>-2.2988505679999999E-4</v>
      </c>
      <c r="E4031" s="2">
        <v>1</v>
      </c>
      <c r="F4031" s="2">
        <v>8.9333274262122106E-2</v>
      </c>
      <c r="G4031" s="2">
        <v>2</v>
      </c>
    </row>
    <row r="4032" spans="1:7" x14ac:dyDescent="0.2">
      <c r="A4032" s="2" t="s">
        <v>62</v>
      </c>
      <c r="B4032" s="14">
        <v>38047</v>
      </c>
      <c r="C4032" s="2">
        <v>-5.7254541274000002E-2</v>
      </c>
      <c r="D4032" s="2">
        <v>-1.4900345000000001E-3</v>
      </c>
      <c r="E4032" s="2">
        <v>1</v>
      </c>
      <c r="F4032" s="2">
        <v>8.2989706973906494E-2</v>
      </c>
      <c r="G4032" s="2">
        <v>2</v>
      </c>
    </row>
    <row r="4033" spans="1:7" x14ac:dyDescent="0.2">
      <c r="A4033" s="2" t="s">
        <v>62</v>
      </c>
      <c r="B4033" s="14">
        <v>38078</v>
      </c>
      <c r="C4033" s="2">
        <v>1.2195121951999999E-2</v>
      </c>
      <c r="D4033" s="2">
        <v>-4.6308701999999997E-3</v>
      </c>
      <c r="E4033" s="2">
        <v>1</v>
      </c>
      <c r="F4033" s="2">
        <v>7.8417547063319895E-2</v>
      </c>
      <c r="G4033" s="2">
        <v>2</v>
      </c>
    </row>
    <row r="4034" spans="1:7" x14ac:dyDescent="0.2">
      <c r="A4034" s="2" t="s">
        <v>62</v>
      </c>
      <c r="B4034" s="14">
        <v>38108</v>
      </c>
      <c r="C4034" s="2">
        <v>-3.0120481928000001E-2</v>
      </c>
      <c r="D4034" s="19">
        <v>-1.2524003000000001E-5</v>
      </c>
      <c r="E4034" s="2">
        <v>1</v>
      </c>
      <c r="F4034" s="2">
        <v>7.1476919193145999E-2</v>
      </c>
      <c r="G4034" s="2">
        <v>2</v>
      </c>
    </row>
    <row r="4035" spans="1:7" x14ac:dyDescent="0.2">
      <c r="A4035" s="2" t="s">
        <v>62</v>
      </c>
      <c r="B4035" s="14">
        <v>38139</v>
      </c>
      <c r="C4035" s="2">
        <v>6.3354037266999993E-2</v>
      </c>
      <c r="D4035" s="2">
        <v>-7.7356472999999997E-3</v>
      </c>
      <c r="E4035" s="2">
        <v>1</v>
      </c>
      <c r="F4035" s="2">
        <v>6.8216770641958704E-2</v>
      </c>
      <c r="G4035" s="2">
        <v>2</v>
      </c>
    </row>
    <row r="4036" spans="1:7" x14ac:dyDescent="0.2">
      <c r="A4036" s="2" t="s">
        <v>62</v>
      </c>
      <c r="B4036" s="14">
        <v>38169</v>
      </c>
      <c r="C4036" s="2">
        <v>-1.0514018692000001E-2</v>
      </c>
      <c r="D4036" s="2">
        <v>-6.2869982999999999E-3</v>
      </c>
      <c r="E4036" s="2">
        <v>1</v>
      </c>
      <c r="F4036" s="2">
        <v>6.9662984333789701E-2</v>
      </c>
      <c r="G4036" s="2">
        <v>2</v>
      </c>
    </row>
    <row r="4037" spans="1:7" x14ac:dyDescent="0.2">
      <c r="A4037" s="2" t="s">
        <v>62</v>
      </c>
      <c r="B4037" s="14">
        <v>38200</v>
      </c>
      <c r="C4037" s="2">
        <v>0.31971664699000002</v>
      </c>
      <c r="D4037" s="2">
        <v>8.2584210000000002E-3</v>
      </c>
      <c r="E4037" s="2">
        <v>1</v>
      </c>
      <c r="F4037" s="2">
        <v>2.12598812210377E-2</v>
      </c>
      <c r="G4037" s="2">
        <v>2</v>
      </c>
    </row>
    <row r="4038" spans="1:7" x14ac:dyDescent="0.2">
      <c r="A4038" s="2" t="s">
        <v>62</v>
      </c>
      <c r="B4038" s="14">
        <v>38231</v>
      </c>
      <c r="C4038" s="2">
        <v>-7.1569153706000001E-3</v>
      </c>
      <c r="D4038" s="2">
        <v>0</v>
      </c>
      <c r="E4038" s="2">
        <v>1</v>
      </c>
      <c r="F4038" s="2">
        <v>3.0224292514879202E-2</v>
      </c>
      <c r="G4038" s="2">
        <v>2</v>
      </c>
    </row>
    <row r="4039" spans="1:7" x14ac:dyDescent="0.2">
      <c r="A4039" s="2" t="s">
        <v>62</v>
      </c>
      <c r="B4039" s="14">
        <v>38261</v>
      </c>
      <c r="C4039" s="2">
        <v>7.9293566410000002E-2</v>
      </c>
      <c r="D4039" s="2">
        <v>1.8196567E-3</v>
      </c>
      <c r="E4039" s="2">
        <v>1</v>
      </c>
      <c r="F4039" s="2">
        <v>3.1606305967828402E-2</v>
      </c>
      <c r="G4039" s="2">
        <v>2</v>
      </c>
    </row>
    <row r="4040" spans="1:7" x14ac:dyDescent="0.2">
      <c r="A4040" s="2" t="s">
        <v>62</v>
      </c>
      <c r="B4040" s="14">
        <v>38292</v>
      </c>
      <c r="C4040" s="2">
        <v>7.6807480363999996E-3</v>
      </c>
      <c r="D4040" s="2">
        <v>2.3479440999999999E-4</v>
      </c>
      <c r="E4040" s="2">
        <v>1</v>
      </c>
      <c r="F4040" s="2">
        <v>3.3136726539696897E-2</v>
      </c>
      <c r="G4040" s="2">
        <v>2</v>
      </c>
    </row>
    <row r="4041" spans="1:7" x14ac:dyDescent="0.2">
      <c r="A4041" s="2" t="s">
        <v>62</v>
      </c>
      <c r="B4041" s="14">
        <v>38322</v>
      </c>
      <c r="C4041" s="2">
        <v>-2.7506213753000001E-2</v>
      </c>
      <c r="D4041" s="2">
        <v>3.9893871999999999E-4</v>
      </c>
      <c r="E4041" s="2">
        <v>1</v>
      </c>
      <c r="F4041" s="2">
        <v>3.4187121992126798E-2</v>
      </c>
      <c r="G4041" s="2">
        <v>2</v>
      </c>
    </row>
    <row r="4042" spans="1:7" x14ac:dyDescent="0.2">
      <c r="A4042" s="2" t="s">
        <v>62</v>
      </c>
      <c r="B4042" s="14">
        <v>38353</v>
      </c>
      <c r="C4042" s="2">
        <v>-1.3460555460000001E-2</v>
      </c>
      <c r="D4042" s="2">
        <v>-6.8744952999999997E-4</v>
      </c>
      <c r="E4042" s="2">
        <v>1</v>
      </c>
      <c r="F4042" s="2">
        <v>3.1543923367578101E-2</v>
      </c>
      <c r="G4042" s="2">
        <v>2</v>
      </c>
    </row>
    <row r="4043" spans="1:7" x14ac:dyDescent="0.2">
      <c r="A4043" s="2" t="s">
        <v>62</v>
      </c>
      <c r="B4043" s="14">
        <v>38384</v>
      </c>
      <c r="C4043" s="2">
        <v>5.0086355785000002E-2</v>
      </c>
      <c r="D4043" s="2">
        <v>1.2324669000000001E-3</v>
      </c>
      <c r="E4043" s="2">
        <v>1</v>
      </c>
      <c r="F4043" s="2">
        <v>3.1366837841746299E-2</v>
      </c>
      <c r="G4043" s="2">
        <v>2</v>
      </c>
    </row>
    <row r="4044" spans="1:7" x14ac:dyDescent="0.2">
      <c r="A4044" s="2" t="s">
        <v>62</v>
      </c>
      <c r="B4044" s="14">
        <v>38412</v>
      </c>
      <c r="C4044" s="2">
        <v>-7.4013157893999995E-2</v>
      </c>
      <c r="D4044" s="2">
        <v>1.0426361E-3</v>
      </c>
      <c r="E4044" s="2">
        <v>1</v>
      </c>
      <c r="F4044" s="2">
        <v>2.34613585447884E-2</v>
      </c>
      <c r="G4044" s="2">
        <v>2</v>
      </c>
    </row>
    <row r="4045" spans="1:7" x14ac:dyDescent="0.2">
      <c r="A4045" s="2" t="s">
        <v>62</v>
      </c>
      <c r="B4045" s="14">
        <v>38443</v>
      </c>
      <c r="C4045" s="2">
        <v>1.2433392539999999E-2</v>
      </c>
      <c r="D4045" s="2">
        <v>-1.6829172E-3</v>
      </c>
      <c r="E4045" s="2">
        <v>1</v>
      </c>
      <c r="F4045" s="2">
        <v>2.1732536602762399E-2</v>
      </c>
      <c r="G4045" s="2">
        <v>2</v>
      </c>
    </row>
    <row r="4046" spans="1:7" x14ac:dyDescent="0.2">
      <c r="A4046" s="2" t="s">
        <v>62</v>
      </c>
      <c r="B4046" s="14">
        <v>38473</v>
      </c>
      <c r="C4046" s="2">
        <v>-7.1929824561E-2</v>
      </c>
      <c r="D4046" s="2">
        <v>-8.2825765E-4</v>
      </c>
      <c r="E4046" s="2">
        <v>1</v>
      </c>
      <c r="F4046" s="2">
        <v>1.97727074158922E-2</v>
      </c>
      <c r="G4046" s="2">
        <v>2</v>
      </c>
    </row>
    <row r="4047" spans="1:7" x14ac:dyDescent="0.2">
      <c r="A4047" s="2" t="s">
        <v>62</v>
      </c>
      <c r="B4047" s="14">
        <v>38504</v>
      </c>
      <c r="C4047" s="2">
        <v>1.8903591680999999E-3</v>
      </c>
      <c r="D4047" s="2">
        <v>-1.9323610000000001E-3</v>
      </c>
      <c r="E4047" s="2">
        <v>1</v>
      </c>
      <c r="F4047" s="2">
        <v>1.7698402621358401E-2</v>
      </c>
      <c r="G4047" s="2">
        <v>2</v>
      </c>
    </row>
    <row r="4048" spans="1:7" x14ac:dyDescent="0.2">
      <c r="A4048" s="2" t="s">
        <v>62</v>
      </c>
      <c r="B4048" s="14">
        <v>38534</v>
      </c>
      <c r="C4048" s="2">
        <v>0.14773584905000001</v>
      </c>
      <c r="D4048" s="2">
        <v>-2.5665678999999999E-3</v>
      </c>
      <c r="E4048" s="2">
        <v>1</v>
      </c>
      <c r="F4048" s="2">
        <v>1.8535443619003899E-2</v>
      </c>
      <c r="G4048" s="2">
        <v>2</v>
      </c>
    </row>
    <row r="4049" spans="1:7" x14ac:dyDescent="0.2">
      <c r="A4049" s="2" t="s">
        <v>62</v>
      </c>
      <c r="B4049" s="14">
        <v>38565</v>
      </c>
      <c r="C4049" s="2">
        <v>-0.14926845306</v>
      </c>
      <c r="D4049" s="2">
        <v>-1.9139002999999999E-3</v>
      </c>
      <c r="E4049" s="2">
        <v>1</v>
      </c>
      <c r="F4049" s="2">
        <v>1.9084556655559401E-2</v>
      </c>
      <c r="G4049" s="2">
        <v>2</v>
      </c>
    </row>
    <row r="4050" spans="1:7" x14ac:dyDescent="0.2">
      <c r="A4050" s="2" t="s">
        <v>62</v>
      </c>
      <c r="B4050" s="14">
        <v>38596</v>
      </c>
      <c r="C4050" s="2">
        <v>-2.0289855071E-2</v>
      </c>
      <c r="D4050" s="2">
        <v>-1.2470466999999999E-3</v>
      </c>
      <c r="E4050" s="2">
        <v>1</v>
      </c>
      <c r="F4050" s="2">
        <v>1.30943612814255E-2</v>
      </c>
      <c r="G4050" s="2">
        <v>2</v>
      </c>
    </row>
    <row r="4051" spans="1:7" x14ac:dyDescent="0.2">
      <c r="A4051" s="2" t="s">
        <v>62</v>
      </c>
      <c r="B4051" s="14">
        <v>38626</v>
      </c>
      <c r="C4051" s="2">
        <v>-3.4800004150000001E-2</v>
      </c>
      <c r="D4051" s="2">
        <v>3.2475509E-4</v>
      </c>
      <c r="E4051" s="2">
        <v>1</v>
      </c>
      <c r="F4051" s="2">
        <v>1.46958728037944E-2</v>
      </c>
      <c r="G4051" s="2">
        <v>2</v>
      </c>
    </row>
    <row r="4052" spans="1:7" x14ac:dyDescent="0.2">
      <c r="A4052" s="2" t="s">
        <v>62</v>
      </c>
      <c r="B4052" s="14">
        <v>38657</v>
      </c>
      <c r="C4052" s="2">
        <v>-2.0208205755999999E-2</v>
      </c>
      <c r="D4052" s="2">
        <v>1.7659016E-2</v>
      </c>
      <c r="E4052" s="2">
        <v>1</v>
      </c>
      <c r="F4052" s="2">
        <v>1.29036192299398E-2</v>
      </c>
      <c r="G4052" s="2">
        <v>2</v>
      </c>
    </row>
    <row r="4053" spans="1:7" x14ac:dyDescent="0.2">
      <c r="A4053" s="2" t="s">
        <v>62</v>
      </c>
      <c r="B4053" s="14">
        <v>38687</v>
      </c>
      <c r="C4053" s="2">
        <v>-0.13541666665999999</v>
      </c>
      <c r="D4053" s="2">
        <v>3.2925047000000002E-3</v>
      </c>
      <c r="E4053" s="2">
        <v>1</v>
      </c>
      <c r="F4053" s="2">
        <v>1.4438298657167101E-2</v>
      </c>
      <c r="G4053" s="2">
        <v>2</v>
      </c>
    </row>
    <row r="4054" spans="1:7" x14ac:dyDescent="0.2">
      <c r="A4054" s="2" t="s">
        <v>62</v>
      </c>
      <c r="B4054" s="14">
        <v>38718</v>
      </c>
      <c r="C4054" s="2">
        <v>2.4096385543000001E-2</v>
      </c>
      <c r="D4054" s="2">
        <v>5.5355303999999996E-3</v>
      </c>
      <c r="E4054" s="2">
        <v>1</v>
      </c>
      <c r="F4054" s="2">
        <v>1.09485352170709E-2</v>
      </c>
      <c r="G4054" s="2">
        <v>2</v>
      </c>
    </row>
    <row r="4055" spans="1:7" x14ac:dyDescent="0.2">
      <c r="A4055" s="2" t="s">
        <v>62</v>
      </c>
      <c r="B4055" s="14">
        <v>38749</v>
      </c>
      <c r="C4055" s="2">
        <v>5.3411764706000002E-2</v>
      </c>
      <c r="D4055" s="2">
        <v>1.1649963000000001E-3</v>
      </c>
      <c r="E4055" s="2">
        <v>1</v>
      </c>
      <c r="F4055" s="2">
        <v>7.34566814896726E-3</v>
      </c>
      <c r="G4055" s="2">
        <v>2</v>
      </c>
    </row>
    <row r="4056" spans="1:7" x14ac:dyDescent="0.2">
      <c r="A4056" s="2" t="s">
        <v>62</v>
      </c>
      <c r="B4056" s="14">
        <v>38777</v>
      </c>
      <c r="C4056" s="2">
        <v>-3.7971856163E-3</v>
      </c>
      <c r="D4056" s="2">
        <v>7.0547941000000001E-3</v>
      </c>
      <c r="E4056" s="2">
        <v>1</v>
      </c>
      <c r="F4056" s="2">
        <v>1.3088043136072E-2</v>
      </c>
      <c r="G4056" s="2">
        <v>2</v>
      </c>
    </row>
    <row r="4057" spans="1:7" x14ac:dyDescent="0.2">
      <c r="A4057" s="2" t="s">
        <v>62</v>
      </c>
      <c r="B4057" s="14">
        <v>38808</v>
      </c>
      <c r="C4057" s="2">
        <v>4.7309417042999999E-2</v>
      </c>
      <c r="D4057" s="2">
        <v>9.8031433000000008E-3</v>
      </c>
      <c r="E4057" s="2">
        <v>1</v>
      </c>
      <c r="F4057" s="2">
        <v>1.3544038832869299E-2</v>
      </c>
      <c r="G4057" s="2">
        <v>2</v>
      </c>
    </row>
    <row r="4058" spans="1:7" x14ac:dyDescent="0.2">
      <c r="A4058" s="2" t="s">
        <v>62</v>
      </c>
      <c r="B4058" s="14">
        <v>38838</v>
      </c>
      <c r="C4058" s="2">
        <v>4.6885035324999998E-2</v>
      </c>
      <c r="D4058" s="2">
        <v>3.5701126E-2</v>
      </c>
      <c r="E4058" s="2">
        <v>1</v>
      </c>
      <c r="F4058" s="2">
        <v>1.5844043108854299E-2</v>
      </c>
      <c r="G4058" s="2">
        <v>2</v>
      </c>
    </row>
    <row r="4059" spans="1:7" x14ac:dyDescent="0.2">
      <c r="A4059" s="2" t="s">
        <v>62</v>
      </c>
      <c r="B4059" s="14">
        <v>38869</v>
      </c>
      <c r="C4059" s="2">
        <v>-3.3742331288999998E-2</v>
      </c>
      <c r="D4059" s="2">
        <v>9.4377520000000006E-3</v>
      </c>
      <c r="E4059" s="2">
        <v>1</v>
      </c>
      <c r="F4059" s="2">
        <v>1.7668133428308801E-2</v>
      </c>
      <c r="G4059" s="2">
        <v>2</v>
      </c>
    </row>
    <row r="4060" spans="1:7" x14ac:dyDescent="0.2">
      <c r="A4060" s="2" t="s">
        <v>62</v>
      </c>
      <c r="B4060" s="14">
        <v>38899</v>
      </c>
      <c r="C4060" s="2">
        <v>4.3386243386000001E-2</v>
      </c>
      <c r="D4060" s="2">
        <v>1.0171285E-2</v>
      </c>
      <c r="E4060" s="2">
        <v>1</v>
      </c>
      <c r="F4060" s="2">
        <v>2.0691821428568E-2</v>
      </c>
      <c r="G4060" s="2">
        <v>2</v>
      </c>
    </row>
    <row r="4061" spans="1:7" x14ac:dyDescent="0.2">
      <c r="A4061" s="2" t="s">
        <v>62</v>
      </c>
      <c r="B4061" s="14">
        <v>38930</v>
      </c>
      <c r="C4061" s="2">
        <v>1.8052738336000001E-2</v>
      </c>
      <c r="D4061" s="2">
        <v>1.783533E-2</v>
      </c>
      <c r="E4061" s="2">
        <v>1</v>
      </c>
      <c r="F4061" s="2">
        <v>2.9318831717258E-2</v>
      </c>
      <c r="G4061" s="2">
        <v>2</v>
      </c>
    </row>
    <row r="4062" spans="1:7" x14ac:dyDescent="0.2">
      <c r="A4062" s="2" t="s">
        <v>62</v>
      </c>
      <c r="B4062" s="14">
        <v>38961</v>
      </c>
      <c r="C4062" s="2">
        <v>5.9175134487E-2</v>
      </c>
      <c r="D4062" s="2">
        <v>1.3901379E-2</v>
      </c>
      <c r="E4062" s="2">
        <v>1</v>
      </c>
      <c r="F4062" s="2">
        <v>2.7987432289646501E-2</v>
      </c>
      <c r="G4062" s="2">
        <v>2</v>
      </c>
    </row>
    <row r="4063" spans="1:7" x14ac:dyDescent="0.2">
      <c r="A4063" s="2" t="s">
        <v>62</v>
      </c>
      <c r="B4063" s="14">
        <v>38991</v>
      </c>
      <c r="C4063" s="2">
        <v>3.4612490595000003E-2</v>
      </c>
      <c r="D4063" s="2">
        <v>1.0279936E-2</v>
      </c>
      <c r="E4063" s="2">
        <v>1</v>
      </c>
      <c r="F4063" s="2">
        <v>2.9638402876789E-2</v>
      </c>
      <c r="G4063" s="2">
        <v>2</v>
      </c>
    </row>
    <row r="4064" spans="1:7" x14ac:dyDescent="0.2">
      <c r="A4064" s="2" t="s">
        <v>62</v>
      </c>
      <c r="B4064" s="14">
        <v>39022</v>
      </c>
      <c r="C4064" s="2">
        <v>6.1818181819E-2</v>
      </c>
      <c r="D4064" s="2">
        <v>9.0585387999999999E-3</v>
      </c>
      <c r="E4064" s="2">
        <v>1</v>
      </c>
      <c r="F4064" s="2">
        <v>2.9176346999515001E-2</v>
      </c>
      <c r="G4064" s="2">
        <v>2</v>
      </c>
    </row>
    <row r="4065" spans="1:7" x14ac:dyDescent="0.2">
      <c r="A4065" s="2" t="s">
        <v>62</v>
      </c>
      <c r="B4065" s="14">
        <v>39052</v>
      </c>
      <c r="C4065" s="2">
        <v>-1.1986301370999999E-2</v>
      </c>
      <c r="D4065" s="2">
        <v>5.4500898999999998E-3</v>
      </c>
      <c r="E4065" s="2">
        <v>1</v>
      </c>
      <c r="F4065" s="2">
        <v>2.9487067206821701E-2</v>
      </c>
      <c r="G4065" s="2">
        <v>2</v>
      </c>
    </row>
    <row r="4066" spans="1:7" x14ac:dyDescent="0.2">
      <c r="A4066" s="2" t="s">
        <v>62</v>
      </c>
      <c r="B4066" s="14">
        <v>39083</v>
      </c>
      <c r="C4066" s="2">
        <v>9.9653379550000004E-2</v>
      </c>
      <c r="D4066" s="2">
        <v>-3.0208867999999998E-3</v>
      </c>
      <c r="E4066" s="2">
        <v>1</v>
      </c>
      <c r="F4066" s="2">
        <v>2.9671648758042599E-2</v>
      </c>
      <c r="G4066" s="2">
        <v>2</v>
      </c>
    </row>
    <row r="4067" spans="1:7" x14ac:dyDescent="0.2">
      <c r="A4067" s="2" t="s">
        <v>62</v>
      </c>
      <c r="B4067" s="14">
        <v>39114</v>
      </c>
      <c r="C4067" s="2">
        <v>-1.4972419228E-2</v>
      </c>
      <c r="D4067" s="2">
        <v>9.8715209999999994E-3</v>
      </c>
      <c r="E4067" s="2">
        <v>1</v>
      </c>
      <c r="F4067" s="2">
        <v>3.1197415625217401E-2</v>
      </c>
      <c r="G4067" s="2">
        <v>2</v>
      </c>
    </row>
    <row r="4068" spans="1:7" x14ac:dyDescent="0.2">
      <c r="A4068" s="2" t="s">
        <v>62</v>
      </c>
      <c r="B4068" s="14">
        <v>39142</v>
      </c>
      <c r="C4068" s="2">
        <v>7.1999999999999998E-3</v>
      </c>
      <c r="D4068" s="2">
        <v>1.3312915999999999E-2</v>
      </c>
      <c r="E4068" s="2">
        <v>1</v>
      </c>
      <c r="F4068" s="2">
        <v>3.03160808001658E-2</v>
      </c>
      <c r="G4068" s="2">
        <v>2</v>
      </c>
    </row>
    <row r="4069" spans="1:7" x14ac:dyDescent="0.2">
      <c r="A4069" s="2" t="s">
        <v>62</v>
      </c>
      <c r="B4069" s="14">
        <v>39173</v>
      </c>
      <c r="C4069" s="2">
        <v>5.6076250991999997E-2</v>
      </c>
      <c r="D4069" s="2">
        <v>1.3751552E-2</v>
      </c>
      <c r="E4069" s="2">
        <v>1</v>
      </c>
      <c r="F4069" s="2">
        <v>2.8784719586669501E-2</v>
      </c>
      <c r="G4069" s="2">
        <v>2</v>
      </c>
    </row>
    <row r="4070" spans="1:7" x14ac:dyDescent="0.2">
      <c r="A4070" s="2" t="s">
        <v>62</v>
      </c>
      <c r="B4070" s="14">
        <v>39203</v>
      </c>
      <c r="C4070" s="2">
        <v>1.6847172080999999E-2</v>
      </c>
      <c r="D4070" s="2">
        <v>5.4588802000000002E-3</v>
      </c>
      <c r="E4070" s="2">
        <v>1</v>
      </c>
      <c r="F4070" s="2">
        <v>2.9289080630041701E-2</v>
      </c>
      <c r="G4070" s="2">
        <v>2</v>
      </c>
    </row>
    <row r="4071" spans="1:7" x14ac:dyDescent="0.2">
      <c r="A4071" s="2" t="s">
        <v>62</v>
      </c>
      <c r="B4071" s="14">
        <v>39234</v>
      </c>
      <c r="C4071" s="2">
        <v>0.10917159763000001</v>
      </c>
      <c r="D4071" s="2">
        <v>-3.7356578000000001E-3</v>
      </c>
      <c r="E4071" s="2">
        <v>1</v>
      </c>
      <c r="F4071" s="2">
        <v>2.7948363283379601E-2</v>
      </c>
      <c r="G4071" s="2">
        <v>2</v>
      </c>
    </row>
    <row r="4072" spans="1:7" x14ac:dyDescent="0.2">
      <c r="A4072" s="2" t="s">
        <v>62</v>
      </c>
      <c r="B4072" s="14">
        <v>39264</v>
      </c>
      <c r="C4072" s="2">
        <v>6.9351827150999999E-3</v>
      </c>
      <c r="D4072" s="2">
        <v>-2.2197387E-3</v>
      </c>
      <c r="E4072" s="2">
        <v>1</v>
      </c>
      <c r="F4072" s="2">
        <v>3.12363672451746E-2</v>
      </c>
      <c r="G4072" s="2">
        <v>2</v>
      </c>
    </row>
    <row r="4073" spans="1:7" x14ac:dyDescent="0.2">
      <c r="A4073" s="2" t="s">
        <v>62</v>
      </c>
      <c r="B4073" s="14">
        <v>39295</v>
      </c>
      <c r="C4073" s="2">
        <v>-7.3245033112999999E-2</v>
      </c>
      <c r="D4073" s="2">
        <v>6.0817231000000003E-3</v>
      </c>
      <c r="E4073" s="2">
        <v>1</v>
      </c>
      <c r="F4073" s="2">
        <v>2.5309204008233301E-2</v>
      </c>
      <c r="G4073" s="2">
        <v>2</v>
      </c>
    </row>
    <row r="4074" spans="1:7" x14ac:dyDescent="0.2">
      <c r="A4074" s="2" t="s">
        <v>62</v>
      </c>
      <c r="B4074" s="14">
        <v>39326</v>
      </c>
      <c r="C4074" s="2">
        <v>-9.2611119049999996E-2</v>
      </c>
      <c r="D4074" s="19">
        <v>9.0233275999999996E-5</v>
      </c>
      <c r="E4074" s="2">
        <v>1</v>
      </c>
      <c r="F4074" s="2">
        <v>2.40029541492012E-2</v>
      </c>
      <c r="G4074" s="2">
        <v>2</v>
      </c>
    </row>
    <row r="4075" spans="1:7" x14ac:dyDescent="0.2">
      <c r="A4075" s="2" t="s">
        <v>62</v>
      </c>
      <c r="B4075" s="14">
        <v>39356</v>
      </c>
      <c r="C4075" s="2">
        <v>-2.8823436761999999E-2</v>
      </c>
      <c r="D4075" s="2">
        <v>-6.6050761000000001E-3</v>
      </c>
      <c r="E4075" s="2">
        <v>1</v>
      </c>
      <c r="F4075" s="2">
        <v>2.15219772333477E-2</v>
      </c>
      <c r="G4075" s="2">
        <v>2</v>
      </c>
    </row>
    <row r="4076" spans="1:7" x14ac:dyDescent="0.2">
      <c r="A4076" s="2" t="s">
        <v>62</v>
      </c>
      <c r="B4076" s="14">
        <v>39387</v>
      </c>
      <c r="C4076" s="2">
        <v>3.0651962373999999E-2</v>
      </c>
      <c r="D4076" s="2">
        <v>9.6798846000000008E-3</v>
      </c>
      <c r="E4076" s="2">
        <v>1</v>
      </c>
      <c r="F4076" s="2">
        <v>1.9155066958474801E-2</v>
      </c>
      <c r="G4076" s="2">
        <v>2</v>
      </c>
    </row>
    <row r="4077" spans="1:7" x14ac:dyDescent="0.2">
      <c r="A4077" s="2" t="s">
        <v>62</v>
      </c>
      <c r="B4077" s="14">
        <v>39417</v>
      </c>
      <c r="C4077" s="2">
        <v>-0.10464201416</v>
      </c>
      <c r="D4077" s="2">
        <v>5.9684947999999998E-3</v>
      </c>
      <c r="E4077" s="2">
        <v>1</v>
      </c>
      <c r="F4077" s="2">
        <v>1.9453985201734601E-2</v>
      </c>
      <c r="G4077" s="2">
        <v>2</v>
      </c>
    </row>
    <row r="4078" spans="1:7" x14ac:dyDescent="0.2">
      <c r="A4078" s="2" t="s">
        <v>62</v>
      </c>
      <c r="B4078" s="14">
        <v>39448</v>
      </c>
      <c r="C4078" s="2">
        <v>-0.14129814998000001</v>
      </c>
      <c r="D4078" s="2">
        <v>1.7553451000000001E-2</v>
      </c>
      <c r="E4078" s="2">
        <v>1</v>
      </c>
      <c r="F4078" s="2">
        <v>1.36333613799022E-2</v>
      </c>
      <c r="G4078" s="2">
        <v>2</v>
      </c>
    </row>
    <row r="4079" spans="1:7" x14ac:dyDescent="0.2">
      <c r="A4079" s="2" t="s">
        <v>62</v>
      </c>
      <c r="B4079" s="14">
        <v>39479</v>
      </c>
      <c r="C4079" s="2">
        <v>0.10950946642999999</v>
      </c>
      <c r="D4079" s="2">
        <v>5.3398357999999999E-4</v>
      </c>
      <c r="E4079" s="2">
        <v>1</v>
      </c>
      <c r="F4079" s="2">
        <v>9.8794456637380703E-3</v>
      </c>
      <c r="G4079" s="2">
        <v>2</v>
      </c>
    </row>
    <row r="4080" spans="1:7" x14ac:dyDescent="0.2">
      <c r="A4080" s="2" t="s">
        <v>62</v>
      </c>
      <c r="B4080" s="14">
        <v>39508</v>
      </c>
      <c r="C4080" s="2">
        <v>-4.6344774093000002E-2</v>
      </c>
      <c r="D4080" s="2">
        <v>8.6350634000000005E-4</v>
      </c>
      <c r="E4080" s="2">
        <v>1</v>
      </c>
      <c r="F4080" s="2">
        <v>1.50911831983036E-2</v>
      </c>
      <c r="G4080" s="2">
        <v>2</v>
      </c>
    </row>
    <row r="4081" spans="1:7" x14ac:dyDescent="0.2">
      <c r="A4081" s="2" t="s">
        <v>62</v>
      </c>
      <c r="B4081" s="14">
        <v>39539</v>
      </c>
      <c r="C4081" s="2">
        <v>0.11427409516000001</v>
      </c>
      <c r="D4081" s="19">
        <v>4.1462816000000003E-5</v>
      </c>
      <c r="E4081" s="2">
        <v>1</v>
      </c>
      <c r="F4081" s="2">
        <v>1.6545462772715801E-2</v>
      </c>
      <c r="G4081" s="2">
        <v>2</v>
      </c>
    </row>
    <row r="4082" spans="1:7" x14ac:dyDescent="0.2">
      <c r="A4082" s="2" t="s">
        <v>62</v>
      </c>
      <c r="B4082" s="14">
        <v>39569</v>
      </c>
      <c r="C4082" s="2">
        <v>-2.4087591241E-2</v>
      </c>
      <c r="D4082" s="2">
        <v>-6.6966717000000002E-3</v>
      </c>
      <c r="E4082" s="2">
        <v>1</v>
      </c>
      <c r="F4082" s="2">
        <v>2.0545275675312401E-2</v>
      </c>
      <c r="G4082" s="2">
        <v>2</v>
      </c>
    </row>
    <row r="4083" spans="1:7" x14ac:dyDescent="0.2">
      <c r="A4083" s="2" t="s">
        <v>62</v>
      </c>
      <c r="B4083" s="14">
        <v>39600</v>
      </c>
      <c r="C4083" s="2">
        <v>-9.3118922960999995E-2</v>
      </c>
      <c r="D4083" s="2">
        <v>-4.5105331000000002E-3</v>
      </c>
      <c r="E4083" s="2">
        <v>1</v>
      </c>
      <c r="F4083" s="2">
        <v>1.9014215008691399E-2</v>
      </c>
      <c r="G4083" s="2">
        <v>2</v>
      </c>
    </row>
    <row r="4084" spans="1:7" x14ac:dyDescent="0.2">
      <c r="A4084" s="2" t="s">
        <v>62</v>
      </c>
      <c r="B4084" s="14">
        <v>39630</v>
      </c>
      <c r="C4084" s="2">
        <v>-2.0618556699999999E-2</v>
      </c>
      <c r="D4084" s="19">
        <v>-4.3512561999999997E-5</v>
      </c>
      <c r="E4084" s="2">
        <v>1</v>
      </c>
      <c r="F4084" s="2">
        <v>1.9454922525458399E-2</v>
      </c>
      <c r="G4084" s="2">
        <v>2</v>
      </c>
    </row>
    <row r="4085" spans="1:7" x14ac:dyDescent="0.2">
      <c r="A4085" s="2" t="s">
        <v>62</v>
      </c>
      <c r="B4085" s="14">
        <v>39661</v>
      </c>
      <c r="C4085" s="2">
        <v>-3.9999999999000002E-3</v>
      </c>
      <c r="D4085" s="2">
        <v>4.7693128000000001E-4</v>
      </c>
      <c r="E4085" s="2">
        <v>1</v>
      </c>
      <c r="F4085" s="2">
        <v>2.37864609580225E-2</v>
      </c>
      <c r="G4085" s="2">
        <v>2</v>
      </c>
    </row>
    <row r="4086" spans="1:7" x14ac:dyDescent="0.2">
      <c r="A4086" s="2" t="s">
        <v>62</v>
      </c>
      <c r="B4086" s="14">
        <v>39692</v>
      </c>
      <c r="C4086" s="2">
        <v>1.0357218345E-2</v>
      </c>
      <c r="D4086" s="2">
        <v>-2.3956912999999999E-4</v>
      </c>
      <c r="E4086" s="2">
        <v>1</v>
      </c>
      <c r="F4086" s="2">
        <v>2.0500610266074599E-2</v>
      </c>
      <c r="G4086" s="2">
        <v>2</v>
      </c>
    </row>
    <row r="4087" spans="1:7" x14ac:dyDescent="0.2">
      <c r="A4087" s="2" t="s">
        <v>62</v>
      </c>
      <c r="B4087" s="14">
        <v>39722</v>
      </c>
      <c r="C4087" s="2">
        <v>-0.21401673639999999</v>
      </c>
      <c r="D4087" s="19">
        <v>2.4161515999999999E-5</v>
      </c>
      <c r="E4087" s="2">
        <v>1</v>
      </c>
      <c r="F4087" s="2">
        <v>2.2070151562818101E-2</v>
      </c>
      <c r="G4087" s="2">
        <v>2</v>
      </c>
    </row>
    <row r="4088" spans="1:7" x14ac:dyDescent="0.2">
      <c r="A4088" s="2" t="s">
        <v>62</v>
      </c>
      <c r="B4088" s="14">
        <v>39753</v>
      </c>
      <c r="C4088" s="2">
        <v>5.1370774554E-2</v>
      </c>
      <c r="D4088" s="19">
        <v>7.6326669000000004E-6</v>
      </c>
      <c r="E4088" s="2">
        <v>1</v>
      </c>
      <c r="F4088" s="2">
        <v>1.3485502687618001E-2</v>
      </c>
      <c r="G4088" s="2">
        <v>2</v>
      </c>
    </row>
    <row r="4089" spans="1:7" x14ac:dyDescent="0.2">
      <c r="A4089" s="2" t="s">
        <v>62</v>
      </c>
      <c r="B4089" s="14">
        <v>39783</v>
      </c>
      <c r="C4089" s="2">
        <v>0.12632911392000001</v>
      </c>
      <c r="D4089" s="2">
        <v>0</v>
      </c>
      <c r="E4089" s="2">
        <v>1</v>
      </c>
      <c r="F4089" s="2">
        <v>1.55777656668369E-2</v>
      </c>
      <c r="G4089" s="2">
        <v>2</v>
      </c>
    </row>
    <row r="4090" spans="1:7" x14ac:dyDescent="0.2">
      <c r="A4090" s="2" t="s">
        <v>63</v>
      </c>
      <c r="B4090" s="14">
        <v>37591</v>
      </c>
      <c r="E4090" s="2">
        <v>1</v>
      </c>
      <c r="G4090" s="2">
        <v>2</v>
      </c>
    </row>
    <row r="4091" spans="1:7" x14ac:dyDescent="0.2">
      <c r="A4091" s="2" t="s">
        <v>63</v>
      </c>
      <c r="B4091" s="14">
        <v>37622</v>
      </c>
      <c r="E4091" s="2">
        <v>1</v>
      </c>
      <c r="G4091" s="2">
        <v>2</v>
      </c>
    </row>
    <row r="4092" spans="1:7" x14ac:dyDescent="0.2">
      <c r="A4092" s="2" t="s">
        <v>63</v>
      </c>
      <c r="B4092" s="14">
        <v>37653</v>
      </c>
      <c r="E4092" s="2">
        <v>1</v>
      </c>
      <c r="G4092" s="2">
        <v>2</v>
      </c>
    </row>
    <row r="4093" spans="1:7" x14ac:dyDescent="0.2">
      <c r="A4093" s="2" t="s">
        <v>63</v>
      </c>
      <c r="B4093" s="14">
        <v>37681</v>
      </c>
      <c r="E4093" s="2">
        <v>1</v>
      </c>
      <c r="G4093" s="2">
        <v>2</v>
      </c>
    </row>
    <row r="4094" spans="1:7" x14ac:dyDescent="0.2">
      <c r="A4094" s="2" t="s">
        <v>63</v>
      </c>
      <c r="B4094" s="14">
        <v>37712</v>
      </c>
      <c r="E4094" s="2">
        <v>1</v>
      </c>
      <c r="G4094" s="2">
        <v>2</v>
      </c>
    </row>
    <row r="4095" spans="1:7" x14ac:dyDescent="0.2">
      <c r="A4095" s="2" t="s">
        <v>63</v>
      </c>
      <c r="B4095" s="14">
        <v>37742</v>
      </c>
      <c r="E4095" s="2">
        <v>1</v>
      </c>
      <c r="G4095" s="2">
        <v>2</v>
      </c>
    </row>
    <row r="4096" spans="1:7" x14ac:dyDescent="0.2">
      <c r="A4096" s="2" t="s">
        <v>63</v>
      </c>
      <c r="B4096" s="14">
        <v>37773</v>
      </c>
      <c r="E4096" s="2">
        <v>1</v>
      </c>
      <c r="G4096" s="2">
        <v>2</v>
      </c>
    </row>
    <row r="4097" spans="1:7" x14ac:dyDescent="0.2">
      <c r="A4097" s="2" t="s">
        <v>63</v>
      </c>
      <c r="B4097" s="14">
        <v>37803</v>
      </c>
      <c r="E4097" s="2">
        <v>1</v>
      </c>
      <c r="G4097" s="2">
        <v>2</v>
      </c>
    </row>
    <row r="4098" spans="1:7" x14ac:dyDescent="0.2">
      <c r="A4098" s="2" t="s">
        <v>63</v>
      </c>
      <c r="B4098" s="14">
        <v>37834</v>
      </c>
      <c r="E4098" s="2">
        <v>1</v>
      </c>
      <c r="G4098" s="2">
        <v>2</v>
      </c>
    </row>
    <row r="4099" spans="1:7" x14ac:dyDescent="0.2">
      <c r="A4099" s="2" t="s">
        <v>63</v>
      </c>
      <c r="B4099" s="14">
        <v>37865</v>
      </c>
      <c r="E4099" s="2">
        <v>1</v>
      </c>
      <c r="G4099" s="2">
        <v>2</v>
      </c>
    </row>
    <row r="4100" spans="1:7" x14ac:dyDescent="0.2">
      <c r="A4100" s="2" t="s">
        <v>63</v>
      </c>
      <c r="B4100" s="14">
        <v>37895</v>
      </c>
      <c r="E4100" s="2">
        <v>1</v>
      </c>
      <c r="G4100" s="2">
        <v>2</v>
      </c>
    </row>
    <row r="4101" spans="1:7" x14ac:dyDescent="0.2">
      <c r="A4101" s="2" t="s">
        <v>63</v>
      </c>
      <c r="B4101" s="14">
        <v>37926</v>
      </c>
      <c r="E4101" s="2">
        <v>1</v>
      </c>
      <c r="G4101" s="2">
        <v>2</v>
      </c>
    </row>
    <row r="4102" spans="1:7" x14ac:dyDescent="0.2">
      <c r="A4102" s="2" t="s">
        <v>63</v>
      </c>
      <c r="B4102" s="14">
        <v>37956</v>
      </c>
      <c r="E4102" s="2">
        <v>1</v>
      </c>
      <c r="G4102" s="2">
        <v>2</v>
      </c>
    </row>
    <row r="4103" spans="1:7" x14ac:dyDescent="0.2">
      <c r="A4103" s="2" t="s">
        <v>63</v>
      </c>
      <c r="B4103" s="14">
        <v>37987</v>
      </c>
      <c r="E4103" s="2">
        <v>1</v>
      </c>
      <c r="G4103" s="2">
        <v>2</v>
      </c>
    </row>
    <row r="4104" spans="1:7" x14ac:dyDescent="0.2">
      <c r="A4104" s="2" t="s">
        <v>63</v>
      </c>
      <c r="B4104" s="14">
        <v>38018</v>
      </c>
      <c r="E4104" s="2">
        <v>1</v>
      </c>
      <c r="G4104" s="2">
        <v>2</v>
      </c>
    </row>
    <row r="4105" spans="1:7" x14ac:dyDescent="0.2">
      <c r="A4105" s="2" t="s">
        <v>63</v>
      </c>
      <c r="B4105" s="14">
        <v>38047</v>
      </c>
      <c r="E4105" s="2">
        <v>1</v>
      </c>
      <c r="G4105" s="2">
        <v>2</v>
      </c>
    </row>
    <row r="4106" spans="1:7" x14ac:dyDescent="0.2">
      <c r="A4106" s="2" t="s">
        <v>63</v>
      </c>
      <c r="B4106" s="14">
        <v>38078</v>
      </c>
      <c r="E4106" s="2">
        <v>1</v>
      </c>
      <c r="G4106" s="2">
        <v>2</v>
      </c>
    </row>
    <row r="4107" spans="1:7" x14ac:dyDescent="0.2">
      <c r="A4107" s="2" t="s">
        <v>63</v>
      </c>
      <c r="B4107" s="14">
        <v>38108</v>
      </c>
      <c r="E4107" s="2">
        <v>1</v>
      </c>
      <c r="G4107" s="2">
        <v>2</v>
      </c>
    </row>
    <row r="4108" spans="1:7" x14ac:dyDescent="0.2">
      <c r="A4108" s="2" t="s">
        <v>63</v>
      </c>
      <c r="B4108" s="14">
        <v>38139</v>
      </c>
      <c r="E4108" s="2">
        <v>1</v>
      </c>
      <c r="G4108" s="2">
        <v>2</v>
      </c>
    </row>
    <row r="4109" spans="1:7" x14ac:dyDescent="0.2">
      <c r="A4109" s="2" t="s">
        <v>63</v>
      </c>
      <c r="B4109" s="14">
        <v>38169</v>
      </c>
      <c r="E4109" s="2">
        <v>1</v>
      </c>
      <c r="G4109" s="2">
        <v>2</v>
      </c>
    </row>
    <row r="4110" spans="1:7" x14ac:dyDescent="0.2">
      <c r="A4110" s="2" t="s">
        <v>63</v>
      </c>
      <c r="B4110" s="14">
        <v>38200</v>
      </c>
      <c r="C4110" s="2">
        <v>-0.25925925925999999</v>
      </c>
      <c r="E4110" s="2">
        <v>1</v>
      </c>
      <c r="G4110" s="2">
        <v>2</v>
      </c>
    </row>
    <row r="4111" spans="1:7" x14ac:dyDescent="0.2">
      <c r="A4111" s="2" t="s">
        <v>63</v>
      </c>
      <c r="B4111" s="14">
        <v>38231</v>
      </c>
      <c r="C4111" s="2">
        <v>0</v>
      </c>
      <c r="E4111" s="2">
        <v>1</v>
      </c>
      <c r="G4111" s="2">
        <v>2</v>
      </c>
    </row>
    <row r="4112" spans="1:7" x14ac:dyDescent="0.2">
      <c r="A4112" s="2" t="s">
        <v>63</v>
      </c>
      <c r="B4112" s="14">
        <v>38261</v>
      </c>
      <c r="C4112" s="2">
        <v>0</v>
      </c>
      <c r="E4112" s="2">
        <v>1</v>
      </c>
      <c r="G4112" s="2">
        <v>2</v>
      </c>
    </row>
    <row r="4113" spans="1:7" x14ac:dyDescent="0.2">
      <c r="A4113" s="2" t="s">
        <v>63</v>
      </c>
      <c r="B4113" s="14">
        <v>38292</v>
      </c>
      <c r="C4113" s="2">
        <v>0</v>
      </c>
      <c r="E4113" s="2">
        <v>1</v>
      </c>
      <c r="G4113" s="2">
        <v>2</v>
      </c>
    </row>
    <row r="4114" spans="1:7" x14ac:dyDescent="0.2">
      <c r="A4114" s="2" t="s">
        <v>63</v>
      </c>
      <c r="B4114" s="14">
        <v>38322</v>
      </c>
      <c r="C4114" s="2">
        <v>0.125</v>
      </c>
      <c r="E4114" s="2">
        <v>1</v>
      </c>
      <c r="G4114" s="2">
        <v>2</v>
      </c>
    </row>
    <row r="4115" spans="1:7" x14ac:dyDescent="0.2">
      <c r="A4115" s="2" t="s">
        <v>63</v>
      </c>
      <c r="B4115" s="14">
        <v>38353</v>
      </c>
      <c r="C4115" s="2">
        <v>0</v>
      </c>
      <c r="E4115" s="2">
        <v>1</v>
      </c>
      <c r="G4115" s="2">
        <v>2</v>
      </c>
    </row>
    <row r="4116" spans="1:7" x14ac:dyDescent="0.2">
      <c r="A4116" s="2" t="s">
        <v>63</v>
      </c>
      <c r="B4116" s="14">
        <v>38384</v>
      </c>
      <c r="C4116" s="2">
        <v>0.27777777778000001</v>
      </c>
      <c r="E4116" s="2">
        <v>1</v>
      </c>
      <c r="G4116" s="2">
        <v>2</v>
      </c>
    </row>
    <row r="4117" spans="1:7" x14ac:dyDescent="0.2">
      <c r="A4117" s="2" t="s">
        <v>63</v>
      </c>
      <c r="B4117" s="14">
        <v>38412</v>
      </c>
      <c r="C4117" s="2">
        <v>0</v>
      </c>
      <c r="E4117" s="2">
        <v>1</v>
      </c>
      <c r="G4117" s="2">
        <v>2</v>
      </c>
    </row>
    <row r="4118" spans="1:7" x14ac:dyDescent="0.2">
      <c r="A4118" s="2" t="s">
        <v>63</v>
      </c>
      <c r="B4118" s="14">
        <v>38443</v>
      </c>
      <c r="C4118" s="2">
        <v>0</v>
      </c>
      <c r="E4118" s="2">
        <v>1</v>
      </c>
      <c r="G4118" s="2">
        <v>2</v>
      </c>
    </row>
    <row r="4119" spans="1:7" x14ac:dyDescent="0.2">
      <c r="A4119" s="2" t="s">
        <v>63</v>
      </c>
      <c r="B4119" s="14">
        <v>38473</v>
      </c>
      <c r="E4119" s="2">
        <v>1</v>
      </c>
      <c r="G4119" s="2">
        <v>2</v>
      </c>
    </row>
    <row r="4120" spans="1:7" x14ac:dyDescent="0.2">
      <c r="A4120" s="2" t="s">
        <v>63</v>
      </c>
      <c r="B4120" s="14">
        <v>38504</v>
      </c>
      <c r="C4120" s="2">
        <v>0</v>
      </c>
      <c r="E4120" s="2">
        <v>1</v>
      </c>
      <c r="G4120" s="2">
        <v>2</v>
      </c>
    </row>
    <row r="4121" spans="1:7" x14ac:dyDescent="0.2">
      <c r="A4121" s="2" t="s">
        <v>63</v>
      </c>
      <c r="B4121" s="14">
        <v>38534</v>
      </c>
      <c r="C4121" s="2">
        <v>0</v>
      </c>
      <c r="D4121" s="2">
        <v>0</v>
      </c>
      <c r="E4121" s="2">
        <v>1</v>
      </c>
      <c r="G4121" s="2">
        <v>2</v>
      </c>
    </row>
    <row r="4122" spans="1:7" x14ac:dyDescent="0.2">
      <c r="A4122" s="2" t="s">
        <v>63</v>
      </c>
      <c r="B4122" s="14">
        <v>38565</v>
      </c>
      <c r="C4122" s="2">
        <v>-0.16521739129999999</v>
      </c>
      <c r="D4122" s="2">
        <v>0</v>
      </c>
      <c r="E4122" s="2">
        <v>1</v>
      </c>
      <c r="G4122" s="2">
        <v>2</v>
      </c>
    </row>
    <row r="4123" spans="1:7" x14ac:dyDescent="0.2">
      <c r="A4123" s="2" t="s">
        <v>63</v>
      </c>
      <c r="B4123" s="14">
        <v>38596</v>
      </c>
      <c r="C4123" s="2">
        <v>2.0833333327999999E-3</v>
      </c>
      <c r="D4123" s="2">
        <v>0</v>
      </c>
      <c r="E4123" s="2">
        <v>1</v>
      </c>
      <c r="G4123" s="2">
        <v>2</v>
      </c>
    </row>
    <row r="4124" spans="1:7" x14ac:dyDescent="0.2">
      <c r="A4124" s="2" t="s">
        <v>63</v>
      </c>
      <c r="B4124" s="14">
        <v>38626</v>
      </c>
      <c r="C4124" s="2">
        <v>0</v>
      </c>
      <c r="D4124" s="2">
        <v>0</v>
      </c>
      <c r="E4124" s="2">
        <v>1</v>
      </c>
      <c r="G4124" s="2">
        <v>2</v>
      </c>
    </row>
    <row r="4125" spans="1:7" x14ac:dyDescent="0.2">
      <c r="A4125" s="2" t="s">
        <v>63</v>
      </c>
      <c r="B4125" s="14">
        <v>38657</v>
      </c>
      <c r="C4125" s="2">
        <v>-2.2869022869E-2</v>
      </c>
      <c r="D4125" s="2">
        <v>0</v>
      </c>
      <c r="E4125" s="2">
        <v>1</v>
      </c>
      <c r="G4125" s="2">
        <v>2</v>
      </c>
    </row>
    <row r="4126" spans="1:7" x14ac:dyDescent="0.2">
      <c r="A4126" s="2" t="s">
        <v>63</v>
      </c>
      <c r="B4126" s="14">
        <v>38687</v>
      </c>
      <c r="C4126" s="2">
        <v>-0.14893617021</v>
      </c>
      <c r="D4126" s="2">
        <v>0</v>
      </c>
      <c r="E4126" s="2">
        <v>1</v>
      </c>
      <c r="G4126" s="2">
        <v>2</v>
      </c>
    </row>
    <row r="4127" spans="1:7" x14ac:dyDescent="0.2">
      <c r="A4127" s="2" t="s">
        <v>63</v>
      </c>
      <c r="B4127" s="14">
        <v>38718</v>
      </c>
      <c r="C4127" s="2">
        <v>0</v>
      </c>
      <c r="D4127" s="2">
        <v>0</v>
      </c>
      <c r="E4127" s="2">
        <v>1</v>
      </c>
      <c r="G4127" s="2">
        <v>2</v>
      </c>
    </row>
    <row r="4128" spans="1:7" x14ac:dyDescent="0.2">
      <c r="A4128" s="2" t="s">
        <v>63</v>
      </c>
      <c r="B4128" s="14">
        <v>38749</v>
      </c>
      <c r="D4128" s="2">
        <v>0</v>
      </c>
      <c r="E4128" s="2">
        <v>1</v>
      </c>
      <c r="G4128" s="2">
        <v>2</v>
      </c>
    </row>
    <row r="4129" spans="1:7" x14ac:dyDescent="0.2">
      <c r="A4129" s="2" t="s">
        <v>63</v>
      </c>
      <c r="B4129" s="14">
        <v>38777</v>
      </c>
      <c r="C4129" s="2">
        <v>0</v>
      </c>
      <c r="D4129" s="2">
        <v>0</v>
      </c>
      <c r="E4129" s="2">
        <v>1</v>
      </c>
      <c r="G4129" s="2">
        <v>2</v>
      </c>
    </row>
    <row r="4130" spans="1:7" x14ac:dyDescent="0.2">
      <c r="A4130" s="2" t="s">
        <v>63</v>
      </c>
      <c r="B4130" s="14">
        <v>38808</v>
      </c>
      <c r="C4130" s="2">
        <v>0</v>
      </c>
      <c r="D4130" s="2">
        <v>0</v>
      </c>
      <c r="E4130" s="2">
        <v>1</v>
      </c>
      <c r="G4130" s="2">
        <v>2</v>
      </c>
    </row>
    <row r="4131" spans="1:7" x14ac:dyDescent="0.2">
      <c r="A4131" s="2" t="s">
        <v>63</v>
      </c>
      <c r="B4131" s="14">
        <v>38838</v>
      </c>
      <c r="C4131" s="2">
        <v>0</v>
      </c>
      <c r="D4131" s="2">
        <v>0</v>
      </c>
      <c r="E4131" s="2">
        <v>1</v>
      </c>
      <c r="G4131" s="2">
        <v>2</v>
      </c>
    </row>
    <row r="4132" spans="1:7" x14ac:dyDescent="0.2">
      <c r="A4132" s="2" t="s">
        <v>63</v>
      </c>
      <c r="B4132" s="14">
        <v>38869</v>
      </c>
      <c r="C4132" s="2">
        <v>0</v>
      </c>
      <c r="D4132" s="2">
        <v>0</v>
      </c>
      <c r="E4132" s="2">
        <v>1</v>
      </c>
      <c r="G4132" s="2">
        <v>2</v>
      </c>
    </row>
    <row r="4133" spans="1:7" x14ac:dyDescent="0.2">
      <c r="A4133" s="2" t="s">
        <v>63</v>
      </c>
      <c r="B4133" s="14">
        <v>38899</v>
      </c>
      <c r="C4133" s="2">
        <v>-3.7500000000999997E-2</v>
      </c>
      <c r="D4133" s="2">
        <v>0</v>
      </c>
      <c r="E4133" s="2">
        <v>1</v>
      </c>
      <c r="G4133" s="2">
        <v>2</v>
      </c>
    </row>
    <row r="4134" spans="1:7" x14ac:dyDescent="0.2">
      <c r="A4134" s="2" t="s">
        <v>63</v>
      </c>
      <c r="B4134" s="14">
        <v>38930</v>
      </c>
      <c r="C4134" s="2">
        <v>0</v>
      </c>
      <c r="D4134" s="2">
        <v>0</v>
      </c>
      <c r="E4134" s="2">
        <v>1</v>
      </c>
      <c r="G4134" s="2">
        <v>2</v>
      </c>
    </row>
    <row r="4135" spans="1:7" x14ac:dyDescent="0.2">
      <c r="A4135" s="2" t="s">
        <v>63</v>
      </c>
      <c r="B4135" s="14">
        <v>38961</v>
      </c>
      <c r="D4135" s="2">
        <v>0</v>
      </c>
      <c r="E4135" s="2">
        <v>1</v>
      </c>
      <c r="G4135" s="2">
        <v>2</v>
      </c>
    </row>
    <row r="4136" spans="1:7" x14ac:dyDescent="0.2">
      <c r="A4136" s="2" t="s">
        <v>63</v>
      </c>
      <c r="B4136" s="14">
        <v>38991</v>
      </c>
      <c r="C4136" s="2">
        <v>0</v>
      </c>
      <c r="D4136" s="2">
        <v>0</v>
      </c>
      <c r="E4136" s="2">
        <v>1</v>
      </c>
      <c r="G4136" s="2">
        <v>2</v>
      </c>
    </row>
    <row r="4137" spans="1:7" x14ac:dyDescent="0.2">
      <c r="A4137" s="2" t="s">
        <v>63</v>
      </c>
      <c r="B4137" s="14">
        <v>39022</v>
      </c>
      <c r="C4137" s="2">
        <v>0</v>
      </c>
      <c r="D4137" s="2">
        <v>0</v>
      </c>
      <c r="E4137" s="2">
        <v>1</v>
      </c>
      <c r="G4137" s="2">
        <v>2</v>
      </c>
    </row>
    <row r="4138" spans="1:7" x14ac:dyDescent="0.2">
      <c r="A4138" s="2" t="s">
        <v>63</v>
      </c>
      <c r="B4138" s="14">
        <v>39052</v>
      </c>
      <c r="C4138" s="2">
        <v>-0.16883116882999999</v>
      </c>
      <c r="D4138" s="2">
        <v>0</v>
      </c>
      <c r="E4138" s="2">
        <v>1</v>
      </c>
      <c r="G4138" s="2">
        <v>2</v>
      </c>
    </row>
    <row r="4139" spans="1:7" x14ac:dyDescent="0.2">
      <c r="A4139" s="2" t="s">
        <v>63</v>
      </c>
      <c r="B4139" s="14">
        <v>39083</v>
      </c>
      <c r="D4139" s="2">
        <v>0</v>
      </c>
      <c r="E4139" s="2">
        <v>1</v>
      </c>
      <c r="G4139" s="2">
        <v>2</v>
      </c>
    </row>
    <row r="4140" spans="1:7" x14ac:dyDescent="0.2">
      <c r="A4140" s="2" t="s">
        <v>63</v>
      </c>
      <c r="B4140" s="14">
        <v>39114</v>
      </c>
      <c r="C4140" s="2">
        <v>0</v>
      </c>
      <c r="D4140" s="2">
        <v>0</v>
      </c>
      <c r="E4140" s="2">
        <v>1</v>
      </c>
      <c r="G4140" s="2">
        <v>2</v>
      </c>
    </row>
    <row r="4141" spans="1:7" x14ac:dyDescent="0.2">
      <c r="A4141" s="2" t="s">
        <v>63</v>
      </c>
      <c r="B4141" s="14">
        <v>39142</v>
      </c>
      <c r="C4141" s="2">
        <v>-6.25E-2</v>
      </c>
      <c r="D4141" s="2">
        <v>0</v>
      </c>
      <c r="E4141" s="2">
        <v>1</v>
      </c>
      <c r="G4141" s="2">
        <v>2</v>
      </c>
    </row>
    <row r="4142" spans="1:7" x14ac:dyDescent="0.2">
      <c r="A4142" s="2" t="s">
        <v>63</v>
      </c>
      <c r="B4142" s="14">
        <v>39173</v>
      </c>
      <c r="C4142" s="2">
        <v>0</v>
      </c>
      <c r="D4142" s="2">
        <v>0</v>
      </c>
      <c r="E4142" s="2">
        <v>1</v>
      </c>
      <c r="G4142" s="2">
        <v>2</v>
      </c>
    </row>
    <row r="4143" spans="1:7" x14ac:dyDescent="0.2">
      <c r="A4143" s="2" t="s">
        <v>63</v>
      </c>
      <c r="B4143" s="14">
        <v>39203</v>
      </c>
      <c r="C4143" s="2">
        <v>0</v>
      </c>
      <c r="D4143" s="2">
        <v>0</v>
      </c>
      <c r="E4143" s="2">
        <v>1</v>
      </c>
      <c r="G4143" s="2">
        <v>2</v>
      </c>
    </row>
    <row r="4144" spans="1:7" x14ac:dyDescent="0.2">
      <c r="A4144" s="2" t="s">
        <v>63</v>
      </c>
      <c r="B4144" s="14">
        <v>39234</v>
      </c>
      <c r="C4144" s="2">
        <v>0</v>
      </c>
      <c r="D4144" s="2">
        <v>0</v>
      </c>
      <c r="E4144" s="2">
        <v>1</v>
      </c>
      <c r="G4144" s="2">
        <v>2</v>
      </c>
    </row>
    <row r="4145" spans="1:7" x14ac:dyDescent="0.2">
      <c r="A4145" s="2" t="s">
        <v>63</v>
      </c>
      <c r="B4145" s="14">
        <v>39264</v>
      </c>
      <c r="C4145" s="2">
        <v>0</v>
      </c>
      <c r="D4145" s="2">
        <v>0</v>
      </c>
      <c r="E4145" s="2">
        <v>1</v>
      </c>
      <c r="G4145" s="2">
        <v>2</v>
      </c>
    </row>
    <row r="4146" spans="1:7" x14ac:dyDescent="0.2">
      <c r="A4146" s="2" t="s">
        <v>63</v>
      </c>
      <c r="B4146" s="14">
        <v>39295</v>
      </c>
      <c r="C4146" s="2">
        <v>0</v>
      </c>
      <c r="D4146" s="2">
        <v>0</v>
      </c>
      <c r="E4146" s="2">
        <v>1</v>
      </c>
      <c r="G4146" s="2">
        <v>2</v>
      </c>
    </row>
    <row r="4147" spans="1:7" x14ac:dyDescent="0.2">
      <c r="A4147" s="2" t="s">
        <v>63</v>
      </c>
      <c r="B4147" s="14">
        <v>39326</v>
      </c>
      <c r="C4147" s="2">
        <v>0</v>
      </c>
      <c r="D4147" s="2">
        <v>0</v>
      </c>
      <c r="E4147" s="2">
        <v>1</v>
      </c>
      <c r="G4147" s="2">
        <v>2</v>
      </c>
    </row>
    <row r="4148" spans="1:7" x14ac:dyDescent="0.2">
      <c r="A4148" s="2" t="s">
        <v>63</v>
      </c>
      <c r="B4148" s="14">
        <v>39356</v>
      </c>
      <c r="C4148" s="2">
        <v>0</v>
      </c>
      <c r="D4148" s="2">
        <v>0</v>
      </c>
      <c r="E4148" s="2">
        <v>1</v>
      </c>
      <c r="G4148" s="2">
        <v>2</v>
      </c>
    </row>
    <row r="4149" spans="1:7" x14ac:dyDescent="0.2">
      <c r="A4149" s="2" t="s">
        <v>63</v>
      </c>
      <c r="B4149" s="14">
        <v>39387</v>
      </c>
      <c r="C4149" s="2">
        <v>0</v>
      </c>
      <c r="D4149" s="2">
        <v>0</v>
      </c>
      <c r="E4149" s="2">
        <v>1</v>
      </c>
      <c r="G4149" s="2">
        <v>2</v>
      </c>
    </row>
    <row r="4150" spans="1:7" x14ac:dyDescent="0.2">
      <c r="A4150" s="2" t="s">
        <v>63</v>
      </c>
      <c r="B4150" s="14">
        <v>39417</v>
      </c>
      <c r="C4150" s="2">
        <v>0</v>
      </c>
      <c r="D4150" s="2">
        <v>0</v>
      </c>
      <c r="E4150" s="2">
        <v>1</v>
      </c>
      <c r="G4150" s="2">
        <v>2</v>
      </c>
    </row>
    <row r="4151" spans="1:7" x14ac:dyDescent="0.2">
      <c r="A4151" s="2" t="s">
        <v>63</v>
      </c>
      <c r="B4151" s="14">
        <v>39448</v>
      </c>
      <c r="D4151" s="2">
        <v>0</v>
      </c>
      <c r="E4151" s="2">
        <v>1</v>
      </c>
      <c r="G4151" s="2">
        <v>2</v>
      </c>
    </row>
    <row r="4152" spans="1:7" x14ac:dyDescent="0.2">
      <c r="A4152" s="2" t="s">
        <v>63</v>
      </c>
      <c r="B4152" s="14">
        <v>39479</v>
      </c>
      <c r="D4152" s="2">
        <v>0</v>
      </c>
      <c r="E4152" s="2">
        <v>1</v>
      </c>
      <c r="G4152" s="2">
        <v>2</v>
      </c>
    </row>
    <row r="4153" spans="1:7" x14ac:dyDescent="0.2">
      <c r="A4153" s="2" t="s">
        <v>63</v>
      </c>
      <c r="B4153" s="14">
        <v>39508</v>
      </c>
      <c r="D4153" s="2">
        <v>0</v>
      </c>
      <c r="E4153" s="2">
        <v>1</v>
      </c>
      <c r="G4153" s="2">
        <v>2</v>
      </c>
    </row>
    <row r="4154" spans="1:7" x14ac:dyDescent="0.2">
      <c r="A4154" s="2" t="s">
        <v>63</v>
      </c>
      <c r="B4154" s="14">
        <v>39539</v>
      </c>
      <c r="D4154" s="2">
        <v>0</v>
      </c>
      <c r="E4154" s="2">
        <v>1</v>
      </c>
      <c r="G4154" s="2">
        <v>2</v>
      </c>
    </row>
    <row r="4155" spans="1:7" x14ac:dyDescent="0.2">
      <c r="A4155" s="2" t="s">
        <v>63</v>
      </c>
      <c r="B4155" s="14">
        <v>39569</v>
      </c>
      <c r="C4155" s="2">
        <v>-0.16666666666999999</v>
      </c>
      <c r="D4155" s="2">
        <v>0</v>
      </c>
      <c r="E4155" s="2">
        <v>1</v>
      </c>
      <c r="G4155" s="2">
        <v>2</v>
      </c>
    </row>
    <row r="4156" spans="1:7" x14ac:dyDescent="0.2">
      <c r="A4156" s="2" t="s">
        <v>63</v>
      </c>
      <c r="B4156" s="14">
        <v>39600</v>
      </c>
      <c r="C4156" s="2">
        <v>-0.12</v>
      </c>
      <c r="D4156" s="2">
        <v>0</v>
      </c>
      <c r="E4156" s="2">
        <v>1</v>
      </c>
      <c r="G4156" s="2">
        <v>2</v>
      </c>
    </row>
    <row r="4157" spans="1:7" x14ac:dyDescent="0.2">
      <c r="A4157" s="2" t="s">
        <v>63</v>
      </c>
      <c r="B4157" s="14">
        <v>39630</v>
      </c>
      <c r="D4157" s="2">
        <v>0</v>
      </c>
      <c r="E4157" s="2">
        <v>1</v>
      </c>
      <c r="G4157" s="2">
        <v>2</v>
      </c>
    </row>
    <row r="4158" spans="1:7" x14ac:dyDescent="0.2">
      <c r="A4158" s="2" t="s">
        <v>63</v>
      </c>
      <c r="B4158" s="14">
        <v>39661</v>
      </c>
      <c r="C4158" s="2">
        <v>0</v>
      </c>
      <c r="D4158" s="2">
        <v>0</v>
      </c>
      <c r="E4158" s="2">
        <v>1</v>
      </c>
      <c r="G4158" s="2">
        <v>2</v>
      </c>
    </row>
    <row r="4159" spans="1:7" x14ac:dyDescent="0.2">
      <c r="A4159" s="2" t="s">
        <v>63</v>
      </c>
      <c r="B4159" s="14">
        <v>39692</v>
      </c>
      <c r="D4159" s="2">
        <v>0</v>
      </c>
      <c r="E4159" s="2">
        <v>1</v>
      </c>
      <c r="G4159" s="2">
        <v>2</v>
      </c>
    </row>
    <row r="4160" spans="1:7" x14ac:dyDescent="0.2">
      <c r="A4160" s="2" t="s">
        <v>63</v>
      </c>
      <c r="B4160" s="14">
        <v>39722</v>
      </c>
      <c r="D4160" s="2">
        <v>0</v>
      </c>
      <c r="E4160" s="2">
        <v>1</v>
      </c>
      <c r="G4160" s="2">
        <v>2</v>
      </c>
    </row>
    <row r="4161" spans="1:7" x14ac:dyDescent="0.2">
      <c r="A4161" s="2" t="s">
        <v>63</v>
      </c>
      <c r="B4161" s="14">
        <v>39753</v>
      </c>
      <c r="D4161" s="2">
        <v>0</v>
      </c>
      <c r="E4161" s="2">
        <v>1</v>
      </c>
      <c r="G4161" s="2">
        <v>2</v>
      </c>
    </row>
    <row r="4162" spans="1:7" x14ac:dyDescent="0.2">
      <c r="A4162" s="2" t="s">
        <v>63</v>
      </c>
      <c r="B4162" s="14">
        <v>39783</v>
      </c>
      <c r="D4162" s="2">
        <v>0</v>
      </c>
      <c r="E4162" s="2">
        <v>1</v>
      </c>
      <c r="G4162" s="2">
        <v>2</v>
      </c>
    </row>
    <row r="4163" spans="1:7" x14ac:dyDescent="0.2">
      <c r="A4163" s="2" t="s">
        <v>64</v>
      </c>
      <c r="B4163" s="14">
        <v>37591</v>
      </c>
      <c r="C4163" s="2">
        <v>-1.4285701309999999E-2</v>
      </c>
      <c r="E4163" s="2">
        <v>1</v>
      </c>
      <c r="G4163" s="2">
        <v>1</v>
      </c>
    </row>
    <row r="4164" spans="1:7" x14ac:dyDescent="0.2">
      <c r="A4164" s="2" t="s">
        <v>64</v>
      </c>
      <c r="B4164" s="14">
        <v>37622</v>
      </c>
      <c r="C4164" s="2">
        <v>3.8647422563000002E-2</v>
      </c>
      <c r="E4164" s="2">
        <v>1</v>
      </c>
      <c r="G4164" s="2">
        <v>1</v>
      </c>
    </row>
    <row r="4165" spans="1:7" x14ac:dyDescent="0.2">
      <c r="A4165" s="2" t="s">
        <v>64</v>
      </c>
      <c r="B4165" s="14">
        <v>37653</v>
      </c>
      <c r="C4165" s="2">
        <v>3.2451697426999999E-2</v>
      </c>
      <c r="E4165" s="2">
        <v>1</v>
      </c>
      <c r="G4165" s="2">
        <v>1</v>
      </c>
    </row>
    <row r="4166" spans="1:7" x14ac:dyDescent="0.2">
      <c r="A4166" s="2" t="s">
        <v>64</v>
      </c>
      <c r="B4166" s="14">
        <v>37681</v>
      </c>
      <c r="C4166" s="2">
        <v>1.4018677532E-2</v>
      </c>
      <c r="E4166" s="2">
        <v>1</v>
      </c>
      <c r="G4166" s="2">
        <v>1</v>
      </c>
    </row>
    <row r="4167" spans="1:7" x14ac:dyDescent="0.2">
      <c r="A4167" s="2" t="s">
        <v>64</v>
      </c>
      <c r="B4167" s="14">
        <v>37712</v>
      </c>
      <c r="C4167" s="2">
        <v>0.21658986731999999</v>
      </c>
      <c r="E4167" s="2">
        <v>1</v>
      </c>
      <c r="G4167" s="2">
        <v>1</v>
      </c>
    </row>
    <row r="4168" spans="1:7" x14ac:dyDescent="0.2">
      <c r="A4168" s="2" t="s">
        <v>64</v>
      </c>
      <c r="B4168" s="14">
        <v>37742</v>
      </c>
      <c r="C4168" s="2">
        <v>-7.5758403609000003E-3</v>
      </c>
      <c r="E4168" s="2">
        <v>1</v>
      </c>
      <c r="G4168" s="2">
        <v>1</v>
      </c>
    </row>
    <row r="4169" spans="1:7" x14ac:dyDescent="0.2">
      <c r="A4169" s="2" t="s">
        <v>64</v>
      </c>
      <c r="B4169" s="14">
        <v>37773</v>
      </c>
      <c r="C4169" s="2">
        <v>7.6336718393999999E-3</v>
      </c>
      <c r="E4169" s="2">
        <v>1</v>
      </c>
      <c r="G4169" s="2">
        <v>1</v>
      </c>
    </row>
    <row r="4170" spans="1:7" x14ac:dyDescent="0.2">
      <c r="A4170" s="2" t="s">
        <v>64</v>
      </c>
      <c r="B4170" s="14">
        <v>37803</v>
      </c>
      <c r="C4170" s="2">
        <v>-1.1363715385000001E-2</v>
      </c>
      <c r="E4170" s="2">
        <v>1</v>
      </c>
      <c r="G4170" s="2">
        <v>1</v>
      </c>
    </row>
    <row r="4171" spans="1:7" x14ac:dyDescent="0.2">
      <c r="A4171" s="2" t="s">
        <v>64</v>
      </c>
      <c r="B4171" s="14">
        <v>37834</v>
      </c>
      <c r="C4171" s="2">
        <v>0.13026826292999999</v>
      </c>
      <c r="E4171" s="2">
        <v>1</v>
      </c>
      <c r="F4171" s="2">
        <v>2.3917847077567601E-2</v>
      </c>
      <c r="G4171" s="2">
        <v>1</v>
      </c>
    </row>
    <row r="4172" spans="1:7" x14ac:dyDescent="0.2">
      <c r="A4172" s="2" t="s">
        <v>64</v>
      </c>
      <c r="B4172" s="14">
        <v>37865</v>
      </c>
      <c r="C4172" s="2">
        <v>-5.0847489133000003E-2</v>
      </c>
      <c r="E4172" s="2">
        <v>1</v>
      </c>
      <c r="F4172" s="2">
        <v>2.6475133712038301E-2</v>
      </c>
      <c r="G4172" s="2">
        <v>1</v>
      </c>
    </row>
    <row r="4173" spans="1:7" x14ac:dyDescent="0.2">
      <c r="A4173" s="2" t="s">
        <v>64</v>
      </c>
      <c r="B4173" s="14">
        <v>37895</v>
      </c>
      <c r="C4173" s="2">
        <v>8.9285715804999999E-2</v>
      </c>
      <c r="E4173" s="2">
        <v>1</v>
      </c>
      <c r="F4173" s="2">
        <v>2.4764803095605799E-2</v>
      </c>
      <c r="G4173" s="2">
        <v>1</v>
      </c>
    </row>
    <row r="4174" spans="1:7" x14ac:dyDescent="0.2">
      <c r="A4174" s="2" t="s">
        <v>64</v>
      </c>
      <c r="B4174" s="14">
        <v>37926</v>
      </c>
      <c r="C4174" s="2">
        <v>4.5901655696E-2</v>
      </c>
      <c r="E4174" s="2">
        <v>1</v>
      </c>
      <c r="F4174" s="2">
        <v>2.0831825415957E-2</v>
      </c>
      <c r="G4174" s="2">
        <v>1</v>
      </c>
    </row>
    <row r="4175" spans="1:7" x14ac:dyDescent="0.2">
      <c r="A4175" s="2" t="s">
        <v>64</v>
      </c>
      <c r="B4175" s="14">
        <v>37956</v>
      </c>
      <c r="C4175" s="2">
        <v>-2.8213166144000001E-2</v>
      </c>
      <c r="E4175" s="2">
        <v>1</v>
      </c>
      <c r="F4175" s="2">
        <v>2.2198641477357402E-2</v>
      </c>
      <c r="G4175" s="2">
        <v>1</v>
      </c>
    </row>
    <row r="4176" spans="1:7" x14ac:dyDescent="0.2">
      <c r="A4176" s="2" t="s">
        <v>64</v>
      </c>
      <c r="B4176" s="14">
        <v>37987</v>
      </c>
      <c r="C4176" s="2">
        <v>6.4516129041000004E-3</v>
      </c>
      <c r="E4176" s="2">
        <v>1</v>
      </c>
      <c r="F4176" s="2">
        <v>2.1221304086776301E-2</v>
      </c>
      <c r="G4176" s="2">
        <v>1</v>
      </c>
    </row>
    <row r="4177" spans="1:7" x14ac:dyDescent="0.2">
      <c r="A4177" s="2" t="s">
        <v>64</v>
      </c>
      <c r="B4177" s="14">
        <v>38018</v>
      </c>
      <c r="C4177" s="2">
        <v>6.4812053322000004E-2</v>
      </c>
      <c r="E4177" s="2">
        <v>1</v>
      </c>
      <c r="F4177" s="2">
        <v>2.1732955143085202E-2</v>
      </c>
      <c r="G4177" s="2">
        <v>1</v>
      </c>
    </row>
    <row r="4178" spans="1:7" x14ac:dyDescent="0.2">
      <c r="A4178" s="2" t="s">
        <v>64</v>
      </c>
      <c r="B4178" s="14">
        <v>38047</v>
      </c>
      <c r="C4178" s="2">
        <v>-3.7383177570000002E-2</v>
      </c>
      <c r="E4178" s="2">
        <v>1</v>
      </c>
      <c r="F4178" s="2">
        <v>1.97846463746877E-2</v>
      </c>
      <c r="G4178" s="2">
        <v>1</v>
      </c>
    </row>
    <row r="4179" spans="1:7" x14ac:dyDescent="0.2">
      <c r="A4179" s="2" t="s">
        <v>64</v>
      </c>
      <c r="B4179" s="14">
        <v>38078</v>
      </c>
      <c r="C4179" s="2">
        <v>-2.9126213591999999E-2</v>
      </c>
      <c r="E4179" s="2">
        <v>1</v>
      </c>
      <c r="F4179" s="2">
        <v>2.03162127117416E-2</v>
      </c>
      <c r="G4179" s="2">
        <v>1</v>
      </c>
    </row>
    <row r="4180" spans="1:7" x14ac:dyDescent="0.2">
      <c r="A4180" s="2" t="s">
        <v>64</v>
      </c>
      <c r="B4180" s="14">
        <v>38108</v>
      </c>
      <c r="C4180" s="2">
        <v>-4.3333333334000003E-2</v>
      </c>
      <c r="E4180" s="2">
        <v>1</v>
      </c>
      <c r="F4180" s="2">
        <v>1.6536618117039398E-2</v>
      </c>
      <c r="G4180" s="2">
        <v>1</v>
      </c>
    </row>
    <row r="4181" spans="1:7" x14ac:dyDescent="0.2">
      <c r="A4181" s="2" t="s">
        <v>64</v>
      </c>
      <c r="B4181" s="14">
        <v>38139</v>
      </c>
      <c r="C4181" s="2">
        <v>5.9233449479999999E-2</v>
      </c>
      <c r="E4181" s="2">
        <v>1</v>
      </c>
      <c r="F4181" s="2">
        <v>1.41008984045401E-2</v>
      </c>
      <c r="G4181" s="2">
        <v>1</v>
      </c>
    </row>
    <row r="4182" spans="1:7" x14ac:dyDescent="0.2">
      <c r="A4182" s="2" t="s">
        <v>64</v>
      </c>
      <c r="B4182" s="14">
        <v>38169</v>
      </c>
      <c r="C4182" s="2">
        <v>1.9736842104999999E-2</v>
      </c>
      <c r="E4182" s="2">
        <v>1</v>
      </c>
      <c r="F4182" s="2">
        <v>1.6525116603980702E-2</v>
      </c>
      <c r="G4182" s="2">
        <v>1</v>
      </c>
    </row>
    <row r="4183" spans="1:7" x14ac:dyDescent="0.2">
      <c r="A4183" s="2" t="s">
        <v>64</v>
      </c>
      <c r="B4183" s="14">
        <v>38200</v>
      </c>
      <c r="C4183" s="2">
        <v>1.6129032259E-2</v>
      </c>
      <c r="E4183" s="2">
        <v>1</v>
      </c>
      <c r="F4183" s="2">
        <v>1.0950459956939799E-2</v>
      </c>
      <c r="G4183" s="2">
        <v>1</v>
      </c>
    </row>
    <row r="4184" spans="1:7" x14ac:dyDescent="0.2">
      <c r="A4184" s="2" t="s">
        <v>64</v>
      </c>
      <c r="B4184" s="14">
        <v>38231</v>
      </c>
      <c r="C4184" s="2">
        <v>4.7619047618000003E-2</v>
      </c>
      <c r="E4184" s="2">
        <v>1</v>
      </c>
      <c r="F4184" s="2">
        <v>9.2923259236078297E-3</v>
      </c>
      <c r="G4184" s="2">
        <v>1</v>
      </c>
    </row>
    <row r="4185" spans="1:7" x14ac:dyDescent="0.2">
      <c r="A4185" s="2" t="s">
        <v>64</v>
      </c>
      <c r="B4185" s="14">
        <v>38261</v>
      </c>
      <c r="C4185" s="2">
        <v>-1.5151515151E-2</v>
      </c>
      <c r="E4185" s="2">
        <v>1</v>
      </c>
      <c r="F4185" s="2">
        <v>1.15873584691519E-2</v>
      </c>
      <c r="G4185" s="2">
        <v>1</v>
      </c>
    </row>
    <row r="4186" spans="1:7" x14ac:dyDescent="0.2">
      <c r="A4186" s="2" t="s">
        <v>64</v>
      </c>
      <c r="B4186" s="14">
        <v>38292</v>
      </c>
      <c r="C4186" s="2">
        <v>-2.7692307693E-2</v>
      </c>
      <c r="E4186" s="2">
        <v>1</v>
      </c>
      <c r="F4186" s="2">
        <v>1.19248576000034E-2</v>
      </c>
      <c r="G4186" s="2">
        <v>1</v>
      </c>
    </row>
    <row r="4187" spans="1:7" x14ac:dyDescent="0.2">
      <c r="A4187" s="2" t="s">
        <v>64</v>
      </c>
      <c r="B4187" s="14">
        <v>38322</v>
      </c>
      <c r="C4187" s="2">
        <v>9.4936708847E-3</v>
      </c>
      <c r="E4187" s="2">
        <v>1</v>
      </c>
      <c r="F4187" s="2">
        <v>1.2430082039077099E-2</v>
      </c>
      <c r="G4187" s="2">
        <v>1</v>
      </c>
    </row>
    <row r="4188" spans="1:7" x14ac:dyDescent="0.2">
      <c r="A4188" s="2" t="s">
        <v>64</v>
      </c>
      <c r="B4188" s="14">
        <v>38353</v>
      </c>
      <c r="C4188" s="2">
        <v>-2.8213166144000001E-2</v>
      </c>
      <c r="E4188" s="2">
        <v>1</v>
      </c>
      <c r="F4188" s="2">
        <v>1.0948491714354001E-2</v>
      </c>
      <c r="G4188" s="2">
        <v>1</v>
      </c>
    </row>
    <row r="4189" spans="1:7" x14ac:dyDescent="0.2">
      <c r="A4189" s="2" t="s">
        <v>64</v>
      </c>
      <c r="B4189" s="14">
        <v>38384</v>
      </c>
      <c r="C4189" s="2">
        <v>3.7064926384000003E-2</v>
      </c>
      <c r="E4189" s="2">
        <v>1</v>
      </c>
      <c r="F4189" s="2">
        <v>9.6520417890158701E-3</v>
      </c>
      <c r="G4189" s="2">
        <v>1</v>
      </c>
    </row>
    <row r="4190" spans="1:7" x14ac:dyDescent="0.2">
      <c r="A4190" s="2" t="s">
        <v>64</v>
      </c>
      <c r="B4190" s="14">
        <v>38412</v>
      </c>
      <c r="C4190" s="2">
        <v>-2.2580645161000001E-2</v>
      </c>
      <c r="E4190" s="2">
        <v>1</v>
      </c>
      <c r="F4190" s="2">
        <v>1.01943415023269E-2</v>
      </c>
      <c r="G4190" s="2">
        <v>1</v>
      </c>
    </row>
    <row r="4191" spans="1:7" x14ac:dyDescent="0.2">
      <c r="A4191" s="2" t="s">
        <v>64</v>
      </c>
      <c r="B4191" s="14">
        <v>38443</v>
      </c>
      <c r="C4191" s="2">
        <v>-1.9801980197999999E-2</v>
      </c>
      <c r="E4191" s="2">
        <v>1</v>
      </c>
      <c r="F4191" s="2">
        <v>8.1955111466779796E-3</v>
      </c>
      <c r="G4191" s="2">
        <v>1</v>
      </c>
    </row>
    <row r="4192" spans="1:7" x14ac:dyDescent="0.2">
      <c r="A4192" s="2" t="s">
        <v>64</v>
      </c>
      <c r="B4192" s="14">
        <v>38473</v>
      </c>
      <c r="C4192" s="2">
        <v>2.0202020200999999E-2</v>
      </c>
      <c r="E4192" s="2">
        <v>1</v>
      </c>
      <c r="F4192" s="2">
        <v>8.0940992638414803E-3</v>
      </c>
      <c r="G4192" s="2">
        <v>1</v>
      </c>
    </row>
    <row r="4193" spans="1:7" x14ac:dyDescent="0.2">
      <c r="A4193" s="2" t="s">
        <v>64</v>
      </c>
      <c r="B4193" s="14">
        <v>38504</v>
      </c>
      <c r="C4193" s="2">
        <v>6.2706270618999999E-3</v>
      </c>
      <c r="E4193" s="2">
        <v>1</v>
      </c>
      <c r="F4193" s="2">
        <v>9.3750910406129005E-3</v>
      </c>
      <c r="G4193" s="2">
        <v>1</v>
      </c>
    </row>
    <row r="4194" spans="1:7" x14ac:dyDescent="0.2">
      <c r="A4194" s="2" t="s">
        <v>64</v>
      </c>
      <c r="B4194" s="14">
        <v>38534</v>
      </c>
      <c r="C4194" s="2">
        <v>3.3125614956999998E-2</v>
      </c>
      <c r="E4194" s="2">
        <v>1</v>
      </c>
      <c r="F4194" s="2">
        <v>9.1814642861571694E-3</v>
      </c>
      <c r="G4194" s="2">
        <v>1</v>
      </c>
    </row>
    <row r="4195" spans="1:7" x14ac:dyDescent="0.2">
      <c r="A4195" s="2" t="s">
        <v>64</v>
      </c>
      <c r="B4195" s="14">
        <v>38565</v>
      </c>
      <c r="C4195" s="2">
        <v>-1.2380952381E-2</v>
      </c>
      <c r="E4195" s="2">
        <v>1</v>
      </c>
      <c r="F4195" s="2">
        <v>1.24224785176036E-2</v>
      </c>
      <c r="G4195" s="2">
        <v>1</v>
      </c>
    </row>
    <row r="4196" spans="1:7" x14ac:dyDescent="0.2">
      <c r="A4196" s="2" t="s">
        <v>64</v>
      </c>
      <c r="B4196" s="14">
        <v>38596</v>
      </c>
      <c r="C4196" s="2">
        <v>2.3786563806E-2</v>
      </c>
      <c r="E4196" s="2">
        <v>1</v>
      </c>
      <c r="F4196" s="2">
        <v>1.10252495085193E-2</v>
      </c>
      <c r="G4196" s="2">
        <v>1</v>
      </c>
    </row>
    <row r="4197" spans="1:7" x14ac:dyDescent="0.2">
      <c r="A4197" s="2" t="s">
        <v>64</v>
      </c>
      <c r="B4197" s="14">
        <v>38626</v>
      </c>
      <c r="C4197" s="2">
        <v>-4.8665620095000001E-2</v>
      </c>
      <c r="E4197" s="2">
        <v>1</v>
      </c>
      <c r="F4197" s="2">
        <v>1.2256880057679E-2</v>
      </c>
      <c r="G4197" s="2">
        <v>1</v>
      </c>
    </row>
    <row r="4198" spans="1:7" x14ac:dyDescent="0.2">
      <c r="A4198" s="2" t="s">
        <v>64</v>
      </c>
      <c r="B4198" s="14">
        <v>38657</v>
      </c>
      <c r="C4198" s="2">
        <v>-9.9009900986999997E-3</v>
      </c>
      <c r="E4198" s="2">
        <v>1</v>
      </c>
      <c r="F4198" s="2">
        <v>1.16043205978492E-2</v>
      </c>
      <c r="G4198" s="2">
        <v>1</v>
      </c>
    </row>
    <row r="4199" spans="1:7" x14ac:dyDescent="0.2">
      <c r="A4199" s="2" t="s">
        <v>64</v>
      </c>
      <c r="B4199" s="14">
        <v>38687</v>
      </c>
      <c r="C4199" s="2">
        <v>-6.6666666666999996E-2</v>
      </c>
      <c r="E4199" s="2">
        <v>1</v>
      </c>
      <c r="F4199" s="2">
        <v>1.07382691051795E-2</v>
      </c>
      <c r="G4199" s="2">
        <v>1</v>
      </c>
    </row>
    <row r="4200" spans="1:7" x14ac:dyDescent="0.2">
      <c r="A4200" s="2" t="s">
        <v>64</v>
      </c>
      <c r="B4200" s="14">
        <v>38718</v>
      </c>
      <c r="C4200" s="2">
        <v>5.7142857142E-2</v>
      </c>
      <c r="E4200" s="2">
        <v>1</v>
      </c>
      <c r="F4200" s="2">
        <v>8.8950827828023597E-3</v>
      </c>
      <c r="G4200" s="2">
        <v>1</v>
      </c>
    </row>
    <row r="4201" spans="1:7" x14ac:dyDescent="0.2">
      <c r="A4201" s="2" t="s">
        <v>64</v>
      </c>
      <c r="B4201" s="14">
        <v>38749</v>
      </c>
      <c r="C4201" s="2">
        <v>2.0034183584000002E-2</v>
      </c>
      <c r="E4201" s="2">
        <v>1</v>
      </c>
      <c r="F4201" s="2">
        <v>9.5392699537622597E-3</v>
      </c>
      <c r="G4201" s="2">
        <v>1</v>
      </c>
    </row>
    <row r="4202" spans="1:7" x14ac:dyDescent="0.2">
      <c r="A4202" s="2" t="s">
        <v>64</v>
      </c>
      <c r="B4202" s="14">
        <v>38777</v>
      </c>
      <c r="C4202" s="2">
        <v>3.4470872088E-3</v>
      </c>
      <c r="E4202" s="2">
        <v>1</v>
      </c>
      <c r="F4202" s="2">
        <v>1.0497793899299199E-2</v>
      </c>
      <c r="G4202" s="2">
        <v>1</v>
      </c>
    </row>
    <row r="4203" spans="1:7" x14ac:dyDescent="0.2">
      <c r="A4203" s="2" t="s">
        <v>64</v>
      </c>
      <c r="B4203" s="14">
        <v>38808</v>
      </c>
      <c r="C4203" s="2">
        <v>-3.7787701820999997E-2</v>
      </c>
      <c r="E4203" s="2">
        <v>1</v>
      </c>
      <c r="F4203" s="2">
        <v>9.8909007800795905E-3</v>
      </c>
      <c r="G4203" s="2">
        <v>1</v>
      </c>
    </row>
    <row r="4204" spans="1:7" x14ac:dyDescent="0.2">
      <c r="A4204" s="2" t="s">
        <v>64</v>
      </c>
      <c r="B4204" s="14">
        <v>38838</v>
      </c>
      <c r="C4204" s="2">
        <v>-3.7129596571999997E-2</v>
      </c>
      <c r="E4204" s="2">
        <v>1</v>
      </c>
      <c r="F4204" s="2">
        <v>1.03175868281972E-2</v>
      </c>
      <c r="G4204" s="2">
        <v>1</v>
      </c>
    </row>
    <row r="4205" spans="1:7" x14ac:dyDescent="0.2">
      <c r="A4205" s="2" t="s">
        <v>64</v>
      </c>
      <c r="B4205" s="14">
        <v>38869</v>
      </c>
      <c r="C4205" s="2">
        <v>-5.0797182053000003E-2</v>
      </c>
      <c r="E4205" s="2">
        <v>1</v>
      </c>
      <c r="F4205" s="2">
        <v>9.6307693198329197E-3</v>
      </c>
      <c r="G4205" s="2">
        <v>1</v>
      </c>
    </row>
    <row r="4206" spans="1:7" x14ac:dyDescent="0.2">
      <c r="A4206" s="2" t="s">
        <v>64</v>
      </c>
      <c r="B4206" s="14">
        <v>38899</v>
      </c>
      <c r="C4206" s="2">
        <v>-8.2031250001999997E-2</v>
      </c>
      <c r="E4206" s="2">
        <v>1</v>
      </c>
      <c r="F4206" s="2">
        <v>1.0244340636692601E-2</v>
      </c>
      <c r="G4206" s="2">
        <v>1</v>
      </c>
    </row>
    <row r="4207" spans="1:7" x14ac:dyDescent="0.2">
      <c r="A4207" s="2" t="s">
        <v>64</v>
      </c>
      <c r="B4207" s="14">
        <v>38930</v>
      </c>
      <c r="C4207" s="2">
        <v>0.15276595743999999</v>
      </c>
      <c r="E4207" s="2">
        <v>1</v>
      </c>
      <c r="F4207" s="2">
        <v>1.0673062288443501E-2</v>
      </c>
      <c r="G4207" s="2">
        <v>1</v>
      </c>
    </row>
    <row r="4208" spans="1:7" x14ac:dyDescent="0.2">
      <c r="A4208" s="2" t="s">
        <v>64</v>
      </c>
      <c r="B4208" s="14">
        <v>38961</v>
      </c>
      <c r="C4208" s="2">
        <v>-3.2853451457999998E-2</v>
      </c>
      <c r="E4208" s="2">
        <v>1</v>
      </c>
      <c r="F4208" s="2">
        <v>1.46275639868607E-2</v>
      </c>
      <c r="G4208" s="2">
        <v>1</v>
      </c>
    </row>
    <row r="4209" spans="1:7" x14ac:dyDescent="0.2">
      <c r="A4209" s="2" t="s">
        <v>64</v>
      </c>
      <c r="B4209" s="14">
        <v>38991</v>
      </c>
      <c r="C4209" s="2">
        <v>8.0152671762000003E-3</v>
      </c>
      <c r="E4209" s="2">
        <v>1</v>
      </c>
      <c r="F4209" s="2">
        <v>1.3648622969628999E-2</v>
      </c>
      <c r="G4209" s="2">
        <v>1</v>
      </c>
    </row>
    <row r="4210" spans="1:7" x14ac:dyDescent="0.2">
      <c r="A4210" s="2" t="s">
        <v>64</v>
      </c>
      <c r="B4210" s="14">
        <v>39022</v>
      </c>
      <c r="C4210" s="2">
        <v>7.9893979554999994E-2</v>
      </c>
      <c r="E4210" s="2">
        <v>1</v>
      </c>
      <c r="F4210" s="2">
        <v>1.4936156229863801E-2</v>
      </c>
      <c r="G4210" s="2">
        <v>1</v>
      </c>
    </row>
    <row r="4211" spans="1:7" x14ac:dyDescent="0.2">
      <c r="A4211" s="2" t="s">
        <v>64</v>
      </c>
      <c r="B4211" s="14">
        <v>39052</v>
      </c>
      <c r="C4211" s="2">
        <v>-1.1220196353999999E-2</v>
      </c>
      <c r="E4211" s="2">
        <v>1</v>
      </c>
      <c r="F4211" s="2">
        <v>1.8229500613056299E-2</v>
      </c>
      <c r="G4211" s="2">
        <v>1</v>
      </c>
    </row>
    <row r="4212" spans="1:7" x14ac:dyDescent="0.2">
      <c r="A4212" s="2" t="s">
        <v>64</v>
      </c>
      <c r="B4212" s="14">
        <v>39083</v>
      </c>
      <c r="C4212" s="2">
        <v>6.0283687943E-2</v>
      </c>
      <c r="E4212" s="2">
        <v>1</v>
      </c>
      <c r="F4212" s="2">
        <v>1.93383669563695E-2</v>
      </c>
      <c r="G4212" s="2">
        <v>1</v>
      </c>
    </row>
    <row r="4213" spans="1:7" x14ac:dyDescent="0.2">
      <c r="A4213" s="2" t="s">
        <v>64</v>
      </c>
      <c r="B4213" s="14">
        <v>39114</v>
      </c>
      <c r="C4213" s="2">
        <v>-9.8323052907E-3</v>
      </c>
      <c r="D4213" s="2">
        <v>3.6298229999999999E-3</v>
      </c>
      <c r="E4213" s="2">
        <v>1</v>
      </c>
      <c r="F4213" s="2">
        <v>2.3321123963741999E-2</v>
      </c>
      <c r="G4213" s="2">
        <v>1</v>
      </c>
    </row>
    <row r="4214" spans="1:7" x14ac:dyDescent="0.2">
      <c r="A4214" s="2" t="s">
        <v>64</v>
      </c>
      <c r="B4214" s="14">
        <v>39142</v>
      </c>
      <c r="C4214" s="2">
        <v>3.8869257949000001E-2</v>
      </c>
      <c r="D4214" s="2">
        <v>2.2104401000000002E-3</v>
      </c>
      <c r="E4214" s="2">
        <v>1</v>
      </c>
      <c r="F4214" s="2">
        <v>1.8748425503090201E-2</v>
      </c>
      <c r="G4214" s="2">
        <v>1</v>
      </c>
    </row>
    <row r="4215" spans="1:7" x14ac:dyDescent="0.2">
      <c r="A4215" s="2" t="s">
        <v>64</v>
      </c>
      <c r="B4215" s="14">
        <v>39173</v>
      </c>
      <c r="C4215" s="2">
        <v>-3.0612244899E-2</v>
      </c>
      <c r="D4215" s="2">
        <v>7.5941398999999996E-4</v>
      </c>
      <c r="E4215" s="2">
        <v>1</v>
      </c>
      <c r="F4215" s="2">
        <v>2.07486310708705E-2</v>
      </c>
      <c r="G4215" s="2">
        <v>1</v>
      </c>
    </row>
    <row r="4216" spans="1:7" x14ac:dyDescent="0.2">
      <c r="A4216" s="2" t="s">
        <v>64</v>
      </c>
      <c r="B4216" s="14">
        <v>39203</v>
      </c>
      <c r="C4216" s="2">
        <v>0.1049122807</v>
      </c>
      <c r="D4216" s="2">
        <v>3.5258507999999999E-4</v>
      </c>
      <c r="E4216" s="2">
        <v>1</v>
      </c>
      <c r="F4216" s="2">
        <v>1.9695759730958801E-2</v>
      </c>
      <c r="G4216" s="2">
        <v>1</v>
      </c>
    </row>
    <row r="4217" spans="1:7" x14ac:dyDescent="0.2">
      <c r="A4217" s="2" t="s">
        <v>64</v>
      </c>
      <c r="B4217" s="14">
        <v>39234</v>
      </c>
      <c r="C4217" s="2">
        <v>4.7951730706999998E-2</v>
      </c>
      <c r="D4217" s="2">
        <v>3.1642249000000001E-4</v>
      </c>
      <c r="E4217" s="2">
        <v>1</v>
      </c>
      <c r="F4217" s="2">
        <v>2.02663246738242E-2</v>
      </c>
      <c r="G4217" s="2">
        <v>1</v>
      </c>
    </row>
    <row r="4218" spans="1:7" x14ac:dyDescent="0.2">
      <c r="A4218" s="2" t="s">
        <v>64</v>
      </c>
      <c r="B4218" s="14">
        <v>39264</v>
      </c>
      <c r="C4218" s="2">
        <v>-1.5151515151E-2</v>
      </c>
      <c r="D4218" s="2">
        <v>-4.4751182000000002E-4</v>
      </c>
      <c r="E4218" s="2">
        <v>1</v>
      </c>
      <c r="F4218" s="2">
        <v>2.1808633622443799E-2</v>
      </c>
      <c r="G4218" s="2">
        <v>1</v>
      </c>
    </row>
    <row r="4219" spans="1:7" x14ac:dyDescent="0.2">
      <c r="A4219" s="2" t="s">
        <v>64</v>
      </c>
      <c r="B4219" s="14">
        <v>39295</v>
      </c>
      <c r="C4219" s="2">
        <v>6.3384615384999995E-2</v>
      </c>
      <c r="D4219" s="2">
        <v>3.1597045999999999E-3</v>
      </c>
      <c r="E4219" s="2">
        <v>1</v>
      </c>
      <c r="F4219" s="2">
        <v>2.0605790094836901E-2</v>
      </c>
      <c r="G4219" s="2">
        <v>1</v>
      </c>
    </row>
    <row r="4220" spans="1:7" x14ac:dyDescent="0.2">
      <c r="A4220" s="2" t="s">
        <v>64</v>
      </c>
      <c r="B4220" s="14">
        <v>39326</v>
      </c>
      <c r="C4220" s="2">
        <v>9.6354166667999994E-2</v>
      </c>
      <c r="D4220" s="2">
        <v>-2.1471528000000001E-3</v>
      </c>
      <c r="E4220" s="2">
        <v>1</v>
      </c>
      <c r="F4220" s="2">
        <v>2.2352150755351598E-2</v>
      </c>
      <c r="G4220" s="2">
        <v>1</v>
      </c>
    </row>
    <row r="4221" spans="1:7" x14ac:dyDescent="0.2">
      <c r="A4221" s="2" t="s">
        <v>64</v>
      </c>
      <c r="B4221" s="14">
        <v>39356</v>
      </c>
      <c r="C4221" s="2">
        <v>2.9031406701999999E-3</v>
      </c>
      <c r="D4221" s="2">
        <v>-1.4510231999999999E-3</v>
      </c>
      <c r="E4221" s="2">
        <v>1</v>
      </c>
      <c r="F4221" s="2">
        <v>2.3808678247687402E-2</v>
      </c>
      <c r="G4221" s="2">
        <v>1</v>
      </c>
    </row>
    <row r="4222" spans="1:7" x14ac:dyDescent="0.2">
      <c r="A4222" s="2" t="s">
        <v>64</v>
      </c>
      <c r="B4222" s="14">
        <v>39387</v>
      </c>
      <c r="C4222" s="2">
        <v>-6.5789473685000002E-2</v>
      </c>
      <c r="D4222" s="2">
        <v>-9.2756999999999996E-3</v>
      </c>
      <c r="E4222" s="2">
        <v>1</v>
      </c>
      <c r="F4222" s="2">
        <v>2.4776020467471301E-2</v>
      </c>
      <c r="G4222" s="2">
        <v>1</v>
      </c>
    </row>
    <row r="4223" spans="1:7" x14ac:dyDescent="0.2">
      <c r="A4223" s="2" t="s">
        <v>64</v>
      </c>
      <c r="B4223" s="14">
        <v>39417</v>
      </c>
      <c r="C4223" s="2">
        <v>-2.8169014084000001E-2</v>
      </c>
      <c r="D4223" s="2">
        <v>-2.0296242999999999E-3</v>
      </c>
      <c r="E4223" s="2">
        <v>1</v>
      </c>
      <c r="F4223" s="2">
        <v>2.0110988722564501E-2</v>
      </c>
      <c r="G4223" s="2">
        <v>1</v>
      </c>
    </row>
    <row r="4224" spans="1:7" x14ac:dyDescent="0.2">
      <c r="A4224" s="2" t="s">
        <v>64</v>
      </c>
      <c r="B4224" s="14">
        <v>39448</v>
      </c>
      <c r="C4224" s="2">
        <v>-5.2173913044E-2</v>
      </c>
      <c r="D4224" s="2">
        <v>-5.8890749000000001E-3</v>
      </c>
      <c r="E4224" s="2">
        <v>1</v>
      </c>
      <c r="F4224" s="2">
        <v>1.7999710240101E-2</v>
      </c>
      <c r="G4224" s="2">
        <v>1</v>
      </c>
    </row>
    <row r="4225" spans="1:7" x14ac:dyDescent="0.2">
      <c r="A4225" s="2" t="s">
        <v>64</v>
      </c>
      <c r="B4225" s="14">
        <v>39479</v>
      </c>
      <c r="C4225" s="2">
        <v>-1.4247795969000001E-2</v>
      </c>
      <c r="D4225" s="2">
        <v>4.4299150000000001E-4</v>
      </c>
      <c r="E4225" s="2">
        <v>1</v>
      </c>
      <c r="F4225" s="2">
        <v>1.7098171122389701E-2</v>
      </c>
      <c r="G4225" s="2">
        <v>1</v>
      </c>
    </row>
    <row r="4226" spans="1:7" x14ac:dyDescent="0.2">
      <c r="A4226" s="2" t="s">
        <v>64</v>
      </c>
      <c r="B4226" s="14">
        <v>39508</v>
      </c>
      <c r="C4226" s="2">
        <v>1.2333333334E-2</v>
      </c>
      <c r="D4226" s="2">
        <v>1.2765388000000001E-3</v>
      </c>
      <c r="E4226" s="2">
        <v>1</v>
      </c>
      <c r="F4226" s="2">
        <v>1.5054628563270099E-2</v>
      </c>
      <c r="G4226" s="2">
        <v>1</v>
      </c>
    </row>
    <row r="4227" spans="1:7" x14ac:dyDescent="0.2">
      <c r="A4227" s="2" t="s">
        <v>64</v>
      </c>
      <c r="B4227" s="14">
        <v>39539</v>
      </c>
      <c r="C4227" s="2">
        <v>-1.2183075402999999E-2</v>
      </c>
      <c r="D4227" s="2">
        <v>1.8659887000000001E-3</v>
      </c>
      <c r="E4227" s="2">
        <v>1</v>
      </c>
      <c r="F4227" s="2">
        <v>1.25878317324634E-2</v>
      </c>
      <c r="G4227" s="2">
        <v>1</v>
      </c>
    </row>
    <row r="4228" spans="1:7" x14ac:dyDescent="0.2">
      <c r="A4228" s="2" t="s">
        <v>64</v>
      </c>
      <c r="B4228" s="14">
        <v>39569</v>
      </c>
      <c r="C4228" s="2">
        <v>-1.6333333333000001E-2</v>
      </c>
      <c r="D4228" s="2">
        <v>1.0215926E-3</v>
      </c>
      <c r="E4228" s="2">
        <v>1</v>
      </c>
      <c r="F4228" s="2">
        <v>1.21616636927527E-2</v>
      </c>
      <c r="G4228" s="2">
        <v>1</v>
      </c>
    </row>
    <row r="4229" spans="1:7" x14ac:dyDescent="0.2">
      <c r="A4229" s="2" t="s">
        <v>64</v>
      </c>
      <c r="B4229" s="14">
        <v>39600</v>
      </c>
      <c r="C4229" s="2">
        <v>-3.4225686210000002E-2</v>
      </c>
      <c r="D4229" s="2">
        <v>-4.6468903000000004E-3</v>
      </c>
      <c r="E4229" s="2">
        <v>1</v>
      </c>
      <c r="F4229" s="2">
        <v>1.34759479943717E-2</v>
      </c>
      <c r="G4229" s="2">
        <v>1</v>
      </c>
    </row>
    <row r="4230" spans="1:7" x14ac:dyDescent="0.2">
      <c r="A4230" s="2" t="s">
        <v>64</v>
      </c>
      <c r="B4230" s="14">
        <v>39630</v>
      </c>
      <c r="C4230" s="2">
        <v>0</v>
      </c>
      <c r="D4230" s="2">
        <v>-6.1521576999999999E-3</v>
      </c>
      <c r="E4230" s="2">
        <v>1</v>
      </c>
      <c r="F4230" s="2">
        <v>1.3353916452205201E-2</v>
      </c>
      <c r="G4230" s="2">
        <v>1</v>
      </c>
    </row>
    <row r="4231" spans="1:7" x14ac:dyDescent="0.2">
      <c r="A4231" s="2" t="s">
        <v>64</v>
      </c>
      <c r="B4231" s="14">
        <v>39661</v>
      </c>
      <c r="C4231" s="2">
        <v>-1.7543859649000001E-2</v>
      </c>
      <c r="D4231" s="2">
        <v>8.7694235999999999E-4</v>
      </c>
      <c r="E4231" s="2">
        <v>1</v>
      </c>
      <c r="F4231" s="2">
        <v>1.306479042931E-2</v>
      </c>
      <c r="G4231" s="2">
        <v>1</v>
      </c>
    </row>
    <row r="4232" spans="1:7" x14ac:dyDescent="0.2">
      <c r="A4232" s="2" t="s">
        <v>64</v>
      </c>
      <c r="B4232" s="14">
        <v>39692</v>
      </c>
      <c r="C4232" s="2">
        <v>-5.8214285714000003E-2</v>
      </c>
      <c r="D4232" s="2">
        <v>-1.6327401E-3</v>
      </c>
      <c r="E4232" s="2">
        <v>1</v>
      </c>
      <c r="F4232" s="2">
        <v>1.2912762263499101E-2</v>
      </c>
      <c r="G4232" s="2">
        <v>1</v>
      </c>
    </row>
    <row r="4233" spans="1:7" x14ac:dyDescent="0.2">
      <c r="A4233" s="2" t="s">
        <v>64</v>
      </c>
      <c r="B4233" s="14">
        <v>39722</v>
      </c>
      <c r="C4233" s="2">
        <v>-5.1952976865999999E-2</v>
      </c>
      <c r="D4233" s="2">
        <v>-3.2889858999999998E-3</v>
      </c>
      <c r="E4233" s="2">
        <v>1</v>
      </c>
      <c r="F4233" s="2">
        <v>1.0718510223131699E-2</v>
      </c>
      <c r="G4233" s="2">
        <v>1</v>
      </c>
    </row>
    <row r="4234" spans="1:7" x14ac:dyDescent="0.2">
      <c r="A4234" s="2" t="s">
        <v>64</v>
      </c>
      <c r="B4234" s="14">
        <v>39753</v>
      </c>
      <c r="C4234" s="2">
        <v>-4.0000000080999998E-4</v>
      </c>
      <c r="D4234" s="2">
        <v>7.7704328999999997E-4</v>
      </c>
      <c r="E4234" s="2">
        <v>1</v>
      </c>
      <c r="F4234" s="2">
        <v>9.6856153047254097E-3</v>
      </c>
      <c r="G4234" s="2">
        <v>1</v>
      </c>
    </row>
    <row r="4235" spans="1:7" x14ac:dyDescent="0.2">
      <c r="A4235" s="2" t="s">
        <v>64</v>
      </c>
      <c r="B4235" s="14">
        <v>39783</v>
      </c>
      <c r="C4235" s="2">
        <v>8.4033613456999997E-3</v>
      </c>
      <c r="D4235" s="2">
        <v>-9.9175853999999993E-4</v>
      </c>
      <c r="E4235" s="2">
        <v>1</v>
      </c>
      <c r="F4235" s="2">
        <v>1.0110924289067401E-2</v>
      </c>
      <c r="G4235" s="2">
        <v>1</v>
      </c>
    </row>
    <row r="4236" spans="1:7" x14ac:dyDescent="0.2">
      <c r="A4236" s="2" t="s">
        <v>65</v>
      </c>
      <c r="B4236" s="14">
        <v>37591</v>
      </c>
      <c r="C4236" s="2">
        <v>0.16002700878000001</v>
      </c>
      <c r="D4236" s="19">
        <v>9.5861178000000003E-5</v>
      </c>
      <c r="E4236" s="2">
        <v>1</v>
      </c>
      <c r="G4236" s="2">
        <v>2</v>
      </c>
    </row>
    <row r="4237" spans="1:7" x14ac:dyDescent="0.2">
      <c r="A4237" s="2" t="s">
        <v>65</v>
      </c>
      <c r="B4237" s="14">
        <v>37622</v>
      </c>
      <c r="C4237" s="2">
        <v>1.0620704669999999E-3</v>
      </c>
      <c r="D4237" s="2">
        <v>4.3544386000000002E-4</v>
      </c>
      <c r="E4237" s="2">
        <v>1</v>
      </c>
      <c r="G4237" s="2">
        <v>2</v>
      </c>
    </row>
    <row r="4238" spans="1:7" x14ac:dyDescent="0.2">
      <c r="A4238" s="2" t="s">
        <v>65</v>
      </c>
      <c r="B4238" s="14">
        <v>37653</v>
      </c>
      <c r="C4238" s="2">
        <v>-3.5714285716000001E-2</v>
      </c>
      <c r="D4238" s="2">
        <v>-1.1547993999999999E-3</v>
      </c>
      <c r="E4238" s="2">
        <v>1</v>
      </c>
      <c r="G4238" s="2">
        <v>2</v>
      </c>
    </row>
    <row r="4239" spans="1:7" x14ac:dyDescent="0.2">
      <c r="A4239" s="2" t="s">
        <v>65</v>
      </c>
      <c r="B4239" s="14">
        <v>37681</v>
      </c>
      <c r="C4239" s="2">
        <v>-4.9382716049999997E-2</v>
      </c>
      <c r="D4239" s="19">
        <v>-2.6151653999999998E-6</v>
      </c>
      <c r="E4239" s="2">
        <v>1</v>
      </c>
      <c r="G4239" s="2">
        <v>2</v>
      </c>
    </row>
    <row r="4240" spans="1:7" x14ac:dyDescent="0.2">
      <c r="A4240" s="2" t="s">
        <v>65</v>
      </c>
      <c r="B4240" s="14">
        <v>37712</v>
      </c>
      <c r="C4240" s="2">
        <v>0.29883116882999999</v>
      </c>
      <c r="D4240" s="2">
        <v>-1.1046785E-3</v>
      </c>
      <c r="E4240" s="2">
        <v>1</v>
      </c>
      <c r="G4240" s="2">
        <v>2</v>
      </c>
    </row>
    <row r="4241" spans="1:7" x14ac:dyDescent="0.2">
      <c r="A4241" s="2" t="s">
        <v>65</v>
      </c>
      <c r="B4241" s="14">
        <v>37742</v>
      </c>
      <c r="C4241" s="2">
        <v>0.13097848041999999</v>
      </c>
      <c r="D4241" s="2">
        <v>-9.5367552999999997E-3</v>
      </c>
      <c r="E4241" s="2">
        <v>1</v>
      </c>
      <c r="G4241" s="2">
        <v>2</v>
      </c>
    </row>
    <row r="4242" spans="1:7" x14ac:dyDescent="0.2">
      <c r="A4242" s="2" t="s">
        <v>65</v>
      </c>
      <c r="B4242" s="14">
        <v>37773</v>
      </c>
      <c r="C4242" s="2">
        <v>0</v>
      </c>
      <c r="D4242" s="2">
        <v>-5.6046380999999999E-4</v>
      </c>
      <c r="E4242" s="2">
        <v>1</v>
      </c>
      <c r="G4242" s="2">
        <v>2</v>
      </c>
    </row>
    <row r="4243" spans="1:7" x14ac:dyDescent="0.2">
      <c r="A4243" s="2" t="s">
        <v>65</v>
      </c>
      <c r="B4243" s="14">
        <v>37803</v>
      </c>
      <c r="C4243" s="2">
        <v>0.11607142857</v>
      </c>
      <c r="D4243" s="2">
        <v>-9.0486916999999996E-4</v>
      </c>
      <c r="E4243" s="2">
        <v>1</v>
      </c>
      <c r="G4243" s="2">
        <v>2</v>
      </c>
    </row>
    <row r="4244" spans="1:7" x14ac:dyDescent="0.2">
      <c r="A4244" s="2" t="s">
        <v>65</v>
      </c>
      <c r="B4244" s="14">
        <v>37834</v>
      </c>
      <c r="C4244" s="2">
        <v>6.0266603819000002E-2</v>
      </c>
      <c r="D4244" s="2">
        <v>4.7794404000000004E-3</v>
      </c>
      <c r="E4244" s="2">
        <v>1</v>
      </c>
      <c r="F4244" s="2">
        <v>3.5654817852891603E-2</v>
      </c>
      <c r="G4244" s="2">
        <v>2</v>
      </c>
    </row>
    <row r="4245" spans="1:7" x14ac:dyDescent="0.2">
      <c r="A4245" s="2" t="s">
        <v>65</v>
      </c>
      <c r="B4245" s="14">
        <v>37865</v>
      </c>
      <c r="C4245" s="2">
        <v>0.1308562197</v>
      </c>
      <c r="D4245" s="2">
        <v>3.5920582E-4</v>
      </c>
      <c r="E4245" s="2">
        <v>1</v>
      </c>
      <c r="F4245" s="2">
        <v>3.81658420323382E-2</v>
      </c>
      <c r="G4245" s="2">
        <v>2</v>
      </c>
    </row>
    <row r="4246" spans="1:7" x14ac:dyDescent="0.2">
      <c r="A4246" s="2" t="s">
        <v>65</v>
      </c>
      <c r="B4246" s="14">
        <v>37895</v>
      </c>
      <c r="C4246" s="2">
        <v>0.29925170068000001</v>
      </c>
      <c r="D4246" s="19">
        <v>-1.1257126E-6</v>
      </c>
      <c r="E4246" s="2">
        <v>1</v>
      </c>
      <c r="F4246" s="2">
        <v>4.2994741492356298E-2</v>
      </c>
      <c r="G4246" s="2">
        <v>2</v>
      </c>
    </row>
    <row r="4247" spans="1:7" x14ac:dyDescent="0.2">
      <c r="A4247" s="2" t="s">
        <v>65</v>
      </c>
      <c r="B4247" s="14">
        <v>37926</v>
      </c>
      <c r="C4247" s="2">
        <v>2.5233573182000001E-2</v>
      </c>
      <c r="D4247" s="2">
        <v>2.2499202E-4</v>
      </c>
      <c r="E4247" s="2">
        <v>1</v>
      </c>
      <c r="F4247" s="2">
        <v>4.2711984814329799E-2</v>
      </c>
      <c r="G4247" s="2">
        <v>2</v>
      </c>
    </row>
    <row r="4248" spans="1:7" x14ac:dyDescent="0.2">
      <c r="A4248" s="2" t="s">
        <v>65</v>
      </c>
      <c r="B4248" s="14">
        <v>37956</v>
      </c>
      <c r="C4248" s="2">
        <v>9.9528795811999998E-2</v>
      </c>
      <c r="D4248" s="2">
        <v>6.7279988000000003E-4</v>
      </c>
      <c r="E4248" s="2">
        <v>1</v>
      </c>
      <c r="F4248" s="2">
        <v>3.9570074692866497E-2</v>
      </c>
      <c r="G4248" s="2">
        <v>2</v>
      </c>
    </row>
    <row r="4249" spans="1:7" x14ac:dyDescent="0.2">
      <c r="A4249" s="2" t="s">
        <v>65</v>
      </c>
      <c r="B4249" s="14">
        <v>37987</v>
      </c>
      <c r="C4249" s="2">
        <v>-3.8141040903000002E-2</v>
      </c>
      <c r="E4249" s="2">
        <v>1</v>
      </c>
      <c r="F4249" s="2">
        <v>4.2124452607527597E-2</v>
      </c>
      <c r="G4249" s="2">
        <v>2</v>
      </c>
    </row>
    <row r="4250" spans="1:7" x14ac:dyDescent="0.2">
      <c r="A4250" s="2" t="s">
        <v>65</v>
      </c>
      <c r="B4250" s="14">
        <v>38018</v>
      </c>
      <c r="C4250" s="2">
        <v>0.10792079206999999</v>
      </c>
      <c r="E4250" s="2">
        <v>1</v>
      </c>
      <c r="F4250" s="2">
        <v>3.7818200400103502E-2</v>
      </c>
      <c r="G4250" s="2">
        <v>2</v>
      </c>
    </row>
    <row r="4251" spans="1:7" x14ac:dyDescent="0.2">
      <c r="A4251" s="2" t="s">
        <v>65</v>
      </c>
      <c r="B4251" s="14">
        <v>38047</v>
      </c>
      <c r="C4251" s="2">
        <v>-8.0428954424999997E-3</v>
      </c>
      <c r="D4251" s="2">
        <v>-2.7397056E-3</v>
      </c>
      <c r="E4251" s="2">
        <v>1</v>
      </c>
      <c r="F4251" s="2">
        <v>3.8842909153341702E-2</v>
      </c>
      <c r="G4251" s="2">
        <v>2</v>
      </c>
    </row>
    <row r="4252" spans="1:7" x14ac:dyDescent="0.2">
      <c r="A4252" s="2" t="s">
        <v>65</v>
      </c>
      <c r="B4252" s="14">
        <v>38078</v>
      </c>
      <c r="C4252" s="2">
        <v>9.0090090090999997E-2</v>
      </c>
      <c r="D4252" s="2">
        <v>-7.0502852999999996E-4</v>
      </c>
      <c r="E4252" s="2">
        <v>1</v>
      </c>
      <c r="F4252" s="2">
        <v>3.4766333629139397E-2</v>
      </c>
      <c r="G4252" s="2">
        <v>2</v>
      </c>
    </row>
    <row r="4253" spans="1:7" x14ac:dyDescent="0.2">
      <c r="A4253" s="2" t="s">
        <v>65</v>
      </c>
      <c r="B4253" s="14">
        <v>38108</v>
      </c>
      <c r="C4253" s="2">
        <v>-8.9750869334000005E-2</v>
      </c>
      <c r="D4253" s="19">
        <v>9.4070695999999996E-5</v>
      </c>
      <c r="E4253" s="2">
        <v>1</v>
      </c>
      <c r="F4253" s="2">
        <v>2.8162446132802998E-2</v>
      </c>
      <c r="G4253" s="2">
        <v>2</v>
      </c>
    </row>
    <row r="4254" spans="1:7" x14ac:dyDescent="0.2">
      <c r="A4254" s="2" t="s">
        <v>65</v>
      </c>
      <c r="B4254" s="14">
        <v>38139</v>
      </c>
      <c r="C4254" s="2">
        <v>0.1200913242</v>
      </c>
      <c r="D4254" s="2">
        <v>4.1905642E-3</v>
      </c>
      <c r="E4254" s="2">
        <v>1</v>
      </c>
      <c r="F4254" s="2">
        <v>2.5284666090810402E-2</v>
      </c>
      <c r="G4254" s="2">
        <v>2</v>
      </c>
    </row>
    <row r="4255" spans="1:7" x14ac:dyDescent="0.2">
      <c r="A4255" s="2" t="s">
        <v>65</v>
      </c>
      <c r="B4255" s="14">
        <v>38169</v>
      </c>
      <c r="C4255" s="2">
        <v>2.5275173256999999E-2</v>
      </c>
      <c r="D4255" s="2">
        <v>6.0694413999999998E-4</v>
      </c>
      <c r="E4255" s="2">
        <v>1</v>
      </c>
      <c r="F4255" s="2">
        <v>2.55980701259018E-2</v>
      </c>
      <c r="G4255" s="2">
        <v>2</v>
      </c>
    </row>
    <row r="4256" spans="1:7" x14ac:dyDescent="0.2">
      <c r="A4256" s="2" t="s">
        <v>65</v>
      </c>
      <c r="B4256" s="14">
        <v>38200</v>
      </c>
      <c r="C4256" s="2">
        <v>0.13376202712999999</v>
      </c>
      <c r="D4256" s="2">
        <v>-3.8735176000000002E-4</v>
      </c>
      <c r="E4256" s="2">
        <v>1</v>
      </c>
      <c r="F4256" s="2">
        <v>8.27125194875525E-3</v>
      </c>
      <c r="G4256" s="2">
        <v>2</v>
      </c>
    </row>
    <row r="4257" spans="1:7" x14ac:dyDescent="0.2">
      <c r="A4257" s="2" t="s">
        <v>65</v>
      </c>
      <c r="B4257" s="14">
        <v>38231</v>
      </c>
      <c r="C4257" s="2">
        <v>6.5956678699999993E-2</v>
      </c>
      <c r="D4257" s="2">
        <v>-6.6253991000000002E-4</v>
      </c>
      <c r="E4257" s="2">
        <v>1</v>
      </c>
      <c r="F4257" s="2">
        <v>8.8298138975473704E-3</v>
      </c>
      <c r="G4257" s="2">
        <v>2</v>
      </c>
    </row>
    <row r="4258" spans="1:7" x14ac:dyDescent="0.2">
      <c r="A4258" s="2" t="s">
        <v>65</v>
      </c>
      <c r="B4258" s="14">
        <v>38261</v>
      </c>
      <c r="C4258" s="2">
        <v>3.7254038689000001E-3</v>
      </c>
      <c r="D4258" s="2">
        <v>-1.8667200000000001E-3</v>
      </c>
      <c r="E4258" s="2">
        <v>1</v>
      </c>
      <c r="F4258" s="2">
        <v>1.07932917665705E-2</v>
      </c>
      <c r="G4258" s="2">
        <v>2</v>
      </c>
    </row>
    <row r="4259" spans="1:7" x14ac:dyDescent="0.2">
      <c r="A4259" s="2" t="s">
        <v>65</v>
      </c>
      <c r="B4259" s="14">
        <v>38292</v>
      </c>
      <c r="C4259" s="2">
        <v>8.3105577486999996E-2</v>
      </c>
      <c r="D4259" s="2">
        <v>-2.2689193E-3</v>
      </c>
      <c r="E4259" s="2">
        <v>1</v>
      </c>
      <c r="F4259" s="2">
        <v>7.7271965697230001E-3</v>
      </c>
      <c r="G4259" s="2">
        <v>2</v>
      </c>
    </row>
    <row r="4260" spans="1:7" x14ac:dyDescent="0.2">
      <c r="A4260" s="2" t="s">
        <v>65</v>
      </c>
      <c r="B4260" s="14">
        <v>38322</v>
      </c>
      <c r="C4260" s="2">
        <v>0.14407003221</v>
      </c>
      <c r="D4260" s="2">
        <v>-4.9097690000000005E-4</v>
      </c>
      <c r="E4260" s="2">
        <v>1</v>
      </c>
      <c r="F4260" s="2">
        <v>1.2549577132810699E-2</v>
      </c>
      <c r="G4260" s="2">
        <v>2</v>
      </c>
    </row>
    <row r="4261" spans="1:7" x14ac:dyDescent="0.2">
      <c r="A4261" s="2" t="s">
        <v>65</v>
      </c>
      <c r="B4261" s="14">
        <v>38353</v>
      </c>
      <c r="C4261" s="2">
        <v>0.13861495843999999</v>
      </c>
      <c r="D4261" s="2">
        <v>-8.0842163999999997E-4</v>
      </c>
      <c r="E4261" s="2">
        <v>1</v>
      </c>
      <c r="F4261" s="2">
        <v>1.30493225012729E-2</v>
      </c>
      <c r="G4261" s="2">
        <v>2</v>
      </c>
    </row>
    <row r="4262" spans="1:7" x14ac:dyDescent="0.2">
      <c r="A4262" s="2" t="s">
        <v>65</v>
      </c>
      <c r="B4262" s="14">
        <v>38384</v>
      </c>
      <c r="C4262" s="2">
        <v>-3.7465940050000002E-3</v>
      </c>
      <c r="D4262" s="2">
        <v>-3.6193386999999999E-4</v>
      </c>
      <c r="E4262" s="2">
        <v>1</v>
      </c>
      <c r="F4262" s="2">
        <v>1.5985959391410499E-2</v>
      </c>
      <c r="G4262" s="2">
        <v>2</v>
      </c>
    </row>
    <row r="4263" spans="1:7" x14ac:dyDescent="0.2">
      <c r="A4263" s="2" t="s">
        <v>65</v>
      </c>
      <c r="B4263" s="14">
        <v>38412</v>
      </c>
      <c r="C4263" s="2">
        <v>8.5470085468999993E-3</v>
      </c>
      <c r="D4263" s="2">
        <v>-3.6935603999999999E-4</v>
      </c>
      <c r="E4263" s="2">
        <v>1</v>
      </c>
      <c r="F4263" s="2">
        <v>1.2051010998022501E-2</v>
      </c>
      <c r="G4263" s="2">
        <v>2</v>
      </c>
    </row>
    <row r="4264" spans="1:7" x14ac:dyDescent="0.2">
      <c r="A4264" s="2" t="s">
        <v>65</v>
      </c>
      <c r="B4264" s="14">
        <v>38443</v>
      </c>
      <c r="C4264" s="2">
        <v>7.2639225182000002E-3</v>
      </c>
      <c r="D4264" s="2">
        <v>0</v>
      </c>
      <c r="E4264" s="2">
        <v>1</v>
      </c>
      <c r="F4264" s="2">
        <v>1.03501137823845E-2</v>
      </c>
      <c r="G4264" s="2">
        <v>2</v>
      </c>
    </row>
    <row r="4265" spans="1:7" x14ac:dyDescent="0.2">
      <c r="A4265" s="2" t="s">
        <v>65</v>
      </c>
      <c r="B4265" s="14">
        <v>38473</v>
      </c>
      <c r="C4265" s="2">
        <v>3.6895474772000003E-2</v>
      </c>
      <c r="D4265" s="19">
        <v>-1.5496579999999999E-5</v>
      </c>
      <c r="E4265" s="2">
        <v>1</v>
      </c>
      <c r="F4265" s="2">
        <v>1.0451140889479999E-2</v>
      </c>
      <c r="G4265" s="2">
        <v>2</v>
      </c>
    </row>
    <row r="4266" spans="1:7" x14ac:dyDescent="0.2">
      <c r="A4266" s="2" t="s">
        <v>65</v>
      </c>
      <c r="B4266" s="14">
        <v>38504</v>
      </c>
      <c r="C4266" s="2">
        <v>-6.0210702573999998E-2</v>
      </c>
      <c r="D4266" s="2">
        <v>1.5850911999999999E-4</v>
      </c>
      <c r="E4266" s="2">
        <v>1</v>
      </c>
      <c r="F4266" s="2">
        <v>8.7617264122532307E-3</v>
      </c>
      <c r="G4266" s="2">
        <v>2</v>
      </c>
    </row>
    <row r="4267" spans="1:7" x14ac:dyDescent="0.2">
      <c r="A4267" s="2" t="s">
        <v>65</v>
      </c>
      <c r="B4267" s="14">
        <v>38534</v>
      </c>
      <c r="C4267" s="2">
        <v>4.6028210836000002E-3</v>
      </c>
      <c r="D4267" s="2">
        <v>1.1317645000000001E-4</v>
      </c>
      <c r="E4267" s="2">
        <v>1</v>
      </c>
      <c r="F4267" s="2">
        <v>3.13176874331667E-3</v>
      </c>
      <c r="G4267" s="2">
        <v>2</v>
      </c>
    </row>
    <row r="4268" spans="1:7" x14ac:dyDescent="0.2">
      <c r="A4268" s="2" t="s">
        <v>65</v>
      </c>
      <c r="B4268" s="14">
        <v>38565</v>
      </c>
      <c r="C4268" s="2">
        <v>-0.14441776412999999</v>
      </c>
      <c r="D4268" s="2">
        <v>-1.2584776999999999E-4</v>
      </c>
      <c r="E4268" s="2">
        <v>1</v>
      </c>
      <c r="F4268" s="2">
        <v>-8.6740164247559697E-3</v>
      </c>
      <c r="G4268" s="2">
        <v>2</v>
      </c>
    </row>
    <row r="4269" spans="1:7" x14ac:dyDescent="0.2">
      <c r="A4269" s="2" t="s">
        <v>65</v>
      </c>
      <c r="B4269" s="14">
        <v>38596</v>
      </c>
      <c r="C4269" s="2">
        <v>-3.9209370425000001E-2</v>
      </c>
      <c r="D4269" s="2">
        <v>2.2779846000000001E-4</v>
      </c>
      <c r="E4269" s="2">
        <v>1</v>
      </c>
      <c r="F4269" s="2">
        <v>-1.2081157721798999E-2</v>
      </c>
      <c r="G4269" s="2">
        <v>2</v>
      </c>
    </row>
    <row r="4270" spans="1:7" x14ac:dyDescent="0.2">
      <c r="A4270" s="2" t="s">
        <v>65</v>
      </c>
      <c r="B4270" s="14">
        <v>38626</v>
      </c>
      <c r="C4270" s="2">
        <v>5.7572155678000003E-2</v>
      </c>
      <c r="D4270" s="19">
        <v>6.4723776E-5</v>
      </c>
      <c r="E4270" s="2">
        <v>1</v>
      </c>
      <c r="F4270" s="2">
        <v>-1.33566322777485E-2</v>
      </c>
      <c r="G4270" s="2">
        <v>2</v>
      </c>
    </row>
    <row r="4271" spans="1:7" x14ac:dyDescent="0.2">
      <c r="A4271" s="2" t="s">
        <v>65</v>
      </c>
      <c r="B4271" s="14">
        <v>38657</v>
      </c>
      <c r="C4271" s="2">
        <v>8.9365994237999999E-2</v>
      </c>
      <c r="D4271" s="2">
        <v>-4.5708951000000001E-4</v>
      </c>
      <c r="E4271" s="2">
        <v>1</v>
      </c>
      <c r="F4271" s="2">
        <v>-1.2015317046432E-2</v>
      </c>
      <c r="G4271" s="2">
        <v>2</v>
      </c>
    </row>
    <row r="4272" spans="1:7" x14ac:dyDescent="0.2">
      <c r="A4272" s="2" t="s">
        <v>65</v>
      </c>
      <c r="B4272" s="14">
        <v>38687</v>
      </c>
      <c r="C4272" s="19">
        <v>-2.6454326871000002E-5</v>
      </c>
      <c r="D4272" s="2">
        <v>-1.9130844000000001E-4</v>
      </c>
      <c r="E4272" s="2">
        <v>1</v>
      </c>
      <c r="F4272" s="2">
        <v>-1.0685463325250199E-2</v>
      </c>
      <c r="G4272" s="2">
        <v>2</v>
      </c>
    </row>
    <row r="4273" spans="1:7" x14ac:dyDescent="0.2">
      <c r="A4273" s="2" t="s">
        <v>65</v>
      </c>
      <c r="B4273" s="14">
        <v>38718</v>
      </c>
      <c r="C4273" s="2">
        <v>5.8201058202E-2</v>
      </c>
      <c r="D4273" s="2">
        <v>-2.6154474000000003E-4</v>
      </c>
      <c r="E4273" s="2">
        <v>1</v>
      </c>
      <c r="F4273" s="2">
        <v>-9.1315274305564902E-3</v>
      </c>
      <c r="G4273" s="2">
        <v>2</v>
      </c>
    </row>
    <row r="4274" spans="1:7" x14ac:dyDescent="0.2">
      <c r="A4274" s="2" t="s">
        <v>65</v>
      </c>
      <c r="B4274" s="14">
        <v>38749</v>
      </c>
      <c r="C4274" s="2">
        <v>7.3727419678000006E-2</v>
      </c>
      <c r="D4274" s="2">
        <v>2.8810091000000001E-4</v>
      </c>
      <c r="E4274" s="2">
        <v>1</v>
      </c>
      <c r="F4274" s="2">
        <v>-7.9033816842392895E-3</v>
      </c>
      <c r="G4274" s="2">
        <v>2</v>
      </c>
    </row>
    <row r="4275" spans="1:7" x14ac:dyDescent="0.2">
      <c r="A4275" s="2" t="s">
        <v>65</v>
      </c>
      <c r="B4275" s="14">
        <v>38777</v>
      </c>
      <c r="C4275" s="2">
        <v>-3.1268436577999999E-2</v>
      </c>
      <c r="D4275" s="2">
        <v>5.4312654999999997E-4</v>
      </c>
      <c r="E4275" s="2">
        <v>1</v>
      </c>
      <c r="F4275" s="2">
        <v>-1.6689131963664001E-3</v>
      </c>
      <c r="G4275" s="2">
        <v>2</v>
      </c>
    </row>
    <row r="4276" spans="1:7" x14ac:dyDescent="0.2">
      <c r="A4276" s="2" t="s">
        <v>65</v>
      </c>
      <c r="B4276" s="14">
        <v>38808</v>
      </c>
      <c r="C4276" s="2">
        <v>-4.7503045065999998E-2</v>
      </c>
      <c r="D4276" s="2">
        <v>-2.2724345000000001E-4</v>
      </c>
      <c r="E4276" s="2">
        <v>1</v>
      </c>
      <c r="F4276" s="2">
        <v>-1.3492912187921301E-3</v>
      </c>
      <c r="G4276" s="2">
        <v>2</v>
      </c>
    </row>
    <row r="4277" spans="1:7" x14ac:dyDescent="0.2">
      <c r="A4277" s="2" t="s">
        <v>65</v>
      </c>
      <c r="B4277" s="14">
        <v>38838</v>
      </c>
      <c r="C4277" s="2">
        <v>-6.5793844160999995E-2</v>
      </c>
      <c r="D4277" s="2">
        <v>-3.4913712000000002E-4</v>
      </c>
      <c r="E4277" s="2">
        <v>1</v>
      </c>
      <c r="F4277" s="2">
        <v>-4.2433908966388999E-3</v>
      </c>
      <c r="G4277" s="2">
        <v>2</v>
      </c>
    </row>
    <row r="4278" spans="1:7" x14ac:dyDescent="0.2">
      <c r="A4278" s="2" t="s">
        <v>65</v>
      </c>
      <c r="B4278" s="14">
        <v>38869</v>
      </c>
      <c r="C4278" s="2">
        <v>-3.7698630136E-2</v>
      </c>
      <c r="D4278" s="2">
        <v>-4.8852165000000001E-4</v>
      </c>
      <c r="E4278" s="2">
        <v>1</v>
      </c>
      <c r="F4278" s="2">
        <v>-8.5440828240433506E-3</v>
      </c>
      <c r="G4278" s="2">
        <v>2</v>
      </c>
    </row>
    <row r="4279" spans="1:7" x14ac:dyDescent="0.2">
      <c r="A4279" s="2" t="s">
        <v>65</v>
      </c>
      <c r="B4279" s="14">
        <v>38899</v>
      </c>
      <c r="C4279" s="2">
        <v>-1.7765630338000001E-2</v>
      </c>
      <c r="D4279" s="2">
        <v>0</v>
      </c>
      <c r="E4279" s="2">
        <v>1</v>
      </c>
      <c r="F4279" s="2">
        <v>-9.5680125985240297E-3</v>
      </c>
      <c r="G4279" s="2">
        <v>2</v>
      </c>
    </row>
    <row r="4280" spans="1:7" x14ac:dyDescent="0.2">
      <c r="A4280" s="2" t="s">
        <v>65</v>
      </c>
      <c r="B4280" s="14">
        <v>38930</v>
      </c>
      <c r="C4280" s="2">
        <v>0.11829259813</v>
      </c>
      <c r="D4280" s="2">
        <v>2.5138198E-4</v>
      </c>
      <c r="E4280" s="2">
        <v>1</v>
      </c>
      <c r="F4280" s="2">
        <v>-1.14078459674613E-2</v>
      </c>
      <c r="G4280" s="2">
        <v>2</v>
      </c>
    </row>
    <row r="4281" spans="1:7" x14ac:dyDescent="0.2">
      <c r="A4281" s="2" t="s">
        <v>65</v>
      </c>
      <c r="B4281" s="14">
        <v>38961</v>
      </c>
      <c r="C4281" s="2">
        <v>8.9232237032999998E-2</v>
      </c>
      <c r="D4281" s="2">
        <v>-2.4677565999999999E-4</v>
      </c>
      <c r="E4281" s="2">
        <v>1</v>
      </c>
      <c r="F4281" s="2">
        <v>-1.04289062448473E-2</v>
      </c>
      <c r="G4281" s="2">
        <v>2</v>
      </c>
    </row>
    <row r="4282" spans="1:7" x14ac:dyDescent="0.2">
      <c r="A4282" s="2" t="s">
        <v>65</v>
      </c>
      <c r="B4282" s="14">
        <v>38991</v>
      </c>
      <c r="C4282" s="2">
        <v>0.10510948905</v>
      </c>
      <c r="D4282" s="2">
        <v>2.2812298999999999E-3</v>
      </c>
      <c r="E4282" s="2">
        <v>1</v>
      </c>
      <c r="F4282" s="2">
        <v>-7.1194362841344198E-3</v>
      </c>
      <c r="G4282" s="2">
        <v>2</v>
      </c>
    </row>
    <row r="4283" spans="1:7" x14ac:dyDescent="0.2">
      <c r="A4283" s="2" t="s">
        <v>65</v>
      </c>
      <c r="B4283" s="14">
        <v>39022</v>
      </c>
      <c r="C4283" s="2">
        <v>0.14286657859999999</v>
      </c>
      <c r="D4283" s="2">
        <v>3.8963893999999998E-3</v>
      </c>
      <c r="E4283" s="2">
        <v>1</v>
      </c>
      <c r="F4283" s="2">
        <v>-2.8690743604253399E-3</v>
      </c>
      <c r="G4283" s="2">
        <v>2</v>
      </c>
    </row>
    <row r="4284" spans="1:7" x14ac:dyDescent="0.2">
      <c r="A4284" s="2" t="s">
        <v>65</v>
      </c>
      <c r="B4284" s="14">
        <v>39052</v>
      </c>
      <c r="C4284" s="2">
        <v>0.12026816159000001</v>
      </c>
      <c r="D4284" s="2">
        <v>2.8811942000000002E-3</v>
      </c>
      <c r="E4284" s="2">
        <v>1</v>
      </c>
      <c r="F4284" s="2">
        <v>2.96708465925928E-3</v>
      </c>
      <c r="G4284" s="2">
        <v>2</v>
      </c>
    </row>
    <row r="4285" spans="1:7" x14ac:dyDescent="0.2">
      <c r="A4285" s="2" t="s">
        <v>65</v>
      </c>
      <c r="B4285" s="14">
        <v>39083</v>
      </c>
      <c r="C4285" s="2">
        <v>0.18604035290000001</v>
      </c>
      <c r="D4285" s="2">
        <v>-1.0926969999999999E-3</v>
      </c>
      <c r="E4285" s="2">
        <v>1</v>
      </c>
      <c r="F4285" s="2">
        <v>7.3349286650251904E-3</v>
      </c>
      <c r="G4285" s="2">
        <v>2</v>
      </c>
    </row>
    <row r="4286" spans="1:7" x14ac:dyDescent="0.2">
      <c r="A4286" s="2" t="s">
        <v>65</v>
      </c>
      <c r="B4286" s="14">
        <v>39114</v>
      </c>
      <c r="C4286" s="2">
        <v>9.1404599773E-2</v>
      </c>
      <c r="D4286" s="2">
        <v>-1.0024738000000001E-3</v>
      </c>
      <c r="E4286" s="2">
        <v>1</v>
      </c>
      <c r="F4286" s="2">
        <v>1.3075331863692599E-2</v>
      </c>
      <c r="G4286" s="2">
        <v>2</v>
      </c>
    </row>
    <row r="4287" spans="1:7" x14ac:dyDescent="0.2">
      <c r="A4287" s="2" t="s">
        <v>65</v>
      </c>
      <c r="B4287" s="14">
        <v>39142</v>
      </c>
      <c r="C4287" s="2">
        <v>4.1008567131999999E-3</v>
      </c>
      <c r="D4287" s="2">
        <v>2.4623629999999999E-4</v>
      </c>
      <c r="E4287" s="2">
        <v>1</v>
      </c>
      <c r="F4287" s="2">
        <v>1.21094714804984E-2</v>
      </c>
      <c r="G4287" s="2">
        <v>2</v>
      </c>
    </row>
    <row r="4288" spans="1:7" x14ac:dyDescent="0.2">
      <c r="A4288" s="2" t="s">
        <v>65</v>
      </c>
      <c r="B4288" s="14">
        <v>39173</v>
      </c>
      <c r="C4288" s="2">
        <v>5.2170970284000001E-2</v>
      </c>
      <c r="D4288" s="2">
        <v>1.0461697E-3</v>
      </c>
      <c r="E4288" s="2">
        <v>1</v>
      </c>
      <c r="F4288" s="2">
        <v>9.5921904201951898E-3</v>
      </c>
      <c r="G4288" s="2">
        <v>2</v>
      </c>
    </row>
    <row r="4289" spans="1:7" x14ac:dyDescent="0.2">
      <c r="A4289" s="2" t="s">
        <v>65</v>
      </c>
      <c r="B4289" s="14">
        <v>39203</v>
      </c>
      <c r="C4289" s="2">
        <v>9.7994583208000002E-2</v>
      </c>
      <c r="D4289" s="2">
        <v>1.0544209000000001E-2</v>
      </c>
      <c r="E4289" s="2">
        <v>1</v>
      </c>
      <c r="F4289" s="2">
        <v>7.8494108183125091E-3</v>
      </c>
      <c r="G4289" s="2">
        <v>2</v>
      </c>
    </row>
    <row r="4290" spans="1:7" x14ac:dyDescent="0.2">
      <c r="A4290" s="2" t="s">
        <v>65</v>
      </c>
      <c r="B4290" s="14">
        <v>39234</v>
      </c>
      <c r="C4290" s="2">
        <v>4.6481684916E-2</v>
      </c>
      <c r="D4290" s="2">
        <v>8.2458705000000004E-3</v>
      </c>
      <c r="E4290" s="2">
        <v>1</v>
      </c>
      <c r="F4290" s="2">
        <v>6.1270228733802503E-3</v>
      </c>
      <c r="G4290" s="2">
        <v>2</v>
      </c>
    </row>
    <row r="4291" spans="1:7" x14ac:dyDescent="0.2">
      <c r="A4291" s="2" t="s">
        <v>65</v>
      </c>
      <c r="B4291" s="14">
        <v>39264</v>
      </c>
      <c r="C4291" s="2">
        <v>-5.4090662815000003E-2</v>
      </c>
      <c r="D4291" s="2">
        <v>1.116939E-3</v>
      </c>
      <c r="E4291" s="2">
        <v>1</v>
      </c>
      <c r="F4291" s="2">
        <v>3.7109961382002102E-3</v>
      </c>
      <c r="G4291" s="2">
        <v>2</v>
      </c>
    </row>
    <row r="4292" spans="1:7" x14ac:dyDescent="0.2">
      <c r="A4292" s="2" t="s">
        <v>65</v>
      </c>
      <c r="B4292" s="14">
        <v>39295</v>
      </c>
      <c r="C4292" s="2">
        <v>1.7967225693000001E-2</v>
      </c>
      <c r="D4292" s="2">
        <v>2.7371970999999998E-3</v>
      </c>
      <c r="E4292" s="2">
        <v>1</v>
      </c>
      <c r="F4292" s="2">
        <v>-6.4437753062141596E-3</v>
      </c>
      <c r="G4292" s="2">
        <v>2</v>
      </c>
    </row>
    <row r="4293" spans="1:7" x14ac:dyDescent="0.2">
      <c r="A4293" s="2" t="s">
        <v>65</v>
      </c>
      <c r="B4293" s="14">
        <v>39326</v>
      </c>
      <c r="C4293" s="2">
        <v>-3.0340298508000001E-2</v>
      </c>
      <c r="D4293" s="2">
        <v>8.8907470000000003E-4</v>
      </c>
      <c r="E4293" s="2">
        <v>1</v>
      </c>
      <c r="F4293" s="2">
        <v>-8.5349947027674403E-3</v>
      </c>
      <c r="G4293" s="2">
        <v>2</v>
      </c>
    </row>
    <row r="4294" spans="1:7" x14ac:dyDescent="0.2">
      <c r="A4294" s="2" t="s">
        <v>65</v>
      </c>
      <c r="B4294" s="14">
        <v>39356</v>
      </c>
      <c r="C4294" s="2">
        <v>-5.9353027363999999E-3</v>
      </c>
      <c r="D4294" s="2">
        <v>2.4478727E-3</v>
      </c>
      <c r="E4294" s="2">
        <v>1</v>
      </c>
      <c r="F4294" s="2">
        <v>-9.4773252494062994E-3</v>
      </c>
      <c r="G4294" s="2">
        <v>2</v>
      </c>
    </row>
    <row r="4295" spans="1:7" x14ac:dyDescent="0.2">
      <c r="A4295" s="2" t="s">
        <v>65</v>
      </c>
      <c r="B4295" s="14">
        <v>39387</v>
      </c>
      <c r="C4295" s="2">
        <v>-7.7136521858000004E-2</v>
      </c>
      <c r="D4295" s="2">
        <v>-7.0201705E-4</v>
      </c>
      <c r="E4295" s="2">
        <v>1</v>
      </c>
      <c r="F4295" s="2">
        <v>-1.1114437764746601E-2</v>
      </c>
      <c r="G4295" s="2">
        <v>2</v>
      </c>
    </row>
    <row r="4296" spans="1:7" x14ac:dyDescent="0.2">
      <c r="A4296" s="2" t="s">
        <v>65</v>
      </c>
      <c r="B4296" s="14">
        <v>39417</v>
      </c>
      <c r="C4296" s="2">
        <v>-5.9020134226999997E-2</v>
      </c>
      <c r="D4296" s="2">
        <v>-5.2095256999999998E-4</v>
      </c>
      <c r="E4296" s="2">
        <v>1</v>
      </c>
      <c r="F4296" s="2">
        <v>-1.59231640219245E-2</v>
      </c>
      <c r="G4296" s="2">
        <v>2</v>
      </c>
    </row>
    <row r="4297" spans="1:7" x14ac:dyDescent="0.2">
      <c r="A4297" s="2" t="s">
        <v>65</v>
      </c>
      <c r="B4297" s="14">
        <v>39448</v>
      </c>
      <c r="C4297" s="2">
        <v>-9.3517367943000002E-2</v>
      </c>
      <c r="D4297" s="2">
        <v>4.9609919000000004E-3</v>
      </c>
      <c r="E4297" s="2">
        <v>1</v>
      </c>
      <c r="F4297" s="2">
        <v>-1.88355070966023E-2</v>
      </c>
      <c r="G4297" s="2">
        <v>2</v>
      </c>
    </row>
    <row r="4298" spans="1:7" x14ac:dyDescent="0.2">
      <c r="A4298" s="2" t="s">
        <v>65</v>
      </c>
      <c r="B4298" s="14">
        <v>39479</v>
      </c>
      <c r="C4298" s="2">
        <v>1.1050170688000001E-2</v>
      </c>
      <c r="D4298" s="2">
        <v>5.2482932999999999E-3</v>
      </c>
      <c r="E4298" s="2">
        <v>1</v>
      </c>
      <c r="F4298" s="2">
        <v>-1.9927463009364699E-2</v>
      </c>
      <c r="G4298" s="2">
        <v>2</v>
      </c>
    </row>
    <row r="4299" spans="1:7" x14ac:dyDescent="0.2">
      <c r="A4299" s="2" t="s">
        <v>65</v>
      </c>
      <c r="B4299" s="14">
        <v>39508</v>
      </c>
      <c r="C4299" s="2">
        <v>-2.1602765154999999E-3</v>
      </c>
      <c r="D4299" s="2">
        <v>5.1242550999999999E-3</v>
      </c>
      <c r="E4299" s="2">
        <v>1</v>
      </c>
      <c r="F4299" s="2">
        <v>-2.0277041829259199E-2</v>
      </c>
      <c r="G4299" s="2">
        <v>2</v>
      </c>
    </row>
    <row r="4300" spans="1:7" x14ac:dyDescent="0.2">
      <c r="A4300" s="2" t="s">
        <v>65</v>
      </c>
      <c r="B4300" s="14">
        <v>39539</v>
      </c>
      <c r="C4300" s="2">
        <v>-1.9677021023000001E-2</v>
      </c>
      <c r="D4300" s="2">
        <v>6.2384820000000001E-3</v>
      </c>
      <c r="E4300" s="2">
        <v>1</v>
      </c>
      <c r="F4300" s="2">
        <v>-1.94596050036073E-2</v>
      </c>
      <c r="G4300" s="2">
        <v>2</v>
      </c>
    </row>
    <row r="4301" spans="1:7" x14ac:dyDescent="0.2">
      <c r="A4301" s="2" t="s">
        <v>65</v>
      </c>
      <c r="B4301" s="14">
        <v>39569</v>
      </c>
      <c r="C4301" s="2">
        <v>-4.1544389532999999E-2</v>
      </c>
      <c r="D4301" s="2">
        <v>-6.3561624999999996E-4</v>
      </c>
      <c r="E4301" s="2">
        <v>1</v>
      </c>
      <c r="F4301" s="2">
        <v>-1.9871266380472499E-2</v>
      </c>
      <c r="G4301" s="2">
        <v>2</v>
      </c>
    </row>
    <row r="4302" spans="1:7" x14ac:dyDescent="0.2">
      <c r="A4302" s="2" t="s">
        <v>65</v>
      </c>
      <c r="B4302" s="14">
        <v>39600</v>
      </c>
      <c r="C4302" s="2">
        <v>-9.2644495335999999E-2</v>
      </c>
      <c r="D4302" s="2">
        <v>-1.5853731E-4</v>
      </c>
      <c r="E4302" s="2">
        <v>1</v>
      </c>
      <c r="F4302" s="2">
        <v>-1.8982485244745301E-2</v>
      </c>
      <c r="G4302" s="2">
        <v>2</v>
      </c>
    </row>
    <row r="4303" spans="1:7" x14ac:dyDescent="0.2">
      <c r="A4303" s="2" t="s">
        <v>65</v>
      </c>
      <c r="B4303" s="14">
        <v>39630</v>
      </c>
      <c r="C4303" s="2">
        <v>0.11798165483</v>
      </c>
      <c r="D4303" s="2">
        <v>8.0762494999999995E-4</v>
      </c>
      <c r="E4303" s="2">
        <v>1</v>
      </c>
      <c r="F4303" s="2">
        <v>-1.9782224625273001E-2</v>
      </c>
      <c r="G4303" s="2">
        <v>2</v>
      </c>
    </row>
    <row r="4304" spans="1:7" x14ac:dyDescent="0.2">
      <c r="A4304" s="2" t="s">
        <v>65</v>
      </c>
      <c r="B4304" s="14">
        <v>39661</v>
      </c>
      <c r="C4304" s="2">
        <v>5.0443142251000002E-2</v>
      </c>
      <c r="D4304" s="2">
        <v>-7.5718091000000003E-4</v>
      </c>
      <c r="E4304" s="2">
        <v>1</v>
      </c>
      <c r="F4304" s="2">
        <v>-1.07978396215861E-2</v>
      </c>
      <c r="G4304" s="2">
        <v>2</v>
      </c>
    </row>
    <row r="4305" spans="1:7" x14ac:dyDescent="0.2">
      <c r="A4305" s="2" t="s">
        <v>65</v>
      </c>
      <c r="B4305" s="14">
        <v>39692</v>
      </c>
      <c r="C4305" s="2">
        <v>-6.7337855362000001E-3</v>
      </c>
      <c r="D4305" s="2">
        <v>-1.8104086999999999E-3</v>
      </c>
      <c r="E4305" s="2">
        <v>1</v>
      </c>
      <c r="F4305" s="2">
        <v>-9.6662843209906202E-3</v>
      </c>
      <c r="G4305" s="2">
        <v>2</v>
      </c>
    </row>
    <row r="4306" spans="1:7" x14ac:dyDescent="0.2">
      <c r="A4306" s="2" t="s">
        <v>65</v>
      </c>
      <c r="B4306" s="14">
        <v>39722</v>
      </c>
      <c r="C4306" s="2">
        <v>2.4306761243000001E-3</v>
      </c>
      <c r="D4306" s="2">
        <v>-3.5669080000000001E-3</v>
      </c>
      <c r="E4306" s="2">
        <v>1</v>
      </c>
      <c r="F4306" s="2">
        <v>-9.782594892951E-3</v>
      </c>
      <c r="G4306" s="2">
        <v>2</v>
      </c>
    </row>
    <row r="4307" spans="1:7" x14ac:dyDescent="0.2">
      <c r="A4307" s="2" t="s">
        <v>65</v>
      </c>
      <c r="B4307" s="14">
        <v>39753</v>
      </c>
      <c r="C4307" s="2">
        <v>-9.2933491686E-2</v>
      </c>
      <c r="D4307" s="2">
        <v>-2.3354198999999999E-3</v>
      </c>
      <c r="E4307" s="2">
        <v>1</v>
      </c>
      <c r="F4307" s="2">
        <v>-9.1456731783050391E-3</v>
      </c>
      <c r="G4307" s="2">
        <v>2</v>
      </c>
    </row>
    <row r="4308" spans="1:7" x14ac:dyDescent="0.2">
      <c r="A4308" s="2" t="s">
        <v>65</v>
      </c>
      <c r="B4308" s="14">
        <v>39783</v>
      </c>
      <c r="C4308" s="2">
        <v>-2.8732496812000001E-3</v>
      </c>
      <c r="D4308" s="2">
        <v>-2.3933730999999999E-3</v>
      </c>
      <c r="E4308" s="2">
        <v>1</v>
      </c>
      <c r="F4308" s="2">
        <v>-1.03796283506928E-2</v>
      </c>
      <c r="G4308" s="2">
        <v>2</v>
      </c>
    </row>
    <row r="4309" spans="1:7" x14ac:dyDescent="0.2">
      <c r="A4309" s="2" t="s">
        <v>66</v>
      </c>
      <c r="B4309" s="14">
        <v>37591</v>
      </c>
      <c r="C4309" s="2">
        <v>9.9999861285999993E-3</v>
      </c>
      <c r="D4309" s="2">
        <v>0</v>
      </c>
      <c r="E4309" s="2">
        <v>1</v>
      </c>
      <c r="G4309" s="2">
        <v>1</v>
      </c>
    </row>
    <row r="4310" spans="1:7" x14ac:dyDescent="0.2">
      <c r="A4310" s="2" t="s">
        <v>66</v>
      </c>
      <c r="B4310" s="14">
        <v>37622</v>
      </c>
      <c r="C4310" s="2">
        <v>9.1805946491000004E-2</v>
      </c>
      <c r="D4310" s="2">
        <v>0</v>
      </c>
      <c r="E4310" s="2">
        <v>1</v>
      </c>
      <c r="G4310" s="2">
        <v>1</v>
      </c>
    </row>
    <row r="4311" spans="1:7" x14ac:dyDescent="0.2">
      <c r="A4311" s="2" t="s">
        <v>66</v>
      </c>
      <c r="B4311" s="14">
        <v>37653</v>
      </c>
      <c r="C4311" s="2">
        <v>-3.3333333333000002E-2</v>
      </c>
      <c r="D4311" s="2">
        <v>0</v>
      </c>
      <c r="E4311" s="2">
        <v>1</v>
      </c>
      <c r="G4311" s="2">
        <v>1</v>
      </c>
    </row>
    <row r="4312" spans="1:7" x14ac:dyDescent="0.2">
      <c r="A4312" s="2" t="s">
        <v>66</v>
      </c>
      <c r="B4312" s="14">
        <v>37681</v>
      </c>
      <c r="C4312" s="2">
        <v>3.6206870242999997E-2</v>
      </c>
      <c r="D4312" s="2">
        <v>0</v>
      </c>
      <c r="E4312" s="2">
        <v>1</v>
      </c>
      <c r="G4312" s="2">
        <v>1</v>
      </c>
    </row>
    <row r="4313" spans="1:7" x14ac:dyDescent="0.2">
      <c r="A4313" s="2" t="s">
        <v>66</v>
      </c>
      <c r="B4313" s="14">
        <v>37712</v>
      </c>
      <c r="C4313" s="2">
        <v>0.39591276849000001</v>
      </c>
      <c r="D4313" s="2">
        <v>0</v>
      </c>
      <c r="E4313" s="2">
        <v>1</v>
      </c>
      <c r="G4313" s="2">
        <v>1</v>
      </c>
    </row>
    <row r="4314" spans="1:7" x14ac:dyDescent="0.2">
      <c r="A4314" s="2" t="s">
        <v>66</v>
      </c>
      <c r="B4314" s="14">
        <v>37742</v>
      </c>
      <c r="C4314" s="2">
        <v>0.1432098577</v>
      </c>
      <c r="D4314" s="2">
        <v>0</v>
      </c>
      <c r="E4314" s="2">
        <v>1</v>
      </c>
      <c r="G4314" s="2">
        <v>1</v>
      </c>
    </row>
    <row r="4315" spans="1:7" x14ac:dyDescent="0.2">
      <c r="A4315" s="2" t="s">
        <v>66</v>
      </c>
      <c r="B4315" s="14">
        <v>37773</v>
      </c>
      <c r="C4315" s="2">
        <v>0.41468684836000003</v>
      </c>
      <c r="D4315" s="2">
        <v>0</v>
      </c>
      <c r="E4315" s="2">
        <v>1</v>
      </c>
      <c r="G4315" s="2">
        <v>1</v>
      </c>
    </row>
    <row r="4316" spans="1:7" x14ac:dyDescent="0.2">
      <c r="A4316" s="2" t="s">
        <v>66</v>
      </c>
      <c r="B4316" s="14">
        <v>37803</v>
      </c>
      <c r="C4316" s="2">
        <v>0.15315900599999999</v>
      </c>
      <c r="D4316" s="2">
        <v>0</v>
      </c>
      <c r="E4316" s="2">
        <v>1</v>
      </c>
      <c r="G4316" s="2">
        <v>1</v>
      </c>
    </row>
    <row r="4317" spans="1:7" x14ac:dyDescent="0.2">
      <c r="A4317" s="2" t="s">
        <v>66</v>
      </c>
      <c r="B4317" s="14">
        <v>37834</v>
      </c>
      <c r="C4317" s="2">
        <v>0.33333333332999998</v>
      </c>
      <c r="D4317" s="2">
        <v>0</v>
      </c>
      <c r="E4317" s="2">
        <v>1</v>
      </c>
      <c r="G4317" s="2">
        <v>1</v>
      </c>
    </row>
    <row r="4318" spans="1:7" x14ac:dyDescent="0.2">
      <c r="A4318" s="2" t="s">
        <v>66</v>
      </c>
      <c r="B4318" s="14">
        <v>37865</v>
      </c>
      <c r="C4318" s="2">
        <v>-9.9999999999E-2</v>
      </c>
      <c r="D4318" s="2">
        <v>0</v>
      </c>
      <c r="E4318" s="2">
        <v>1</v>
      </c>
      <c r="G4318" s="2">
        <v>1</v>
      </c>
    </row>
    <row r="4319" spans="1:7" x14ac:dyDescent="0.2">
      <c r="A4319" s="2" t="s">
        <v>66</v>
      </c>
      <c r="B4319" s="14">
        <v>37895</v>
      </c>
      <c r="C4319" s="2">
        <v>0.20652173912999999</v>
      </c>
      <c r="D4319" s="2">
        <v>5.6064687999999999E-4</v>
      </c>
      <c r="E4319" s="2">
        <v>1</v>
      </c>
      <c r="G4319" s="2">
        <v>1</v>
      </c>
    </row>
    <row r="4320" spans="1:7" x14ac:dyDescent="0.2">
      <c r="A4320" s="2" t="s">
        <v>66</v>
      </c>
      <c r="B4320" s="14">
        <v>37926</v>
      </c>
      <c r="C4320" s="2">
        <v>1.8518518518000002E-2</v>
      </c>
      <c r="D4320" s="2">
        <v>0</v>
      </c>
      <c r="E4320" s="2">
        <v>1</v>
      </c>
      <c r="G4320" s="2">
        <v>1</v>
      </c>
    </row>
    <row r="4321" spans="1:7" x14ac:dyDescent="0.2">
      <c r="A4321" s="2" t="s">
        <v>66</v>
      </c>
      <c r="B4321" s="14">
        <v>37956</v>
      </c>
      <c r="C4321" s="2">
        <v>-2.2727272735E-3</v>
      </c>
      <c r="D4321" s="19">
        <v>1.6172507000000001E-5</v>
      </c>
      <c r="E4321" s="2">
        <v>1</v>
      </c>
      <c r="G4321" s="2">
        <v>1</v>
      </c>
    </row>
    <row r="4322" spans="1:7" x14ac:dyDescent="0.2">
      <c r="A4322" s="2" t="s">
        <v>66</v>
      </c>
      <c r="B4322" s="14">
        <v>37987</v>
      </c>
      <c r="C4322" s="2">
        <v>-0.15331807780000001</v>
      </c>
      <c r="E4322" s="2">
        <v>1</v>
      </c>
      <c r="G4322" s="2">
        <v>1</v>
      </c>
    </row>
    <row r="4323" spans="1:7" x14ac:dyDescent="0.2">
      <c r="A4323" s="2" t="s">
        <v>66</v>
      </c>
      <c r="B4323" s="14">
        <v>38018</v>
      </c>
      <c r="C4323" s="2">
        <v>0</v>
      </c>
      <c r="E4323" s="2">
        <v>1</v>
      </c>
      <c r="G4323" s="2">
        <v>1</v>
      </c>
    </row>
    <row r="4324" spans="1:7" x14ac:dyDescent="0.2">
      <c r="A4324" s="2" t="s">
        <v>66</v>
      </c>
      <c r="B4324" s="14">
        <v>38047</v>
      </c>
      <c r="C4324" s="2">
        <v>0.1081081081</v>
      </c>
      <c r="D4324" s="2">
        <v>0</v>
      </c>
      <c r="E4324" s="2">
        <v>1</v>
      </c>
      <c r="G4324" s="2">
        <v>1</v>
      </c>
    </row>
    <row r="4325" spans="1:7" x14ac:dyDescent="0.2">
      <c r="A4325" s="2" t="s">
        <v>66</v>
      </c>
      <c r="B4325" s="14">
        <v>38078</v>
      </c>
      <c r="C4325" s="2">
        <v>-1.0250972075E-2</v>
      </c>
      <c r="D4325" s="2">
        <v>0</v>
      </c>
      <c r="E4325" s="2">
        <v>1</v>
      </c>
      <c r="G4325" s="2">
        <v>1</v>
      </c>
    </row>
    <row r="4326" spans="1:7" x14ac:dyDescent="0.2">
      <c r="A4326" s="2" t="s">
        <v>66</v>
      </c>
      <c r="B4326" s="14">
        <v>38108</v>
      </c>
      <c r="C4326" s="2">
        <v>-2.4950000000999999E-2</v>
      </c>
      <c r="D4326" s="2">
        <v>0</v>
      </c>
      <c r="E4326" s="2">
        <v>1</v>
      </c>
      <c r="G4326" s="2">
        <v>1</v>
      </c>
    </row>
    <row r="4327" spans="1:7" x14ac:dyDescent="0.2">
      <c r="A4327" s="2" t="s">
        <v>66</v>
      </c>
      <c r="B4327" s="14">
        <v>38139</v>
      </c>
      <c r="C4327" s="2">
        <v>5.1228142147E-2</v>
      </c>
      <c r="D4327" s="2">
        <v>0</v>
      </c>
      <c r="E4327" s="2">
        <v>1</v>
      </c>
      <c r="G4327" s="2">
        <v>1</v>
      </c>
    </row>
    <row r="4328" spans="1:7" x14ac:dyDescent="0.2">
      <c r="A4328" s="2" t="s">
        <v>66</v>
      </c>
      <c r="B4328" s="14">
        <v>38169</v>
      </c>
      <c r="C4328" s="2">
        <v>7.0605266533999997E-2</v>
      </c>
      <c r="D4328" s="2">
        <v>0</v>
      </c>
      <c r="E4328" s="2">
        <v>1</v>
      </c>
      <c r="G4328" s="2">
        <v>1</v>
      </c>
    </row>
    <row r="4329" spans="1:7" x14ac:dyDescent="0.2">
      <c r="A4329" s="2" t="s">
        <v>66</v>
      </c>
      <c r="B4329" s="14">
        <v>38200</v>
      </c>
      <c r="C4329" s="2">
        <v>0.16972477063999999</v>
      </c>
      <c r="D4329" s="2">
        <v>0</v>
      </c>
      <c r="E4329" s="2">
        <v>1</v>
      </c>
      <c r="G4329" s="2">
        <v>1</v>
      </c>
    </row>
    <row r="4330" spans="1:7" x14ac:dyDescent="0.2">
      <c r="A4330" s="2" t="s">
        <v>66</v>
      </c>
      <c r="B4330" s="14">
        <v>38231</v>
      </c>
      <c r="C4330" s="2">
        <v>0.21568627451</v>
      </c>
      <c r="D4330" s="2">
        <v>2.0662371999999999E-3</v>
      </c>
      <c r="E4330" s="2">
        <v>1</v>
      </c>
      <c r="G4330" s="2">
        <v>1</v>
      </c>
    </row>
    <row r="4331" spans="1:7" x14ac:dyDescent="0.2">
      <c r="A4331" s="2" t="s">
        <v>66</v>
      </c>
      <c r="B4331" s="14">
        <v>38261</v>
      </c>
      <c r="C4331" s="2">
        <v>0.23339658444</v>
      </c>
      <c r="D4331" s="2">
        <v>9.2498649999999999E-4</v>
      </c>
      <c r="E4331" s="2">
        <v>1</v>
      </c>
      <c r="G4331" s="2">
        <v>1</v>
      </c>
    </row>
    <row r="4332" spans="1:7" x14ac:dyDescent="0.2">
      <c r="A4332" s="2" t="s">
        <v>66</v>
      </c>
      <c r="B4332" s="14">
        <v>38292</v>
      </c>
      <c r="C4332" s="2">
        <v>-7.3684210526999999E-2</v>
      </c>
      <c r="D4332" s="2">
        <v>0</v>
      </c>
      <c r="E4332" s="2">
        <v>1</v>
      </c>
      <c r="G4332" s="2">
        <v>1</v>
      </c>
    </row>
    <row r="4333" spans="1:7" x14ac:dyDescent="0.2">
      <c r="A4333" s="2" t="s">
        <v>66</v>
      </c>
      <c r="B4333" s="14">
        <v>38322</v>
      </c>
      <c r="C4333" s="2">
        <v>8.5227272720999996E-3</v>
      </c>
      <c r="D4333" s="2">
        <v>0</v>
      </c>
      <c r="E4333" s="2">
        <v>1</v>
      </c>
      <c r="G4333" s="2">
        <v>1</v>
      </c>
    </row>
    <row r="4334" spans="1:7" x14ac:dyDescent="0.2">
      <c r="A4334" s="2" t="s">
        <v>66</v>
      </c>
      <c r="B4334" s="14">
        <v>38353</v>
      </c>
      <c r="C4334" s="2">
        <v>-4.5338312293999997E-2</v>
      </c>
      <c r="D4334" s="2">
        <v>0</v>
      </c>
      <c r="E4334" s="2">
        <v>1</v>
      </c>
      <c r="G4334" s="2">
        <v>1</v>
      </c>
    </row>
    <row r="4335" spans="1:7" x14ac:dyDescent="0.2">
      <c r="A4335" s="2" t="s">
        <v>66</v>
      </c>
      <c r="B4335" s="14">
        <v>38384</v>
      </c>
      <c r="C4335" s="2">
        <v>1.7857142857000002E-2</v>
      </c>
      <c r="D4335" s="2">
        <v>0</v>
      </c>
      <c r="E4335" s="2">
        <v>1</v>
      </c>
      <c r="G4335" s="2">
        <v>1</v>
      </c>
    </row>
    <row r="4336" spans="1:7" x14ac:dyDescent="0.2">
      <c r="A4336" s="2" t="s">
        <v>66</v>
      </c>
      <c r="B4336" s="14">
        <v>38412</v>
      </c>
      <c r="C4336" s="2">
        <v>8.1871345030000001E-2</v>
      </c>
      <c r="D4336" s="2">
        <v>0</v>
      </c>
      <c r="E4336" s="2">
        <v>1</v>
      </c>
      <c r="G4336" s="2">
        <v>1</v>
      </c>
    </row>
    <row r="4337" spans="1:7" x14ac:dyDescent="0.2">
      <c r="A4337" s="2" t="s">
        <v>66</v>
      </c>
      <c r="B4337" s="14">
        <v>38443</v>
      </c>
      <c r="C4337" s="2">
        <v>5.5956550899E-2</v>
      </c>
      <c r="D4337" s="19">
        <v>2.3812399E-5</v>
      </c>
      <c r="E4337" s="2">
        <v>1</v>
      </c>
      <c r="G4337" s="2">
        <v>1</v>
      </c>
    </row>
    <row r="4338" spans="1:7" x14ac:dyDescent="0.2">
      <c r="A4338" s="2" t="s">
        <v>66</v>
      </c>
      <c r="B4338" s="14">
        <v>38473</v>
      </c>
      <c r="C4338" s="2">
        <v>-0.10526315789</v>
      </c>
      <c r="D4338" s="2">
        <v>0</v>
      </c>
      <c r="E4338" s="2">
        <v>1</v>
      </c>
      <c r="G4338" s="2">
        <v>1</v>
      </c>
    </row>
    <row r="4339" spans="1:7" x14ac:dyDescent="0.2">
      <c r="A4339" s="2" t="s">
        <v>66</v>
      </c>
      <c r="B4339" s="14">
        <v>38504</v>
      </c>
      <c r="C4339" s="2">
        <v>3.4875531305999997E-2</v>
      </c>
      <c r="D4339" s="2">
        <v>0</v>
      </c>
      <c r="E4339" s="2">
        <v>1</v>
      </c>
      <c r="G4339" s="2">
        <v>1</v>
      </c>
    </row>
    <row r="4340" spans="1:7" x14ac:dyDescent="0.2">
      <c r="A4340" s="2" t="s">
        <v>66</v>
      </c>
      <c r="B4340" s="14">
        <v>38534</v>
      </c>
      <c r="C4340" s="2">
        <v>-8.5714285715000008E-3</v>
      </c>
      <c r="D4340" s="2">
        <v>4.3969377000000002E-4</v>
      </c>
      <c r="E4340" s="2">
        <v>1</v>
      </c>
      <c r="G4340" s="2">
        <v>1</v>
      </c>
    </row>
    <row r="4341" spans="1:7" x14ac:dyDescent="0.2">
      <c r="A4341" s="2" t="s">
        <v>66</v>
      </c>
      <c r="B4341" s="14">
        <v>38565</v>
      </c>
      <c r="C4341" s="2">
        <v>-8.7881858984E-2</v>
      </c>
      <c r="D4341" s="2">
        <v>0</v>
      </c>
      <c r="E4341" s="2">
        <v>1</v>
      </c>
      <c r="G4341" s="2">
        <v>1</v>
      </c>
    </row>
    <row r="4342" spans="1:7" x14ac:dyDescent="0.2">
      <c r="A4342" s="2" t="s">
        <v>66</v>
      </c>
      <c r="B4342" s="14">
        <v>38596</v>
      </c>
      <c r="C4342" s="2">
        <v>-3.1746031746000001E-3</v>
      </c>
      <c r="D4342" s="2">
        <v>0</v>
      </c>
      <c r="E4342" s="2">
        <v>1</v>
      </c>
      <c r="G4342" s="2">
        <v>1</v>
      </c>
    </row>
    <row r="4343" spans="1:7" x14ac:dyDescent="0.2">
      <c r="A4343" s="2" t="s">
        <v>66</v>
      </c>
      <c r="B4343" s="14">
        <v>38626</v>
      </c>
      <c r="C4343" s="2">
        <v>-3.9070649894999997E-2</v>
      </c>
      <c r="D4343" s="2">
        <v>0</v>
      </c>
      <c r="E4343" s="2">
        <v>1</v>
      </c>
      <c r="G4343" s="2">
        <v>1</v>
      </c>
    </row>
    <row r="4344" spans="1:7" x14ac:dyDescent="0.2">
      <c r="A4344" s="2" t="s">
        <v>66</v>
      </c>
      <c r="B4344" s="14">
        <v>38657</v>
      </c>
      <c r="C4344" s="2">
        <v>-0.2</v>
      </c>
      <c r="D4344" s="2">
        <v>0</v>
      </c>
      <c r="E4344" s="2">
        <v>1</v>
      </c>
      <c r="G4344" s="2">
        <v>1</v>
      </c>
    </row>
    <row r="4345" spans="1:7" x14ac:dyDescent="0.2">
      <c r="A4345" s="2" t="s">
        <v>66</v>
      </c>
      <c r="B4345" s="14">
        <v>38687</v>
      </c>
      <c r="C4345" s="2">
        <v>-8.3333333332999998E-2</v>
      </c>
      <c r="D4345" s="2">
        <v>0</v>
      </c>
      <c r="E4345" s="2">
        <v>1</v>
      </c>
      <c r="G4345" s="2">
        <v>1</v>
      </c>
    </row>
    <row r="4346" spans="1:7" x14ac:dyDescent="0.2">
      <c r="A4346" s="2" t="s">
        <v>66</v>
      </c>
      <c r="B4346" s="14">
        <v>38718</v>
      </c>
      <c r="C4346" s="2">
        <v>2.8644252943E-2</v>
      </c>
      <c r="D4346" s="2">
        <v>-1.2083688000000001E-3</v>
      </c>
      <c r="E4346" s="2">
        <v>1</v>
      </c>
      <c r="G4346" s="2">
        <v>1</v>
      </c>
    </row>
    <row r="4347" spans="1:7" x14ac:dyDescent="0.2">
      <c r="A4347" s="2" t="s">
        <v>66</v>
      </c>
      <c r="B4347" s="14">
        <v>38749</v>
      </c>
      <c r="C4347" s="2">
        <v>-0.11111111110999999</v>
      </c>
      <c r="D4347" s="2">
        <v>0</v>
      </c>
      <c r="E4347" s="2">
        <v>1</v>
      </c>
      <c r="G4347" s="2">
        <v>1</v>
      </c>
    </row>
    <row r="4348" spans="1:7" x14ac:dyDescent="0.2">
      <c r="A4348" s="2" t="s">
        <v>66</v>
      </c>
      <c r="B4348" s="14">
        <v>38777</v>
      </c>
      <c r="C4348" s="2">
        <v>-0.15</v>
      </c>
      <c r="D4348" s="19">
        <v>-1.0462068000000001E-9</v>
      </c>
      <c r="E4348" s="2">
        <v>1</v>
      </c>
      <c r="G4348" s="2">
        <v>1</v>
      </c>
    </row>
    <row r="4349" spans="1:7" x14ac:dyDescent="0.2">
      <c r="A4349" s="2" t="s">
        <v>66</v>
      </c>
      <c r="B4349" s="14">
        <v>38808</v>
      </c>
      <c r="C4349" s="2">
        <v>6.8782640379000004E-2</v>
      </c>
      <c r="D4349" s="2">
        <v>3.3130407000000001E-2</v>
      </c>
      <c r="E4349" s="2">
        <v>1</v>
      </c>
      <c r="G4349" s="2">
        <v>1</v>
      </c>
    </row>
    <row r="4350" spans="1:7" x14ac:dyDescent="0.2">
      <c r="A4350" s="2" t="s">
        <v>66</v>
      </c>
      <c r="B4350" s="14">
        <v>38838</v>
      </c>
      <c r="C4350" s="2">
        <v>-3.4090909090000003E-2</v>
      </c>
      <c r="D4350" s="2">
        <v>0</v>
      </c>
      <c r="E4350" s="2">
        <v>1</v>
      </c>
      <c r="G4350" s="2">
        <v>1</v>
      </c>
    </row>
    <row r="4351" spans="1:7" x14ac:dyDescent="0.2">
      <c r="A4351" s="2" t="s">
        <v>66</v>
      </c>
      <c r="B4351" s="14">
        <v>38869</v>
      </c>
      <c r="C4351" s="2">
        <v>0</v>
      </c>
      <c r="D4351" s="19">
        <v>1.3939658999999999E-5</v>
      </c>
      <c r="E4351" s="2">
        <v>1</v>
      </c>
      <c r="G4351" s="2">
        <v>1</v>
      </c>
    </row>
    <row r="4352" spans="1:7" x14ac:dyDescent="0.2">
      <c r="A4352" s="2" t="s">
        <v>66</v>
      </c>
      <c r="B4352" s="14">
        <v>38899</v>
      </c>
      <c r="C4352" s="2">
        <v>-5.2941176472000001E-2</v>
      </c>
      <c r="D4352" s="2">
        <v>3.2638847000000001E-3</v>
      </c>
      <c r="E4352" s="2">
        <v>1</v>
      </c>
      <c r="G4352" s="2">
        <v>1</v>
      </c>
    </row>
    <row r="4353" spans="1:7" x14ac:dyDescent="0.2">
      <c r="A4353" s="2" t="s">
        <v>66</v>
      </c>
      <c r="B4353" s="14">
        <v>38930</v>
      </c>
      <c r="C4353" s="2">
        <v>8.6956521740000001E-2</v>
      </c>
      <c r="D4353" s="2">
        <v>0</v>
      </c>
      <c r="E4353" s="2">
        <v>1</v>
      </c>
      <c r="F4353" s="2">
        <v>1.9928977151030099E-2</v>
      </c>
      <c r="G4353" s="2">
        <v>1</v>
      </c>
    </row>
    <row r="4354" spans="1:7" x14ac:dyDescent="0.2">
      <c r="A4354" s="2" t="s">
        <v>66</v>
      </c>
      <c r="B4354" s="14">
        <v>38961</v>
      </c>
      <c r="C4354" s="2">
        <v>2.8571428571E-2</v>
      </c>
      <c r="D4354" s="2">
        <v>5.2310340000000005E-4</v>
      </c>
      <c r="E4354" s="2">
        <v>1</v>
      </c>
      <c r="F4354" s="2">
        <v>2.5636977957149601E-2</v>
      </c>
      <c r="G4354" s="2">
        <v>1</v>
      </c>
    </row>
    <row r="4355" spans="1:7" x14ac:dyDescent="0.2">
      <c r="A4355" s="2" t="s">
        <v>66</v>
      </c>
      <c r="B4355" s="14">
        <v>38991</v>
      </c>
      <c r="C4355" s="2">
        <v>-0.05</v>
      </c>
      <c r="D4355" s="2">
        <v>0</v>
      </c>
      <c r="E4355" s="2">
        <v>1</v>
      </c>
      <c r="F4355" s="2">
        <v>3.07646018516959E-2</v>
      </c>
      <c r="G4355" s="2">
        <v>1</v>
      </c>
    </row>
    <row r="4356" spans="1:7" x14ac:dyDescent="0.2">
      <c r="A4356" s="2" t="s">
        <v>66</v>
      </c>
      <c r="B4356" s="14">
        <v>39022</v>
      </c>
      <c r="C4356" s="2">
        <v>0.11111111110999999</v>
      </c>
      <c r="D4356" s="2">
        <v>9.4993167999999999E-4</v>
      </c>
      <c r="E4356" s="2">
        <v>1</v>
      </c>
      <c r="F4356" s="2">
        <v>2.7450842960212999E-2</v>
      </c>
      <c r="G4356" s="2">
        <v>1</v>
      </c>
    </row>
    <row r="4357" spans="1:7" x14ac:dyDescent="0.2">
      <c r="A4357" s="2" t="s">
        <v>66</v>
      </c>
      <c r="B4357" s="14">
        <v>39052</v>
      </c>
      <c r="C4357" s="2">
        <v>9.3157894736999994E-2</v>
      </c>
      <c r="D4357" s="19">
        <v>6.0286620000000001E-5</v>
      </c>
      <c r="E4357" s="2">
        <v>1</v>
      </c>
      <c r="F4357" s="2">
        <v>3.1290618515350997E-2</v>
      </c>
      <c r="G4357" s="2">
        <v>1</v>
      </c>
    </row>
    <row r="4358" spans="1:7" x14ac:dyDescent="0.2">
      <c r="A4358" s="2" t="s">
        <v>66</v>
      </c>
      <c r="B4358" s="14">
        <v>39083</v>
      </c>
      <c r="C4358" s="2">
        <v>8.3293211362999997E-2</v>
      </c>
      <c r="D4358" s="2">
        <v>0</v>
      </c>
      <c r="E4358" s="2">
        <v>1</v>
      </c>
      <c r="F4358" s="2">
        <v>3.3818426233730797E-2</v>
      </c>
      <c r="G4358" s="2">
        <v>1</v>
      </c>
    </row>
    <row r="4359" spans="1:7" x14ac:dyDescent="0.2">
      <c r="A4359" s="2" t="s">
        <v>66</v>
      </c>
      <c r="B4359" s="14">
        <v>39114</v>
      </c>
      <c r="C4359" s="2">
        <v>4.4444444444000003E-2</v>
      </c>
      <c r="D4359" s="2">
        <v>0</v>
      </c>
      <c r="E4359" s="2">
        <v>1</v>
      </c>
      <c r="F4359" s="2">
        <v>3.7629539879173002E-2</v>
      </c>
      <c r="G4359" s="2">
        <v>1</v>
      </c>
    </row>
    <row r="4360" spans="1:7" x14ac:dyDescent="0.2">
      <c r="A4360" s="2" t="s">
        <v>66</v>
      </c>
      <c r="B4360" s="14">
        <v>39142</v>
      </c>
      <c r="C4360" s="2">
        <v>-0.12340425531</v>
      </c>
      <c r="D4360" s="2">
        <v>0</v>
      </c>
      <c r="E4360" s="2">
        <v>1</v>
      </c>
      <c r="F4360" s="2">
        <v>3.6154525101634402E-2</v>
      </c>
      <c r="G4360" s="2">
        <v>1</v>
      </c>
    </row>
    <row r="4361" spans="1:7" x14ac:dyDescent="0.2">
      <c r="A4361" s="2" t="s">
        <v>66</v>
      </c>
      <c r="B4361" s="14">
        <v>39173</v>
      </c>
      <c r="C4361" s="2">
        <v>9.2233009709000002E-2</v>
      </c>
      <c r="D4361" s="2">
        <v>0</v>
      </c>
      <c r="E4361" s="2">
        <v>1</v>
      </c>
      <c r="F4361" s="2">
        <v>3.1969824542558499E-2</v>
      </c>
      <c r="G4361" s="2">
        <v>1</v>
      </c>
    </row>
    <row r="4362" spans="1:7" x14ac:dyDescent="0.2">
      <c r="A4362" s="2" t="s">
        <v>66</v>
      </c>
      <c r="B4362" s="14">
        <v>39203</v>
      </c>
      <c r="C4362" s="2">
        <v>0.13333333333</v>
      </c>
      <c r="D4362" s="2">
        <v>0</v>
      </c>
      <c r="E4362" s="2">
        <v>1</v>
      </c>
      <c r="F4362" s="2">
        <v>3.5909648218289902E-2</v>
      </c>
      <c r="G4362" s="2">
        <v>1</v>
      </c>
    </row>
    <row r="4363" spans="1:7" x14ac:dyDescent="0.2">
      <c r="A4363" s="2" t="s">
        <v>66</v>
      </c>
      <c r="B4363" s="14">
        <v>39234</v>
      </c>
      <c r="C4363" s="2">
        <v>8.0392156862000005E-2</v>
      </c>
      <c r="D4363" s="2">
        <v>0</v>
      </c>
      <c r="E4363" s="2">
        <v>1</v>
      </c>
      <c r="F4363" s="2">
        <v>3.6338650729791901E-2</v>
      </c>
      <c r="G4363" s="2">
        <v>1</v>
      </c>
    </row>
    <row r="4364" spans="1:7" x14ac:dyDescent="0.2">
      <c r="A4364" s="2" t="s">
        <v>66</v>
      </c>
      <c r="B4364" s="14">
        <v>39264</v>
      </c>
      <c r="C4364" s="2">
        <v>1.6333938296000002E-2</v>
      </c>
      <c r="D4364" s="2">
        <v>0</v>
      </c>
      <c r="E4364" s="2">
        <v>1</v>
      </c>
      <c r="F4364" s="2">
        <v>3.5793256540199797E-2</v>
      </c>
      <c r="G4364" s="2">
        <v>1</v>
      </c>
    </row>
    <row r="4365" spans="1:7" x14ac:dyDescent="0.2">
      <c r="A4365" s="2" t="s">
        <v>66</v>
      </c>
      <c r="B4365" s="14">
        <v>39295</v>
      </c>
      <c r="C4365" s="2">
        <v>0.21428571429000001</v>
      </c>
      <c r="D4365" s="2">
        <v>-4.4614514000000001E-3</v>
      </c>
      <c r="E4365" s="2">
        <v>1</v>
      </c>
      <c r="F4365" s="2">
        <v>3.3740867548753398E-2</v>
      </c>
      <c r="G4365" s="2">
        <v>1</v>
      </c>
    </row>
    <row r="4366" spans="1:7" x14ac:dyDescent="0.2">
      <c r="A4366" s="2" t="s">
        <v>66</v>
      </c>
      <c r="B4366" s="14">
        <v>39326</v>
      </c>
      <c r="C4366" s="2">
        <v>5.8823529410999997E-2</v>
      </c>
      <c r="D4366" s="2">
        <v>0</v>
      </c>
      <c r="E4366" s="2">
        <v>1</v>
      </c>
      <c r="F4366" s="2">
        <v>3.8464014500780297E-2</v>
      </c>
      <c r="G4366" s="2">
        <v>1</v>
      </c>
    </row>
    <row r="4367" spans="1:7" x14ac:dyDescent="0.2">
      <c r="A4367" s="2" t="s">
        <v>66</v>
      </c>
      <c r="B4367" s="14">
        <v>39356</v>
      </c>
      <c r="C4367" s="2">
        <v>0</v>
      </c>
      <c r="D4367" s="2">
        <v>-2.5484331000000002E-3</v>
      </c>
      <c r="E4367" s="2">
        <v>1</v>
      </c>
      <c r="F4367" s="2">
        <v>4.3588086734926097E-2</v>
      </c>
      <c r="G4367" s="2">
        <v>1</v>
      </c>
    </row>
    <row r="4368" spans="1:7" x14ac:dyDescent="0.2">
      <c r="A4368" s="2" t="s">
        <v>66</v>
      </c>
      <c r="B4368" s="14">
        <v>39387</v>
      </c>
      <c r="C4368" s="2">
        <v>-0.12502777776999999</v>
      </c>
      <c r="D4368" s="2">
        <v>-3.1954471000000002E-3</v>
      </c>
      <c r="E4368" s="2">
        <v>1</v>
      </c>
      <c r="F4368" s="2">
        <v>4.0832524611879403E-2</v>
      </c>
      <c r="G4368" s="2">
        <v>1</v>
      </c>
    </row>
    <row r="4369" spans="1:7" x14ac:dyDescent="0.2">
      <c r="A4369" s="2" t="s">
        <v>66</v>
      </c>
      <c r="B4369" s="14">
        <v>39417</v>
      </c>
      <c r="C4369" s="2">
        <v>-7.9335851932999996E-2</v>
      </c>
      <c r="D4369" s="2">
        <v>0</v>
      </c>
      <c r="E4369" s="2">
        <v>1</v>
      </c>
      <c r="F4369" s="2">
        <v>3.3960211099397002E-2</v>
      </c>
      <c r="G4369" s="2">
        <v>1</v>
      </c>
    </row>
    <row r="4370" spans="1:7" x14ac:dyDescent="0.2">
      <c r="A4370" s="2" t="s">
        <v>66</v>
      </c>
      <c r="B4370" s="14">
        <v>39448</v>
      </c>
      <c r="C4370" s="2">
        <v>-0.10344827585999999</v>
      </c>
      <c r="D4370" s="2">
        <v>0</v>
      </c>
      <c r="E4370" s="2">
        <v>1</v>
      </c>
      <c r="F4370" s="2">
        <v>2.9631392192460498E-2</v>
      </c>
      <c r="G4370" s="2">
        <v>1</v>
      </c>
    </row>
    <row r="4371" spans="1:7" x14ac:dyDescent="0.2">
      <c r="A4371" s="2" t="s">
        <v>66</v>
      </c>
      <c r="B4371" s="14">
        <v>39479</v>
      </c>
      <c r="C4371" s="2">
        <v>-7.6923076923000003E-2</v>
      </c>
      <c r="D4371" s="2">
        <v>0</v>
      </c>
      <c r="E4371" s="2">
        <v>1</v>
      </c>
      <c r="F4371" s="2">
        <v>2.6525717701559402E-2</v>
      </c>
      <c r="G4371" s="2">
        <v>1</v>
      </c>
    </row>
    <row r="4372" spans="1:7" x14ac:dyDescent="0.2">
      <c r="A4372" s="2" t="s">
        <v>66</v>
      </c>
      <c r="B4372" s="14">
        <v>39508</v>
      </c>
      <c r="C4372" s="2">
        <v>-6.25E-2</v>
      </c>
      <c r="D4372" s="2">
        <v>0</v>
      </c>
      <c r="E4372" s="2">
        <v>1</v>
      </c>
      <c r="F4372" s="2">
        <v>1.8348481332741501E-2</v>
      </c>
      <c r="G4372" s="2">
        <v>1</v>
      </c>
    </row>
    <row r="4373" spans="1:7" x14ac:dyDescent="0.2">
      <c r="A4373" s="2" t="s">
        <v>66</v>
      </c>
      <c r="B4373" s="14">
        <v>39539</v>
      </c>
      <c r="C4373" s="2">
        <v>1.6494940627999999E-2</v>
      </c>
      <c r="D4373" s="2">
        <v>0</v>
      </c>
      <c r="E4373" s="2">
        <v>1</v>
      </c>
      <c r="F4373" s="2">
        <v>1.4891803703094701E-2</v>
      </c>
      <c r="G4373" s="2">
        <v>1</v>
      </c>
    </row>
    <row r="4374" spans="1:7" x14ac:dyDescent="0.2">
      <c r="A4374" s="2" t="s">
        <v>66</v>
      </c>
      <c r="B4374" s="14">
        <v>39569</v>
      </c>
      <c r="C4374" s="2">
        <v>-9.0909090908999998E-2</v>
      </c>
      <c r="D4374" s="19">
        <v>7.0284173E-6</v>
      </c>
      <c r="E4374" s="2">
        <v>1</v>
      </c>
      <c r="F4374" s="2">
        <v>1.53635819298166E-2</v>
      </c>
      <c r="G4374" s="2">
        <v>1</v>
      </c>
    </row>
    <row r="4375" spans="1:7" x14ac:dyDescent="0.2">
      <c r="A4375" s="2" t="s">
        <v>66</v>
      </c>
      <c r="B4375" s="14">
        <v>39600</v>
      </c>
      <c r="C4375" s="2">
        <v>4.9999999998999997E-2</v>
      </c>
      <c r="D4375" s="2">
        <v>1.7263877000000001E-4</v>
      </c>
      <c r="E4375" s="2">
        <v>1</v>
      </c>
      <c r="F4375" s="2">
        <v>1.6472725715013299E-2</v>
      </c>
      <c r="G4375" s="2">
        <v>1</v>
      </c>
    </row>
    <row r="4376" spans="1:7" x14ac:dyDescent="0.2">
      <c r="A4376" s="2" t="s">
        <v>66</v>
      </c>
      <c r="B4376" s="14">
        <v>39630</v>
      </c>
      <c r="C4376" s="2">
        <v>4.7619047618000003E-2</v>
      </c>
      <c r="D4376" s="19">
        <v>3.6041823000000001E-5</v>
      </c>
      <c r="E4376" s="2">
        <v>1</v>
      </c>
      <c r="F4376" s="2">
        <v>2.0055959940251701E-2</v>
      </c>
      <c r="G4376" s="2">
        <v>1</v>
      </c>
    </row>
    <row r="4377" spans="1:7" x14ac:dyDescent="0.2">
      <c r="A4377" s="2" t="s">
        <v>66</v>
      </c>
      <c r="B4377" s="14">
        <v>39661</v>
      </c>
      <c r="C4377" s="2">
        <v>-7.7044819688000005E-2</v>
      </c>
      <c r="D4377" s="2">
        <v>2.7973998999999999E-4</v>
      </c>
      <c r="E4377" s="2">
        <v>1</v>
      </c>
      <c r="F4377" s="2">
        <v>1.9526934900179101E-2</v>
      </c>
      <c r="G4377" s="2">
        <v>1</v>
      </c>
    </row>
    <row r="4378" spans="1:7" x14ac:dyDescent="0.2">
      <c r="A4378" s="2" t="s">
        <v>66</v>
      </c>
      <c r="B4378" s="14">
        <v>39692</v>
      </c>
      <c r="C4378" s="2">
        <v>-5.9999999998999999E-2</v>
      </c>
      <c r="D4378" s="19">
        <v>1.4135272E-5</v>
      </c>
      <c r="E4378" s="2">
        <v>1</v>
      </c>
      <c r="F4378" s="2">
        <v>1.9018948995588501E-2</v>
      </c>
      <c r="G4378" s="2">
        <v>1</v>
      </c>
    </row>
    <row r="4379" spans="1:7" x14ac:dyDescent="0.2">
      <c r="A4379" s="2" t="s">
        <v>66</v>
      </c>
      <c r="B4379" s="14">
        <v>39722</v>
      </c>
      <c r="C4379" s="2">
        <v>-0.25531914894000002</v>
      </c>
      <c r="D4379" s="2">
        <v>-2.943151E-4</v>
      </c>
      <c r="E4379" s="2">
        <v>1</v>
      </c>
      <c r="F4379" s="2">
        <v>1.9099759144654799E-2</v>
      </c>
      <c r="G4379" s="2">
        <v>1</v>
      </c>
    </row>
    <row r="4380" spans="1:7" x14ac:dyDescent="0.2">
      <c r="A4380" s="2" t="s">
        <v>66</v>
      </c>
      <c r="B4380" s="14">
        <v>39753</v>
      </c>
      <c r="C4380" s="2">
        <v>3.5714285714000003E-2</v>
      </c>
      <c r="D4380" s="19">
        <v>-1.1200116E-5</v>
      </c>
      <c r="E4380" s="2">
        <v>1</v>
      </c>
      <c r="F4380" s="2">
        <v>1.23475781630644E-2</v>
      </c>
      <c r="G4380" s="2">
        <v>1</v>
      </c>
    </row>
    <row r="4381" spans="1:7" x14ac:dyDescent="0.2">
      <c r="A4381" s="2" t="s">
        <v>66</v>
      </c>
      <c r="B4381" s="14">
        <v>39783</v>
      </c>
      <c r="C4381" s="2">
        <v>-0.30344827586000001</v>
      </c>
      <c r="D4381" s="2">
        <v>0</v>
      </c>
      <c r="E4381" s="2">
        <v>1</v>
      </c>
      <c r="F4381" s="2">
        <v>1.59803666655952E-2</v>
      </c>
      <c r="G4381" s="2">
        <v>1</v>
      </c>
    </row>
    <row r="4382" spans="1:7" x14ac:dyDescent="0.2">
      <c r="A4382" s="2" t="s">
        <v>67</v>
      </c>
      <c r="B4382" s="14">
        <v>37591</v>
      </c>
      <c r="C4382" s="2">
        <v>0.17741935483999999</v>
      </c>
      <c r="D4382" s="2">
        <v>9.2994829000000003E-4</v>
      </c>
      <c r="E4382" s="2">
        <v>1</v>
      </c>
      <c r="G4382" s="2">
        <v>1</v>
      </c>
    </row>
    <row r="4383" spans="1:7" x14ac:dyDescent="0.2">
      <c r="A4383" s="2" t="s">
        <v>67</v>
      </c>
      <c r="B4383" s="14">
        <v>37622</v>
      </c>
      <c r="C4383" s="2">
        <v>-7.1232876713000007E-2</v>
      </c>
      <c r="D4383" s="2">
        <v>-5.7223435000000001E-3</v>
      </c>
      <c r="E4383" s="2">
        <v>1</v>
      </c>
      <c r="G4383" s="2">
        <v>1</v>
      </c>
    </row>
    <row r="4384" spans="1:7" x14ac:dyDescent="0.2">
      <c r="A4384" s="2" t="s">
        <v>67</v>
      </c>
      <c r="B4384" s="14">
        <v>37653</v>
      </c>
      <c r="C4384" s="2">
        <v>-5.6047197638999999E-2</v>
      </c>
      <c r="D4384" s="19">
        <v>3.6597058999999997E-5</v>
      </c>
      <c r="E4384" s="2">
        <v>1</v>
      </c>
      <c r="G4384" s="2">
        <v>1</v>
      </c>
    </row>
    <row r="4385" spans="1:7" x14ac:dyDescent="0.2">
      <c r="A4385" s="2" t="s">
        <v>67</v>
      </c>
      <c r="B4385" s="14">
        <v>37681</v>
      </c>
      <c r="C4385" s="2">
        <v>3.125E-2</v>
      </c>
      <c r="D4385" s="2">
        <v>-9.6550201999999995E-3</v>
      </c>
      <c r="E4385" s="2">
        <v>1</v>
      </c>
      <c r="G4385" s="2">
        <v>1</v>
      </c>
    </row>
    <row r="4386" spans="1:7" x14ac:dyDescent="0.2">
      <c r="A4386" s="2" t="s">
        <v>67</v>
      </c>
      <c r="B4386" s="14">
        <v>37712</v>
      </c>
      <c r="C4386" s="2">
        <v>3.0303030304E-2</v>
      </c>
      <c r="D4386" s="2">
        <v>2.2427457999999998E-3</v>
      </c>
      <c r="E4386" s="2">
        <v>1</v>
      </c>
      <c r="G4386" s="2">
        <v>1</v>
      </c>
    </row>
    <row r="4387" spans="1:7" x14ac:dyDescent="0.2">
      <c r="A4387" s="2" t="s">
        <v>67</v>
      </c>
      <c r="B4387" s="14">
        <v>37742</v>
      </c>
      <c r="C4387" s="2">
        <v>-2.9411764706000001E-2</v>
      </c>
      <c r="D4387" s="2">
        <v>-8.1018823999999996E-3</v>
      </c>
      <c r="E4387" s="2">
        <v>1</v>
      </c>
      <c r="G4387" s="2">
        <v>1</v>
      </c>
    </row>
    <row r="4388" spans="1:7" x14ac:dyDescent="0.2">
      <c r="A4388" s="2" t="s">
        <v>67</v>
      </c>
      <c r="B4388" s="14">
        <v>37773</v>
      </c>
      <c r="C4388" s="2">
        <v>-7.6053288144999995E-2</v>
      </c>
      <c r="D4388" s="2">
        <v>1.431391E-3</v>
      </c>
      <c r="E4388" s="2">
        <v>1</v>
      </c>
      <c r="G4388" s="2">
        <v>1</v>
      </c>
    </row>
    <row r="4389" spans="1:7" x14ac:dyDescent="0.2">
      <c r="A4389" s="2" t="s">
        <v>67</v>
      </c>
      <c r="B4389" s="14">
        <v>37803</v>
      </c>
      <c r="C4389" s="2">
        <v>1.6327890702000001E-2</v>
      </c>
      <c r="D4389" s="2">
        <v>-5.8641412999999997E-4</v>
      </c>
      <c r="E4389" s="2">
        <v>1</v>
      </c>
      <c r="G4389" s="2">
        <v>1</v>
      </c>
    </row>
    <row r="4390" spans="1:7" x14ac:dyDescent="0.2">
      <c r="A4390" s="2" t="s">
        <v>67</v>
      </c>
      <c r="B4390" s="14">
        <v>37834</v>
      </c>
      <c r="C4390" s="2">
        <v>9.8360655738000003E-3</v>
      </c>
      <c r="D4390" s="2">
        <v>-9.9931354999999991E-4</v>
      </c>
      <c r="E4390" s="2">
        <v>1</v>
      </c>
      <c r="F4390" s="2">
        <v>3.8105354543564202E-2</v>
      </c>
      <c r="G4390" s="2">
        <v>1</v>
      </c>
    </row>
    <row r="4391" spans="1:7" x14ac:dyDescent="0.2">
      <c r="A4391" s="2" t="s">
        <v>67</v>
      </c>
      <c r="B4391" s="14">
        <v>37865</v>
      </c>
      <c r="C4391" s="2">
        <v>-3.2467532466000003E-2</v>
      </c>
      <c r="D4391" s="2">
        <v>-4.0262216000000002E-3</v>
      </c>
      <c r="E4391" s="2">
        <v>1</v>
      </c>
      <c r="F4391" s="2">
        <v>3.9947034541665503E-2</v>
      </c>
      <c r="G4391" s="2">
        <v>1</v>
      </c>
    </row>
    <row r="4392" spans="1:7" x14ac:dyDescent="0.2">
      <c r="A4392" s="2" t="s">
        <v>67</v>
      </c>
      <c r="B4392" s="14">
        <v>37895</v>
      </c>
      <c r="C4392" s="2">
        <v>7.0469798658000002E-2</v>
      </c>
      <c r="D4392" s="2">
        <v>-1.1665324E-3</v>
      </c>
      <c r="E4392" s="2">
        <v>1</v>
      </c>
      <c r="F4392" s="2">
        <v>3.7861058752508399E-2</v>
      </c>
      <c r="G4392" s="2">
        <v>1</v>
      </c>
    </row>
    <row r="4393" spans="1:7" x14ac:dyDescent="0.2">
      <c r="A4393" s="2" t="s">
        <v>67</v>
      </c>
      <c r="B4393" s="14">
        <v>37926</v>
      </c>
      <c r="C4393" s="2">
        <v>-3.4482758620999997E-2</v>
      </c>
      <c r="D4393" s="2">
        <v>-3.8022539E-4</v>
      </c>
      <c r="E4393" s="2">
        <v>1</v>
      </c>
      <c r="F4393" s="2">
        <v>3.8990383256318803E-2</v>
      </c>
      <c r="G4393" s="2">
        <v>1</v>
      </c>
    </row>
    <row r="4394" spans="1:7" x14ac:dyDescent="0.2">
      <c r="A4394" s="2" t="s">
        <v>67</v>
      </c>
      <c r="B4394" s="14">
        <v>37956</v>
      </c>
      <c r="C4394" s="2">
        <v>6.4935064947000002E-3</v>
      </c>
      <c r="D4394" s="2">
        <v>6.8108350999999999E-3</v>
      </c>
      <c r="E4394" s="2">
        <v>1</v>
      </c>
      <c r="F4394" s="2">
        <v>3.8886383800292197E-2</v>
      </c>
      <c r="G4394" s="2">
        <v>1</v>
      </c>
    </row>
    <row r="4395" spans="1:7" x14ac:dyDescent="0.2">
      <c r="A4395" s="2" t="s">
        <v>67</v>
      </c>
      <c r="B4395" s="14">
        <v>37987</v>
      </c>
      <c r="C4395" s="2">
        <v>-4.8387096774E-2</v>
      </c>
      <c r="E4395" s="2">
        <v>1</v>
      </c>
      <c r="F4395" s="2">
        <v>4.1221567397167903E-2</v>
      </c>
      <c r="G4395" s="2">
        <v>1</v>
      </c>
    </row>
    <row r="4396" spans="1:7" x14ac:dyDescent="0.2">
      <c r="A4396" s="2" t="s">
        <v>67</v>
      </c>
      <c r="B4396" s="14">
        <v>38018</v>
      </c>
      <c r="C4396" s="2">
        <v>6.7796610167999996E-2</v>
      </c>
      <c r="E4396" s="2">
        <v>1</v>
      </c>
      <c r="F4396" s="2">
        <v>3.9421364266094903E-2</v>
      </c>
      <c r="G4396" s="2">
        <v>1</v>
      </c>
    </row>
    <row r="4397" spans="1:7" x14ac:dyDescent="0.2">
      <c r="A4397" s="2" t="s">
        <v>67</v>
      </c>
      <c r="B4397" s="14">
        <v>38047</v>
      </c>
      <c r="C4397" s="2">
        <v>-1.5873015874000002E-2</v>
      </c>
      <c r="D4397" s="2">
        <v>4.9747124999999996E-4</v>
      </c>
      <c r="E4397" s="2">
        <v>1</v>
      </c>
      <c r="F4397" s="2">
        <v>4.0994311825392302E-2</v>
      </c>
      <c r="G4397" s="2">
        <v>1</v>
      </c>
    </row>
    <row r="4398" spans="1:7" x14ac:dyDescent="0.2">
      <c r="A4398" s="2" t="s">
        <v>67</v>
      </c>
      <c r="B4398" s="14">
        <v>38078</v>
      </c>
      <c r="C4398" s="2">
        <v>0.1935483871</v>
      </c>
      <c r="D4398" s="2">
        <v>-2.773209E-3</v>
      </c>
      <c r="E4398" s="2">
        <v>1</v>
      </c>
      <c r="F4398" s="2">
        <v>4.1494796655987098E-2</v>
      </c>
      <c r="G4398" s="2">
        <v>1</v>
      </c>
    </row>
    <row r="4399" spans="1:7" x14ac:dyDescent="0.2">
      <c r="A4399" s="2" t="s">
        <v>67</v>
      </c>
      <c r="B4399" s="14">
        <v>38108</v>
      </c>
      <c r="C4399" s="2">
        <v>8.9587745188000004E-3</v>
      </c>
      <c r="D4399" s="2">
        <v>2.3681493000000001E-3</v>
      </c>
      <c r="E4399" s="2">
        <v>1</v>
      </c>
      <c r="F4399" s="2">
        <v>4.5160440956907397E-2</v>
      </c>
      <c r="G4399" s="2">
        <v>1</v>
      </c>
    </row>
    <row r="4400" spans="1:7" x14ac:dyDescent="0.2">
      <c r="A4400" s="2" t="s">
        <v>67</v>
      </c>
      <c r="B4400" s="14">
        <v>38139</v>
      </c>
      <c r="C4400" s="2">
        <v>3.3950617284E-2</v>
      </c>
      <c r="D4400" s="19">
        <v>8.1307268999999995E-5</v>
      </c>
      <c r="E4400" s="2">
        <v>1</v>
      </c>
      <c r="F4400" s="2">
        <v>4.6324462676479897E-2</v>
      </c>
      <c r="G4400" s="2">
        <v>1</v>
      </c>
    </row>
    <row r="4401" spans="1:7" x14ac:dyDescent="0.2">
      <c r="A4401" s="2" t="s">
        <v>67</v>
      </c>
      <c r="B4401" s="14">
        <v>38169</v>
      </c>
      <c r="C4401" s="2">
        <v>0.28955223880999997</v>
      </c>
      <c r="D4401" s="2">
        <v>1.9005070000000001E-3</v>
      </c>
      <c r="E4401" s="2">
        <v>1</v>
      </c>
      <c r="F4401" s="2">
        <v>4.6933522028329899E-2</v>
      </c>
      <c r="G4401" s="2">
        <v>1</v>
      </c>
    </row>
    <row r="4402" spans="1:7" x14ac:dyDescent="0.2">
      <c r="A4402" s="2" t="s">
        <v>67</v>
      </c>
      <c r="B4402" s="14">
        <v>38200</v>
      </c>
      <c r="C4402" s="2">
        <v>0.22222222221999999</v>
      </c>
      <c r="D4402" s="2">
        <v>2.9883510000000002E-3</v>
      </c>
      <c r="E4402" s="2">
        <v>1</v>
      </c>
      <c r="F4402" s="2">
        <v>5.2550989247408801E-2</v>
      </c>
      <c r="G4402" s="2">
        <v>1</v>
      </c>
    </row>
    <row r="4403" spans="1:7" x14ac:dyDescent="0.2">
      <c r="A4403" s="2" t="s">
        <v>67</v>
      </c>
      <c r="B4403" s="14">
        <v>38231</v>
      </c>
      <c r="C4403" s="2">
        <v>0</v>
      </c>
      <c r="D4403" s="19">
        <v>5.6096301999999999E-5</v>
      </c>
      <c r="E4403" s="2">
        <v>1</v>
      </c>
      <c r="F4403" s="2">
        <v>5.6764624837613603E-2</v>
      </c>
      <c r="G4403" s="2">
        <v>1</v>
      </c>
    </row>
    <row r="4404" spans="1:7" x14ac:dyDescent="0.2">
      <c r="A4404" s="2" t="s">
        <v>67</v>
      </c>
      <c r="B4404" s="14">
        <v>38261</v>
      </c>
      <c r="C4404" s="2">
        <v>0.12121212121</v>
      </c>
      <c r="D4404" s="2">
        <v>-2.0799362000000002E-3</v>
      </c>
      <c r="E4404" s="2">
        <v>1</v>
      </c>
      <c r="F4404" s="2">
        <v>5.7182788075209802E-2</v>
      </c>
      <c r="G4404" s="2">
        <v>1</v>
      </c>
    </row>
    <row r="4405" spans="1:7" x14ac:dyDescent="0.2">
      <c r="A4405" s="2" t="s">
        <v>67</v>
      </c>
      <c r="B4405" s="14">
        <v>38292</v>
      </c>
      <c r="C4405" s="2">
        <v>-3.3783783784000002E-2</v>
      </c>
      <c r="D4405" s="19">
        <v>-5.1137889E-5</v>
      </c>
      <c r="E4405" s="2">
        <v>1</v>
      </c>
      <c r="F4405" s="2">
        <v>5.4854204366181998E-2</v>
      </c>
      <c r="G4405" s="2">
        <v>1</v>
      </c>
    </row>
    <row r="4406" spans="1:7" x14ac:dyDescent="0.2">
      <c r="A4406" s="2" t="s">
        <v>67</v>
      </c>
      <c r="B4406" s="14">
        <v>38322</v>
      </c>
      <c r="C4406" s="2">
        <v>-1.3986013986999999E-2</v>
      </c>
      <c r="D4406" s="2">
        <v>-1.1574676999999999E-3</v>
      </c>
      <c r="E4406" s="2">
        <v>1</v>
      </c>
      <c r="F4406" s="2">
        <v>5.36964050311396E-2</v>
      </c>
      <c r="G4406" s="2">
        <v>1</v>
      </c>
    </row>
    <row r="4407" spans="1:7" x14ac:dyDescent="0.2">
      <c r="A4407" s="2" t="s">
        <v>67</v>
      </c>
      <c r="B4407" s="14">
        <v>38353</v>
      </c>
      <c r="C4407" s="2">
        <v>-1.4184397162E-2</v>
      </c>
      <c r="D4407" s="2">
        <v>-3.3604543E-4</v>
      </c>
      <c r="E4407" s="2">
        <v>1</v>
      </c>
      <c r="F4407" s="2">
        <v>5.2366467047812497E-2</v>
      </c>
      <c r="G4407" s="2">
        <v>1</v>
      </c>
    </row>
    <row r="4408" spans="1:7" x14ac:dyDescent="0.2">
      <c r="A4408" s="2" t="s">
        <v>67</v>
      </c>
      <c r="B4408" s="14">
        <v>38384</v>
      </c>
      <c r="C4408" s="2">
        <v>3.5971223022000003E-2</v>
      </c>
      <c r="D4408" s="19">
        <v>-8.1641112E-5</v>
      </c>
      <c r="E4408" s="2">
        <v>1</v>
      </c>
      <c r="F4408" s="2">
        <v>4.3570389957602602E-2</v>
      </c>
      <c r="G4408" s="2">
        <v>1</v>
      </c>
    </row>
    <row r="4409" spans="1:7" x14ac:dyDescent="0.2">
      <c r="A4409" s="2" t="s">
        <v>67</v>
      </c>
      <c r="B4409" s="14">
        <v>38412</v>
      </c>
      <c r="C4409" s="2">
        <v>3.8194444442999999E-2</v>
      </c>
      <c r="D4409" s="2">
        <v>1.1601190999999999E-4</v>
      </c>
      <c r="E4409" s="2">
        <v>1</v>
      </c>
      <c r="F4409" s="2">
        <v>3.81181640333721E-2</v>
      </c>
      <c r="G4409" s="2">
        <v>1</v>
      </c>
    </row>
    <row r="4410" spans="1:7" x14ac:dyDescent="0.2">
      <c r="A4410" s="2" t="s">
        <v>67</v>
      </c>
      <c r="B4410" s="14">
        <v>38443</v>
      </c>
      <c r="C4410" s="2">
        <v>-4.2940986749000001E-2</v>
      </c>
      <c r="D4410" s="2">
        <v>1.1271526E-4</v>
      </c>
      <c r="E4410" s="2">
        <v>1</v>
      </c>
      <c r="F4410" s="2">
        <v>3.9085344660043903E-2</v>
      </c>
      <c r="G4410" s="2">
        <v>1</v>
      </c>
    </row>
    <row r="4411" spans="1:7" x14ac:dyDescent="0.2">
      <c r="A4411" s="2" t="s">
        <v>67</v>
      </c>
      <c r="B4411" s="14">
        <v>38473</v>
      </c>
      <c r="C4411" s="2">
        <v>-9.2857142859E-2</v>
      </c>
      <c r="D4411" s="19">
        <v>4.2729341999999999E-5</v>
      </c>
      <c r="E4411" s="2">
        <v>1</v>
      </c>
      <c r="F4411" s="2">
        <v>3.4447742028713403E-2</v>
      </c>
      <c r="G4411" s="2">
        <v>1</v>
      </c>
    </row>
    <row r="4412" spans="1:7" x14ac:dyDescent="0.2">
      <c r="A4412" s="2" t="s">
        <v>67</v>
      </c>
      <c r="B4412" s="14">
        <v>38504</v>
      </c>
      <c r="C4412" s="2">
        <v>5.9055118109999999E-2</v>
      </c>
      <c r="D4412" s="2">
        <v>1.3691019E-3</v>
      </c>
      <c r="E4412" s="2">
        <v>1</v>
      </c>
      <c r="F4412" s="2">
        <v>3.3108864203154897E-2</v>
      </c>
      <c r="G4412" s="2">
        <v>1</v>
      </c>
    </row>
    <row r="4413" spans="1:7" x14ac:dyDescent="0.2">
      <c r="A4413" s="2" t="s">
        <v>67</v>
      </c>
      <c r="B4413" s="14">
        <v>38534</v>
      </c>
      <c r="C4413" s="2">
        <v>4.8327137547E-2</v>
      </c>
      <c r="D4413" s="19">
        <v>5.3287742000000003E-5</v>
      </c>
      <c r="E4413" s="2">
        <v>1</v>
      </c>
      <c r="F4413" s="2">
        <v>3.4569986179835699E-2</v>
      </c>
      <c r="G4413" s="2">
        <v>1</v>
      </c>
    </row>
    <row r="4414" spans="1:7" x14ac:dyDescent="0.2">
      <c r="A4414" s="2" t="s">
        <v>67</v>
      </c>
      <c r="B4414" s="14">
        <v>38565</v>
      </c>
      <c r="C4414" s="2">
        <v>-0.10638297871999999</v>
      </c>
      <c r="D4414" s="2">
        <v>0.20247576</v>
      </c>
      <c r="E4414" s="2">
        <v>1</v>
      </c>
      <c r="F4414" s="2">
        <v>2.0419038772920901E-2</v>
      </c>
      <c r="G4414" s="2">
        <v>1</v>
      </c>
    </row>
    <row r="4415" spans="1:7" x14ac:dyDescent="0.2">
      <c r="A4415" s="2" t="s">
        <v>67</v>
      </c>
      <c r="B4415" s="14">
        <v>38596</v>
      </c>
      <c r="C4415" s="2">
        <v>8.2777777775999997E-2</v>
      </c>
      <c r="D4415" s="2">
        <v>-9.8556408000000009E-4</v>
      </c>
      <c r="E4415" s="2">
        <v>1</v>
      </c>
      <c r="F4415" s="2">
        <v>1.62269037430923E-2</v>
      </c>
      <c r="G4415" s="2">
        <v>1</v>
      </c>
    </row>
    <row r="4416" spans="1:7" x14ac:dyDescent="0.2">
      <c r="A4416" s="2" t="s">
        <v>67</v>
      </c>
      <c r="B4416" s="14">
        <v>38626</v>
      </c>
      <c r="C4416" s="2">
        <v>-0.12775782452000001</v>
      </c>
      <c r="D4416" s="2">
        <v>-1.3373186999999999E-3</v>
      </c>
      <c r="E4416" s="2">
        <v>1</v>
      </c>
      <c r="F4416" s="2">
        <v>1.7413855901601199E-2</v>
      </c>
      <c r="G4416" s="2">
        <v>1</v>
      </c>
    </row>
    <row r="4417" spans="1:7" x14ac:dyDescent="0.2">
      <c r="A4417" s="2" t="s">
        <v>67</v>
      </c>
      <c r="B4417" s="14">
        <v>38657</v>
      </c>
      <c r="C4417" s="2">
        <v>-7.5630252100999995E-2</v>
      </c>
      <c r="D4417" s="2">
        <v>-9.7047764999999998E-4</v>
      </c>
      <c r="E4417" s="2">
        <v>1</v>
      </c>
      <c r="F4417" s="2">
        <v>1.52724629285184E-2</v>
      </c>
      <c r="G4417" s="2">
        <v>1</v>
      </c>
    </row>
    <row r="4418" spans="1:7" x14ac:dyDescent="0.2">
      <c r="A4418" s="2" t="s">
        <v>67</v>
      </c>
      <c r="B4418" s="14">
        <v>38687</v>
      </c>
      <c r="C4418" s="2">
        <v>-0.11399866009</v>
      </c>
      <c r="D4418" s="2">
        <v>9.6634029999999992E-3</v>
      </c>
      <c r="E4418" s="2">
        <v>1</v>
      </c>
      <c r="F4418" s="2">
        <v>1.5988629045501301E-2</v>
      </c>
      <c r="G4418" s="2">
        <v>1</v>
      </c>
    </row>
    <row r="4419" spans="1:7" x14ac:dyDescent="0.2">
      <c r="A4419" s="2" t="s">
        <v>67</v>
      </c>
      <c r="B4419" s="14">
        <v>38718</v>
      </c>
      <c r="C4419" s="2">
        <v>0.17604166667000001</v>
      </c>
      <c r="D4419" s="2">
        <v>3.4232572000000003E-2</v>
      </c>
      <c r="E4419" s="2">
        <v>1</v>
      </c>
      <c r="F4419" s="2">
        <v>1.12278801700284E-2</v>
      </c>
      <c r="G4419" s="2">
        <v>1</v>
      </c>
    </row>
    <row r="4420" spans="1:7" x14ac:dyDescent="0.2">
      <c r="A4420" s="2" t="s">
        <v>67</v>
      </c>
      <c r="B4420" s="14">
        <v>38749</v>
      </c>
      <c r="C4420" s="2">
        <v>-5.2258635961E-2</v>
      </c>
      <c r="D4420" s="2">
        <v>2.3946945999999999E-3</v>
      </c>
      <c r="E4420" s="2">
        <v>1</v>
      </c>
      <c r="F4420" s="2">
        <v>1.49190826332571E-2</v>
      </c>
      <c r="G4420" s="2">
        <v>1</v>
      </c>
    </row>
    <row r="4421" spans="1:7" x14ac:dyDescent="0.2">
      <c r="A4421" s="2" t="s">
        <v>67</v>
      </c>
      <c r="B4421" s="14">
        <v>38777</v>
      </c>
      <c r="C4421" s="2">
        <v>-4.9065420561000002E-2</v>
      </c>
      <c r="D4421" s="2">
        <v>-4.5981081000000002E-4</v>
      </c>
      <c r="E4421" s="2">
        <v>1</v>
      </c>
      <c r="F4421" s="2">
        <v>1.65963384129823E-2</v>
      </c>
      <c r="G4421" s="2">
        <v>1</v>
      </c>
    </row>
    <row r="4422" spans="1:7" x14ac:dyDescent="0.2">
      <c r="A4422" s="2" t="s">
        <v>67</v>
      </c>
      <c r="B4422" s="14">
        <v>38808</v>
      </c>
      <c r="C4422" s="2">
        <v>-2.4570024570000001E-3</v>
      </c>
      <c r="D4422" s="2">
        <v>-5.1314883999999995E-4</v>
      </c>
      <c r="E4422" s="2">
        <v>1</v>
      </c>
      <c r="F4422" s="2">
        <v>1.2877569207323299E-2</v>
      </c>
      <c r="G4422" s="2">
        <v>1</v>
      </c>
    </row>
    <row r="4423" spans="1:7" x14ac:dyDescent="0.2">
      <c r="A4423" s="2" t="s">
        <v>67</v>
      </c>
      <c r="B4423" s="14">
        <v>38838</v>
      </c>
      <c r="C4423" s="2">
        <v>-0.14021924959000001</v>
      </c>
      <c r="D4423" s="2">
        <v>-3.5209369E-3</v>
      </c>
      <c r="E4423" s="2">
        <v>1</v>
      </c>
      <c r="F4423" s="2">
        <v>1.6503329029122799E-2</v>
      </c>
      <c r="G4423" s="2">
        <v>1</v>
      </c>
    </row>
    <row r="4424" spans="1:7" x14ac:dyDescent="0.2">
      <c r="A4424" s="2" t="s">
        <v>67</v>
      </c>
      <c r="B4424" s="14">
        <v>38869</v>
      </c>
      <c r="C4424" s="2">
        <v>-1.5865662999E-2</v>
      </c>
      <c r="D4424" s="2">
        <v>4.8372097999999997E-3</v>
      </c>
      <c r="E4424" s="2">
        <v>1</v>
      </c>
      <c r="F4424" s="2">
        <v>1.5083008961798801E-2</v>
      </c>
      <c r="G4424" s="2">
        <v>1</v>
      </c>
    </row>
    <row r="4425" spans="1:7" x14ac:dyDescent="0.2">
      <c r="A4425" s="2" t="s">
        <v>67</v>
      </c>
      <c r="B4425" s="14">
        <v>38899</v>
      </c>
      <c r="C4425" s="2">
        <v>-1.1532125206000001E-2</v>
      </c>
      <c r="D4425" s="2">
        <v>6.6212756999999998E-4</v>
      </c>
      <c r="E4425" s="2">
        <v>1</v>
      </c>
      <c r="F4425" s="2">
        <v>1.78889401006283E-2</v>
      </c>
      <c r="G4425" s="2">
        <v>1</v>
      </c>
    </row>
    <row r="4426" spans="1:7" x14ac:dyDescent="0.2">
      <c r="A4426" s="2" t="s">
        <v>67</v>
      </c>
      <c r="B4426" s="14">
        <v>38930</v>
      </c>
      <c r="C4426" s="2">
        <v>3.5714285714000003E-2</v>
      </c>
      <c r="D4426" s="2">
        <v>-7.9087459000000003E-4</v>
      </c>
      <c r="E4426" s="2">
        <v>1</v>
      </c>
      <c r="F4426" s="2">
        <v>1.92829451339557E-2</v>
      </c>
      <c r="G4426" s="2">
        <v>1</v>
      </c>
    </row>
    <row r="4427" spans="1:7" x14ac:dyDescent="0.2">
      <c r="A4427" s="2" t="s">
        <v>67</v>
      </c>
      <c r="B4427" s="14">
        <v>38961</v>
      </c>
      <c r="C4427" s="2">
        <v>4.9425287355999999E-2</v>
      </c>
      <c r="D4427" s="2">
        <v>-1.0851534999999999E-3</v>
      </c>
      <c r="E4427" s="2">
        <v>1</v>
      </c>
      <c r="F4427" s="2">
        <v>2.17318236977436E-2</v>
      </c>
      <c r="G4427" s="2">
        <v>1</v>
      </c>
    </row>
    <row r="4428" spans="1:7" x14ac:dyDescent="0.2">
      <c r="A4428" s="2" t="s">
        <v>67</v>
      </c>
      <c r="B4428" s="14">
        <v>38991</v>
      </c>
      <c r="C4428" s="2">
        <v>2.9463307776000001E-2</v>
      </c>
      <c r="D4428" s="2">
        <v>-1.7104961E-3</v>
      </c>
      <c r="E4428" s="2">
        <v>1</v>
      </c>
      <c r="F4428" s="2">
        <v>2.4409434888188999E-2</v>
      </c>
      <c r="G4428" s="2">
        <v>1</v>
      </c>
    </row>
    <row r="4429" spans="1:7" x14ac:dyDescent="0.2">
      <c r="A4429" s="2" t="s">
        <v>67</v>
      </c>
      <c r="B4429" s="14">
        <v>39022</v>
      </c>
      <c r="C4429" s="2">
        <v>9.5754867539999997E-2</v>
      </c>
      <c r="D4429" s="2">
        <v>-6.7537073E-3</v>
      </c>
      <c r="E4429" s="2">
        <v>1</v>
      </c>
      <c r="F4429" s="2">
        <v>2.51771980141943E-2</v>
      </c>
      <c r="G4429" s="2">
        <v>1</v>
      </c>
    </row>
    <row r="4430" spans="1:7" x14ac:dyDescent="0.2">
      <c r="A4430" s="2" t="s">
        <v>67</v>
      </c>
      <c r="B4430" s="14">
        <v>39052</v>
      </c>
      <c r="C4430" s="2">
        <v>3.5149043597000003E-2</v>
      </c>
      <c r="D4430" s="2">
        <v>-6.6212756999999998E-4</v>
      </c>
      <c r="E4430" s="2">
        <v>1</v>
      </c>
      <c r="F4430" s="2">
        <v>3.1845253174004398E-2</v>
      </c>
      <c r="G4430" s="2">
        <v>1</v>
      </c>
    </row>
    <row r="4431" spans="1:7" x14ac:dyDescent="0.2">
      <c r="A4431" s="2" t="s">
        <v>67</v>
      </c>
      <c r="B4431" s="14">
        <v>39083</v>
      </c>
      <c r="C4431" s="2">
        <v>0.18187787261999999</v>
      </c>
      <c r="D4431" s="2">
        <v>2.3818973000000001E-3</v>
      </c>
      <c r="E4431" s="2">
        <v>1</v>
      </c>
      <c r="F4431" s="2">
        <v>3.3006164044410202E-2</v>
      </c>
      <c r="G4431" s="2">
        <v>1</v>
      </c>
    </row>
    <row r="4432" spans="1:7" x14ac:dyDescent="0.2">
      <c r="A4432" s="2" t="s">
        <v>67</v>
      </c>
      <c r="B4432" s="14">
        <v>39114</v>
      </c>
      <c r="C4432" s="2">
        <v>-2.4444444443E-2</v>
      </c>
      <c r="D4432" s="2">
        <v>8.6454046000000002E-4</v>
      </c>
      <c r="E4432" s="2">
        <v>1</v>
      </c>
      <c r="F4432" s="2">
        <v>3.82344313598788E-2</v>
      </c>
      <c r="G4432" s="2">
        <v>1</v>
      </c>
    </row>
    <row r="4433" spans="1:7" x14ac:dyDescent="0.2">
      <c r="A4433" s="2" t="s">
        <v>67</v>
      </c>
      <c r="B4433" s="14">
        <v>39142</v>
      </c>
      <c r="C4433" s="2">
        <v>-1.5131793037E-2</v>
      </c>
      <c r="D4433" s="2">
        <v>-1.4114946000000001E-4</v>
      </c>
      <c r="E4433" s="2">
        <v>1</v>
      </c>
      <c r="F4433" s="2">
        <v>3.6521461925171701E-2</v>
      </c>
      <c r="G4433" s="2">
        <v>1</v>
      </c>
    </row>
    <row r="4434" spans="1:7" x14ac:dyDescent="0.2">
      <c r="A4434" s="2" t="s">
        <v>67</v>
      </c>
      <c r="B4434" s="14">
        <v>39173</v>
      </c>
      <c r="C4434" s="2">
        <v>7.3847678836999997E-2</v>
      </c>
      <c r="D4434" s="2">
        <v>-1.499713E-3</v>
      </c>
      <c r="E4434" s="2">
        <v>1</v>
      </c>
      <c r="F4434" s="2">
        <v>3.4654783775714501E-2</v>
      </c>
      <c r="G4434" s="2">
        <v>1</v>
      </c>
    </row>
    <row r="4435" spans="1:7" x14ac:dyDescent="0.2">
      <c r="A4435" s="2" t="s">
        <v>67</v>
      </c>
      <c r="B4435" s="14">
        <v>39203</v>
      </c>
      <c r="C4435" s="2">
        <v>0.1241116196</v>
      </c>
      <c r="D4435" s="2">
        <v>-1.8878740999999999E-3</v>
      </c>
      <c r="E4435" s="2">
        <v>1</v>
      </c>
      <c r="F4435" s="2">
        <v>3.5799088920800803E-2</v>
      </c>
      <c r="G4435" s="2">
        <v>1</v>
      </c>
    </row>
    <row r="4436" spans="1:7" x14ac:dyDescent="0.2">
      <c r="A4436" s="2" t="s">
        <v>67</v>
      </c>
      <c r="B4436" s="14">
        <v>39234</v>
      </c>
      <c r="C4436" s="2">
        <v>2.8153463980000001E-2</v>
      </c>
      <c r="D4436" s="2">
        <v>0</v>
      </c>
      <c r="E4436" s="2">
        <v>1</v>
      </c>
      <c r="F4436" s="2">
        <v>3.6093881543032703E-2</v>
      </c>
      <c r="G4436" s="2">
        <v>1</v>
      </c>
    </row>
    <row r="4437" spans="1:7" x14ac:dyDescent="0.2">
      <c r="A4437" s="2" t="s">
        <v>67</v>
      </c>
      <c r="B4437" s="14">
        <v>39264</v>
      </c>
      <c r="C4437" s="2">
        <v>-4.3624161071999998E-2</v>
      </c>
      <c r="D4437" s="2">
        <v>-1.3232762E-3</v>
      </c>
      <c r="E4437" s="2">
        <v>1</v>
      </c>
      <c r="F4437" s="2">
        <v>3.5777540261227897E-2</v>
      </c>
      <c r="G4437" s="2">
        <v>1</v>
      </c>
    </row>
    <row r="4438" spans="1:7" x14ac:dyDescent="0.2">
      <c r="A4438" s="2" t="s">
        <v>67</v>
      </c>
      <c r="B4438" s="14">
        <v>39295</v>
      </c>
      <c r="C4438" s="2">
        <v>-5.5438596492000003E-2</v>
      </c>
      <c r="D4438" s="2">
        <v>-2.2407477000000002E-3</v>
      </c>
      <c r="E4438" s="2">
        <v>1</v>
      </c>
      <c r="F4438" s="2">
        <v>2.8843131060384199E-2</v>
      </c>
      <c r="G4438" s="2">
        <v>1</v>
      </c>
    </row>
    <row r="4439" spans="1:7" x14ac:dyDescent="0.2">
      <c r="A4439" s="2" t="s">
        <v>67</v>
      </c>
      <c r="B4439" s="14">
        <v>39326</v>
      </c>
      <c r="C4439" s="2">
        <v>-7.1322436850000004E-2</v>
      </c>
      <c r="D4439" s="2">
        <v>2.3995409999999998E-3</v>
      </c>
      <c r="E4439" s="2">
        <v>1</v>
      </c>
      <c r="F4439" s="2">
        <v>2.82007276857438E-2</v>
      </c>
      <c r="G4439" s="2">
        <v>1</v>
      </c>
    </row>
    <row r="4440" spans="1:7" x14ac:dyDescent="0.2">
      <c r="A4440" s="2" t="s">
        <v>67</v>
      </c>
      <c r="B4440" s="14">
        <v>39356</v>
      </c>
      <c r="C4440" s="2">
        <v>-5.6000000000000001E-2</v>
      </c>
      <c r="D4440" s="2">
        <v>-2.0466672999999999E-3</v>
      </c>
      <c r="E4440" s="2">
        <v>1</v>
      </c>
      <c r="F4440" s="2">
        <v>2.6872806676262101E-2</v>
      </c>
      <c r="G4440" s="2">
        <v>1</v>
      </c>
    </row>
    <row r="4441" spans="1:7" x14ac:dyDescent="0.2">
      <c r="A4441" s="2" t="s">
        <v>67</v>
      </c>
      <c r="B4441" s="14">
        <v>39387</v>
      </c>
      <c r="C4441" s="2">
        <v>-0.15254237288</v>
      </c>
      <c r="D4441" s="2">
        <v>-3.9874725000000003E-3</v>
      </c>
      <c r="E4441" s="2">
        <v>1</v>
      </c>
      <c r="F4441" s="2">
        <v>2.3324983309437101E-2</v>
      </c>
      <c r="G4441" s="2">
        <v>1</v>
      </c>
    </row>
    <row r="4442" spans="1:7" x14ac:dyDescent="0.2">
      <c r="A4442" s="2" t="s">
        <v>67</v>
      </c>
      <c r="B4442" s="14">
        <v>39417</v>
      </c>
      <c r="C4442" s="2">
        <v>7.9999999979999997E-4</v>
      </c>
      <c r="D4442" s="19">
        <v>-8.8218417999999998E-5</v>
      </c>
      <c r="E4442" s="2">
        <v>1</v>
      </c>
      <c r="F4442" s="2">
        <v>1.59076969130964E-2</v>
      </c>
      <c r="G4442" s="2">
        <v>1</v>
      </c>
    </row>
    <row r="4443" spans="1:7" x14ac:dyDescent="0.2">
      <c r="A4443" s="2" t="s">
        <v>67</v>
      </c>
      <c r="B4443" s="14">
        <v>39448</v>
      </c>
      <c r="C4443" s="2">
        <v>-6.0751398880000002E-2</v>
      </c>
      <c r="D4443" s="2">
        <v>-1.266727E-3</v>
      </c>
      <c r="E4443" s="2">
        <v>1</v>
      </c>
      <c r="F4443" s="2">
        <v>1.51045489562853E-2</v>
      </c>
      <c r="G4443" s="2">
        <v>1</v>
      </c>
    </row>
    <row r="4444" spans="1:7" x14ac:dyDescent="0.2">
      <c r="A4444" s="2" t="s">
        <v>67</v>
      </c>
      <c r="B4444" s="14">
        <v>39479</v>
      </c>
      <c r="C4444" s="2">
        <v>3.0106382979E-2</v>
      </c>
      <c r="D4444" s="2">
        <v>1.9408050999999999E-3</v>
      </c>
      <c r="E4444" s="2">
        <v>1</v>
      </c>
      <c r="F4444" s="2">
        <v>1.4391255697407301E-2</v>
      </c>
      <c r="G4444" s="2">
        <v>1</v>
      </c>
    </row>
    <row r="4445" spans="1:7" x14ac:dyDescent="0.2">
      <c r="A4445" s="2" t="s">
        <v>67</v>
      </c>
      <c r="B4445" s="14">
        <v>39508</v>
      </c>
      <c r="C4445" s="2">
        <v>5.3392543633999999E-2</v>
      </c>
      <c r="D4445" s="2">
        <v>-0.1197655</v>
      </c>
      <c r="E4445" s="2">
        <v>1</v>
      </c>
      <c r="F4445" s="2">
        <v>1.6822740126609999E-2</v>
      </c>
      <c r="G4445" s="2">
        <v>1</v>
      </c>
    </row>
    <row r="4446" spans="1:7" x14ac:dyDescent="0.2">
      <c r="A4446" s="2" t="s">
        <v>67</v>
      </c>
      <c r="B4446" s="14">
        <v>39539</v>
      </c>
      <c r="C4446" s="2">
        <v>5.8823529413000002E-2</v>
      </c>
      <c r="D4446" s="2">
        <v>5.0814427000000001E-3</v>
      </c>
      <c r="E4446" s="2">
        <v>1</v>
      </c>
      <c r="F4446" s="2">
        <v>2.0358483651196298E-2</v>
      </c>
      <c r="G4446" s="2">
        <v>1</v>
      </c>
    </row>
    <row r="4447" spans="1:7" x14ac:dyDescent="0.2">
      <c r="A4447" s="2" t="s">
        <v>67</v>
      </c>
      <c r="B4447" s="14">
        <v>39569</v>
      </c>
      <c r="C4447" s="2">
        <v>-1.4551627586E-2</v>
      </c>
      <c r="D4447" s="2">
        <v>6.8457489999999999E-3</v>
      </c>
      <c r="E4447" s="2">
        <v>1</v>
      </c>
      <c r="F4447" s="2">
        <v>2.3519497355736101E-2</v>
      </c>
      <c r="G4447" s="2">
        <v>1</v>
      </c>
    </row>
    <row r="4448" spans="1:7" x14ac:dyDescent="0.2">
      <c r="A4448" s="2" t="s">
        <v>67</v>
      </c>
      <c r="B4448" s="14">
        <v>39600</v>
      </c>
      <c r="C4448" s="2">
        <v>-0.13931008339000001</v>
      </c>
      <c r="D4448" s="2">
        <v>4.2466421000000003E-4</v>
      </c>
      <c r="E4448" s="2">
        <v>1</v>
      </c>
      <c r="F4448" s="2">
        <v>2.7307906050424099E-2</v>
      </c>
      <c r="G4448" s="2">
        <v>1</v>
      </c>
    </row>
    <row r="4449" spans="1:7" x14ac:dyDescent="0.2">
      <c r="A4449" s="2" t="s">
        <v>67</v>
      </c>
      <c r="B4449" s="14">
        <v>39630</v>
      </c>
      <c r="C4449" s="2">
        <v>-3.2151508476999997E-2</v>
      </c>
      <c r="D4449" s="2">
        <v>5.1823583999999999E-3</v>
      </c>
      <c r="E4449" s="2">
        <v>1</v>
      </c>
      <c r="F4449" s="2">
        <v>2.3711938078816702E-2</v>
      </c>
      <c r="G4449" s="2">
        <v>1</v>
      </c>
    </row>
    <row r="4450" spans="1:7" x14ac:dyDescent="0.2">
      <c r="A4450" s="2" t="s">
        <v>67</v>
      </c>
      <c r="B4450" s="14">
        <v>39661</v>
      </c>
      <c r="C4450" s="2">
        <v>-5.5745164960000003E-2</v>
      </c>
      <c r="D4450" s="2">
        <v>5.0270925000000001E-3</v>
      </c>
      <c r="E4450" s="2">
        <v>1</v>
      </c>
      <c r="F4450" s="2">
        <v>2.5850965615828302E-2</v>
      </c>
      <c r="G4450" s="2">
        <v>1</v>
      </c>
    </row>
    <row r="4451" spans="1:7" x14ac:dyDescent="0.2">
      <c r="A4451" s="2" t="s">
        <v>67</v>
      </c>
      <c r="B4451" s="14">
        <v>39692</v>
      </c>
      <c r="C4451" s="2">
        <v>-4.2530120482E-2</v>
      </c>
      <c r="D4451" s="2">
        <v>5.3984503000000005E-4</v>
      </c>
      <c r="E4451" s="2">
        <v>1</v>
      </c>
      <c r="F4451" s="2">
        <v>2.3501290482576799E-2</v>
      </c>
      <c r="G4451" s="2">
        <v>1</v>
      </c>
    </row>
    <row r="4452" spans="1:7" x14ac:dyDescent="0.2">
      <c r="A4452" s="2" t="s">
        <v>67</v>
      </c>
      <c r="B4452" s="14">
        <v>39722</v>
      </c>
      <c r="C4452" s="2">
        <v>-0.35812256196999998</v>
      </c>
      <c r="D4452" s="2">
        <v>9.3351065999999999E-4</v>
      </c>
      <c r="E4452" s="2">
        <v>1</v>
      </c>
      <c r="F4452" s="2">
        <v>2.0813144861044901E-2</v>
      </c>
      <c r="G4452" s="2">
        <v>1</v>
      </c>
    </row>
    <row r="4453" spans="1:7" x14ac:dyDescent="0.2">
      <c r="A4453" s="2" t="s">
        <v>67</v>
      </c>
      <c r="B4453" s="14">
        <v>39753</v>
      </c>
      <c r="C4453" s="2">
        <v>9.6059596161999997E-3</v>
      </c>
      <c r="D4453" s="2">
        <v>1.1985388E-2</v>
      </c>
      <c r="E4453" s="2">
        <v>1</v>
      </c>
      <c r="F4453" s="2">
        <v>1.0683737263154001E-2</v>
      </c>
      <c r="G4453" s="2">
        <v>1</v>
      </c>
    </row>
    <row r="4454" spans="1:7" x14ac:dyDescent="0.2">
      <c r="A4454" s="2" t="s">
        <v>67</v>
      </c>
      <c r="B4454" s="14">
        <v>39783</v>
      </c>
      <c r="C4454" s="2">
        <v>-5.8446601942E-2</v>
      </c>
      <c r="D4454" s="2">
        <v>3.4687481999999999E-3</v>
      </c>
      <c r="E4454" s="2">
        <v>1</v>
      </c>
      <c r="F4454" s="2">
        <v>1.1314209118317301E-2</v>
      </c>
      <c r="G4454" s="2">
        <v>1</v>
      </c>
    </row>
    <row r="4455" spans="1:7" x14ac:dyDescent="0.2">
      <c r="A4455" s="2" t="s">
        <v>68</v>
      </c>
      <c r="B4455" s="14">
        <v>37591</v>
      </c>
      <c r="E4455" s="2">
        <v>1</v>
      </c>
      <c r="G4455" s="2">
        <v>1</v>
      </c>
    </row>
    <row r="4456" spans="1:7" x14ac:dyDescent="0.2">
      <c r="A4456" s="2" t="s">
        <v>68</v>
      </c>
      <c r="B4456" s="14">
        <v>37622</v>
      </c>
      <c r="E4456" s="2">
        <v>1</v>
      </c>
      <c r="G4456" s="2">
        <v>1</v>
      </c>
    </row>
    <row r="4457" spans="1:7" x14ac:dyDescent="0.2">
      <c r="A4457" s="2" t="s">
        <v>68</v>
      </c>
      <c r="B4457" s="14">
        <v>37653</v>
      </c>
      <c r="E4457" s="2">
        <v>1</v>
      </c>
      <c r="G4457" s="2">
        <v>1</v>
      </c>
    </row>
    <row r="4458" spans="1:7" x14ac:dyDescent="0.2">
      <c r="A4458" s="2" t="s">
        <v>68</v>
      </c>
      <c r="B4458" s="14">
        <v>37681</v>
      </c>
      <c r="E4458" s="2">
        <v>1</v>
      </c>
      <c r="G4458" s="2">
        <v>1</v>
      </c>
    </row>
    <row r="4459" spans="1:7" x14ac:dyDescent="0.2">
      <c r="A4459" s="2" t="s">
        <v>68</v>
      </c>
      <c r="B4459" s="14">
        <v>37712</v>
      </c>
      <c r="E4459" s="2">
        <v>1</v>
      </c>
      <c r="G4459" s="2">
        <v>1</v>
      </c>
    </row>
    <row r="4460" spans="1:7" x14ac:dyDescent="0.2">
      <c r="A4460" s="2" t="s">
        <v>68</v>
      </c>
      <c r="B4460" s="14">
        <v>37742</v>
      </c>
      <c r="E4460" s="2">
        <v>1</v>
      </c>
      <c r="G4460" s="2">
        <v>1</v>
      </c>
    </row>
    <row r="4461" spans="1:7" x14ac:dyDescent="0.2">
      <c r="A4461" s="2" t="s">
        <v>68</v>
      </c>
      <c r="B4461" s="14">
        <v>37773</v>
      </c>
      <c r="E4461" s="2">
        <v>1</v>
      </c>
      <c r="G4461" s="2">
        <v>1</v>
      </c>
    </row>
    <row r="4462" spans="1:7" x14ac:dyDescent="0.2">
      <c r="A4462" s="2" t="s">
        <v>68</v>
      </c>
      <c r="B4462" s="14">
        <v>37803</v>
      </c>
      <c r="E4462" s="2">
        <v>1</v>
      </c>
      <c r="G4462" s="2">
        <v>1</v>
      </c>
    </row>
    <row r="4463" spans="1:7" x14ac:dyDescent="0.2">
      <c r="A4463" s="2" t="s">
        <v>68</v>
      </c>
      <c r="B4463" s="14">
        <v>37834</v>
      </c>
      <c r="E4463" s="2">
        <v>1</v>
      </c>
      <c r="G4463" s="2">
        <v>1</v>
      </c>
    </row>
    <row r="4464" spans="1:7" x14ac:dyDescent="0.2">
      <c r="A4464" s="2" t="s">
        <v>68</v>
      </c>
      <c r="B4464" s="14">
        <v>37865</v>
      </c>
      <c r="E4464" s="2">
        <v>1</v>
      </c>
      <c r="G4464" s="2">
        <v>1</v>
      </c>
    </row>
    <row r="4465" spans="1:7" x14ac:dyDescent="0.2">
      <c r="A4465" s="2" t="s">
        <v>68</v>
      </c>
      <c r="B4465" s="14">
        <v>37895</v>
      </c>
      <c r="E4465" s="2">
        <v>1</v>
      </c>
      <c r="G4465" s="2">
        <v>1</v>
      </c>
    </row>
    <row r="4466" spans="1:7" x14ac:dyDescent="0.2">
      <c r="A4466" s="2" t="s">
        <v>68</v>
      </c>
      <c r="B4466" s="14">
        <v>37926</v>
      </c>
      <c r="E4466" s="2">
        <v>1</v>
      </c>
      <c r="G4466" s="2">
        <v>1</v>
      </c>
    </row>
    <row r="4467" spans="1:7" x14ac:dyDescent="0.2">
      <c r="A4467" s="2" t="s">
        <v>68</v>
      </c>
      <c r="B4467" s="14">
        <v>37956</v>
      </c>
      <c r="E4467" s="2">
        <v>1</v>
      </c>
      <c r="G4467" s="2">
        <v>1</v>
      </c>
    </row>
    <row r="4468" spans="1:7" x14ac:dyDescent="0.2">
      <c r="A4468" s="2" t="s">
        <v>68</v>
      </c>
      <c r="B4468" s="14">
        <v>37987</v>
      </c>
      <c r="E4468" s="2">
        <v>1</v>
      </c>
      <c r="G4468" s="2">
        <v>1</v>
      </c>
    </row>
    <row r="4469" spans="1:7" x14ac:dyDescent="0.2">
      <c r="A4469" s="2" t="s">
        <v>68</v>
      </c>
      <c r="B4469" s="14">
        <v>38018</v>
      </c>
      <c r="E4469" s="2">
        <v>1</v>
      </c>
      <c r="G4469" s="2">
        <v>1</v>
      </c>
    </row>
    <row r="4470" spans="1:7" x14ac:dyDescent="0.2">
      <c r="A4470" s="2" t="s">
        <v>68</v>
      </c>
      <c r="B4470" s="14">
        <v>38047</v>
      </c>
      <c r="E4470" s="2">
        <v>1</v>
      </c>
      <c r="G4470" s="2">
        <v>1</v>
      </c>
    </row>
    <row r="4471" spans="1:7" x14ac:dyDescent="0.2">
      <c r="A4471" s="2" t="s">
        <v>68</v>
      </c>
      <c r="B4471" s="14">
        <v>38078</v>
      </c>
      <c r="E4471" s="2">
        <v>1</v>
      </c>
      <c r="G4471" s="2">
        <v>1</v>
      </c>
    </row>
    <row r="4472" spans="1:7" x14ac:dyDescent="0.2">
      <c r="A4472" s="2" t="s">
        <v>68</v>
      </c>
      <c r="B4472" s="14">
        <v>38108</v>
      </c>
      <c r="E4472" s="2">
        <v>1</v>
      </c>
      <c r="G4472" s="2">
        <v>1</v>
      </c>
    </row>
    <row r="4473" spans="1:7" x14ac:dyDescent="0.2">
      <c r="A4473" s="2" t="s">
        <v>68</v>
      </c>
      <c r="B4473" s="14">
        <v>38139</v>
      </c>
      <c r="E4473" s="2">
        <v>1</v>
      </c>
      <c r="G4473" s="2">
        <v>1</v>
      </c>
    </row>
    <row r="4474" spans="1:7" x14ac:dyDescent="0.2">
      <c r="A4474" s="2" t="s">
        <v>68</v>
      </c>
      <c r="B4474" s="14">
        <v>38169</v>
      </c>
      <c r="E4474" s="2">
        <v>1</v>
      </c>
      <c r="G4474" s="2">
        <v>1</v>
      </c>
    </row>
    <row r="4475" spans="1:7" x14ac:dyDescent="0.2">
      <c r="A4475" s="2" t="s">
        <v>68</v>
      </c>
      <c r="B4475" s="14">
        <v>38200</v>
      </c>
      <c r="E4475" s="2">
        <v>1</v>
      </c>
      <c r="G4475" s="2">
        <v>1</v>
      </c>
    </row>
    <row r="4476" spans="1:7" x14ac:dyDescent="0.2">
      <c r="A4476" s="2" t="s">
        <v>68</v>
      </c>
      <c r="B4476" s="14">
        <v>38231</v>
      </c>
      <c r="E4476" s="2">
        <v>1</v>
      </c>
      <c r="G4476" s="2">
        <v>1</v>
      </c>
    </row>
    <row r="4477" spans="1:7" x14ac:dyDescent="0.2">
      <c r="A4477" s="2" t="s">
        <v>68</v>
      </c>
      <c r="B4477" s="14">
        <v>38261</v>
      </c>
      <c r="E4477" s="2">
        <v>1</v>
      </c>
      <c r="G4477" s="2">
        <v>1</v>
      </c>
    </row>
    <row r="4478" spans="1:7" x14ac:dyDescent="0.2">
      <c r="A4478" s="2" t="s">
        <v>68</v>
      </c>
      <c r="B4478" s="14">
        <v>38292</v>
      </c>
      <c r="E4478" s="2">
        <v>1</v>
      </c>
      <c r="G4478" s="2">
        <v>1</v>
      </c>
    </row>
    <row r="4479" spans="1:7" x14ac:dyDescent="0.2">
      <c r="A4479" s="2" t="s">
        <v>68</v>
      </c>
      <c r="B4479" s="14">
        <v>38322</v>
      </c>
      <c r="E4479" s="2">
        <v>1</v>
      </c>
      <c r="G4479" s="2">
        <v>1</v>
      </c>
    </row>
    <row r="4480" spans="1:7" x14ac:dyDescent="0.2">
      <c r="A4480" s="2" t="s">
        <v>68</v>
      </c>
      <c r="B4480" s="14">
        <v>38353</v>
      </c>
      <c r="E4480" s="2">
        <v>1</v>
      </c>
      <c r="G4480" s="2">
        <v>1</v>
      </c>
    </row>
    <row r="4481" spans="1:7" x14ac:dyDescent="0.2">
      <c r="A4481" s="2" t="s">
        <v>68</v>
      </c>
      <c r="B4481" s="14">
        <v>38384</v>
      </c>
      <c r="E4481" s="2">
        <v>1</v>
      </c>
      <c r="G4481" s="2">
        <v>1</v>
      </c>
    </row>
    <row r="4482" spans="1:7" x14ac:dyDescent="0.2">
      <c r="A4482" s="2" t="s">
        <v>68</v>
      </c>
      <c r="B4482" s="14">
        <v>38412</v>
      </c>
      <c r="E4482" s="2">
        <v>1</v>
      </c>
      <c r="G4482" s="2">
        <v>1</v>
      </c>
    </row>
    <row r="4483" spans="1:7" x14ac:dyDescent="0.2">
      <c r="A4483" s="2" t="s">
        <v>68</v>
      </c>
      <c r="B4483" s="14">
        <v>38443</v>
      </c>
      <c r="E4483" s="2">
        <v>1</v>
      </c>
      <c r="G4483" s="2">
        <v>1</v>
      </c>
    </row>
    <row r="4484" spans="1:7" x14ac:dyDescent="0.2">
      <c r="A4484" s="2" t="s">
        <v>68</v>
      </c>
      <c r="B4484" s="14">
        <v>38473</v>
      </c>
      <c r="E4484" s="2">
        <v>1</v>
      </c>
      <c r="G4484" s="2">
        <v>1</v>
      </c>
    </row>
    <row r="4485" spans="1:7" x14ac:dyDescent="0.2">
      <c r="A4485" s="2" t="s">
        <v>68</v>
      </c>
      <c r="B4485" s="14">
        <v>38504</v>
      </c>
      <c r="E4485" s="2">
        <v>1</v>
      </c>
      <c r="G4485" s="2">
        <v>1</v>
      </c>
    </row>
    <row r="4486" spans="1:7" x14ac:dyDescent="0.2">
      <c r="A4486" s="2" t="s">
        <v>68</v>
      </c>
      <c r="B4486" s="14">
        <v>38534</v>
      </c>
      <c r="E4486" s="2">
        <v>1</v>
      </c>
      <c r="G4486" s="2">
        <v>1</v>
      </c>
    </row>
    <row r="4487" spans="1:7" x14ac:dyDescent="0.2">
      <c r="A4487" s="2" t="s">
        <v>68</v>
      </c>
      <c r="B4487" s="14">
        <v>38565</v>
      </c>
      <c r="E4487" s="2">
        <v>1</v>
      </c>
      <c r="G4487" s="2">
        <v>1</v>
      </c>
    </row>
    <row r="4488" spans="1:7" x14ac:dyDescent="0.2">
      <c r="A4488" s="2" t="s">
        <v>68</v>
      </c>
      <c r="B4488" s="14">
        <v>38596</v>
      </c>
      <c r="E4488" s="2">
        <v>1</v>
      </c>
      <c r="G4488" s="2">
        <v>1</v>
      </c>
    </row>
    <row r="4489" spans="1:7" x14ac:dyDescent="0.2">
      <c r="A4489" s="2" t="s">
        <v>68</v>
      </c>
      <c r="B4489" s="14">
        <v>38626</v>
      </c>
      <c r="E4489" s="2">
        <v>1</v>
      </c>
      <c r="G4489" s="2">
        <v>1</v>
      </c>
    </row>
    <row r="4490" spans="1:7" x14ac:dyDescent="0.2">
      <c r="A4490" s="2" t="s">
        <v>68</v>
      </c>
      <c r="B4490" s="14">
        <v>38657</v>
      </c>
      <c r="E4490" s="2">
        <v>1</v>
      </c>
      <c r="G4490" s="2">
        <v>1</v>
      </c>
    </row>
    <row r="4491" spans="1:7" x14ac:dyDescent="0.2">
      <c r="A4491" s="2" t="s">
        <v>68</v>
      </c>
      <c r="B4491" s="14">
        <v>38687</v>
      </c>
      <c r="E4491" s="2">
        <v>1</v>
      </c>
      <c r="G4491" s="2">
        <v>1</v>
      </c>
    </row>
    <row r="4492" spans="1:7" x14ac:dyDescent="0.2">
      <c r="A4492" s="2" t="s">
        <v>68</v>
      </c>
      <c r="B4492" s="14">
        <v>38718</v>
      </c>
      <c r="E4492" s="2">
        <v>1</v>
      </c>
      <c r="G4492" s="2">
        <v>1</v>
      </c>
    </row>
    <row r="4493" spans="1:7" x14ac:dyDescent="0.2">
      <c r="A4493" s="2" t="s">
        <v>68</v>
      </c>
      <c r="B4493" s="14">
        <v>38749</v>
      </c>
      <c r="E4493" s="2">
        <v>1</v>
      </c>
      <c r="G4493" s="2">
        <v>1</v>
      </c>
    </row>
    <row r="4494" spans="1:7" x14ac:dyDescent="0.2">
      <c r="A4494" s="2" t="s">
        <v>68</v>
      </c>
      <c r="B4494" s="14">
        <v>38777</v>
      </c>
      <c r="E4494" s="2">
        <v>1</v>
      </c>
      <c r="G4494" s="2">
        <v>1</v>
      </c>
    </row>
    <row r="4495" spans="1:7" x14ac:dyDescent="0.2">
      <c r="A4495" s="2" t="s">
        <v>68</v>
      </c>
      <c r="B4495" s="14">
        <v>38808</v>
      </c>
      <c r="E4495" s="2">
        <v>1</v>
      </c>
      <c r="G4495" s="2">
        <v>1</v>
      </c>
    </row>
    <row r="4496" spans="1:7" x14ac:dyDescent="0.2">
      <c r="A4496" s="2" t="s">
        <v>68</v>
      </c>
      <c r="B4496" s="14">
        <v>38838</v>
      </c>
      <c r="E4496" s="2">
        <v>1</v>
      </c>
      <c r="G4496" s="2">
        <v>1</v>
      </c>
    </row>
    <row r="4497" spans="1:7" x14ac:dyDescent="0.2">
      <c r="A4497" s="2" t="s">
        <v>68</v>
      </c>
      <c r="B4497" s="14">
        <v>38869</v>
      </c>
      <c r="E4497" s="2">
        <v>1</v>
      </c>
      <c r="G4497" s="2">
        <v>1</v>
      </c>
    </row>
    <row r="4498" spans="1:7" x14ac:dyDescent="0.2">
      <c r="A4498" s="2" t="s">
        <v>68</v>
      </c>
      <c r="B4498" s="14">
        <v>38899</v>
      </c>
      <c r="E4498" s="2">
        <v>1</v>
      </c>
      <c r="G4498" s="2">
        <v>1</v>
      </c>
    </row>
    <row r="4499" spans="1:7" x14ac:dyDescent="0.2">
      <c r="A4499" s="2" t="s">
        <v>68</v>
      </c>
      <c r="B4499" s="14">
        <v>38930</v>
      </c>
      <c r="E4499" s="2">
        <v>1</v>
      </c>
      <c r="G4499" s="2">
        <v>1</v>
      </c>
    </row>
    <row r="4500" spans="1:7" x14ac:dyDescent="0.2">
      <c r="A4500" s="2" t="s">
        <v>68</v>
      </c>
      <c r="B4500" s="14">
        <v>38961</v>
      </c>
      <c r="E4500" s="2">
        <v>1</v>
      </c>
      <c r="G4500" s="2">
        <v>1</v>
      </c>
    </row>
    <row r="4501" spans="1:7" x14ac:dyDescent="0.2">
      <c r="A4501" s="2" t="s">
        <v>68</v>
      </c>
      <c r="B4501" s="14">
        <v>38991</v>
      </c>
      <c r="E4501" s="2">
        <v>1</v>
      </c>
      <c r="G4501" s="2">
        <v>1</v>
      </c>
    </row>
    <row r="4502" spans="1:7" x14ac:dyDescent="0.2">
      <c r="A4502" s="2" t="s">
        <v>68</v>
      </c>
      <c r="B4502" s="14">
        <v>39022</v>
      </c>
      <c r="E4502" s="2">
        <v>1</v>
      </c>
      <c r="G4502" s="2">
        <v>1</v>
      </c>
    </row>
    <row r="4503" spans="1:7" x14ac:dyDescent="0.2">
      <c r="A4503" s="2" t="s">
        <v>68</v>
      </c>
      <c r="B4503" s="14">
        <v>39052</v>
      </c>
      <c r="E4503" s="2">
        <v>1</v>
      </c>
      <c r="G4503" s="2">
        <v>1</v>
      </c>
    </row>
    <row r="4504" spans="1:7" x14ac:dyDescent="0.2">
      <c r="A4504" s="2" t="s">
        <v>68</v>
      </c>
      <c r="B4504" s="14">
        <v>39083</v>
      </c>
      <c r="E4504" s="2">
        <v>1</v>
      </c>
      <c r="G4504" s="2">
        <v>1</v>
      </c>
    </row>
    <row r="4505" spans="1:7" x14ac:dyDescent="0.2">
      <c r="A4505" s="2" t="s">
        <v>68</v>
      </c>
      <c r="B4505" s="14">
        <v>39114</v>
      </c>
      <c r="E4505" s="2">
        <v>1</v>
      </c>
      <c r="G4505" s="2">
        <v>1</v>
      </c>
    </row>
    <row r="4506" spans="1:7" x14ac:dyDescent="0.2">
      <c r="A4506" s="2" t="s">
        <v>68</v>
      </c>
      <c r="B4506" s="14">
        <v>39142</v>
      </c>
      <c r="E4506" s="2">
        <v>1</v>
      </c>
      <c r="G4506" s="2">
        <v>1</v>
      </c>
    </row>
    <row r="4507" spans="1:7" x14ac:dyDescent="0.2">
      <c r="A4507" s="2" t="s">
        <v>68</v>
      </c>
      <c r="B4507" s="14">
        <v>39173</v>
      </c>
      <c r="E4507" s="2">
        <v>1</v>
      </c>
      <c r="G4507" s="2">
        <v>1</v>
      </c>
    </row>
    <row r="4508" spans="1:7" x14ac:dyDescent="0.2">
      <c r="A4508" s="2" t="s">
        <v>68</v>
      </c>
      <c r="B4508" s="14">
        <v>39203</v>
      </c>
      <c r="E4508" s="2">
        <v>1</v>
      </c>
      <c r="G4508" s="2">
        <v>1</v>
      </c>
    </row>
    <row r="4509" spans="1:7" x14ac:dyDescent="0.2">
      <c r="A4509" s="2" t="s">
        <v>68</v>
      </c>
      <c r="B4509" s="14">
        <v>39234</v>
      </c>
      <c r="E4509" s="2">
        <v>1</v>
      </c>
      <c r="G4509" s="2">
        <v>1</v>
      </c>
    </row>
    <row r="4510" spans="1:7" x14ac:dyDescent="0.2">
      <c r="A4510" s="2" t="s">
        <v>68</v>
      </c>
      <c r="B4510" s="14">
        <v>39264</v>
      </c>
      <c r="E4510" s="2">
        <v>1</v>
      </c>
      <c r="G4510" s="2">
        <v>1</v>
      </c>
    </row>
    <row r="4511" spans="1:7" x14ac:dyDescent="0.2">
      <c r="A4511" s="2" t="s">
        <v>68</v>
      </c>
      <c r="B4511" s="14">
        <v>39295</v>
      </c>
      <c r="C4511" s="2">
        <v>-8.5614607659000003E-2</v>
      </c>
      <c r="D4511" s="2">
        <v>7.0034735999999998E-3</v>
      </c>
      <c r="E4511" s="2">
        <v>1</v>
      </c>
      <c r="G4511" s="2">
        <v>1</v>
      </c>
    </row>
    <row r="4512" spans="1:7" x14ac:dyDescent="0.2">
      <c r="A4512" s="2" t="s">
        <v>68</v>
      </c>
      <c r="B4512" s="14">
        <v>39326</v>
      </c>
      <c r="C4512" s="2">
        <v>1.0461538458000001E-3</v>
      </c>
      <c r="D4512" s="2">
        <v>0</v>
      </c>
      <c r="E4512" s="2">
        <v>1</v>
      </c>
      <c r="G4512" s="2">
        <v>1</v>
      </c>
    </row>
    <row r="4513" spans="1:7" x14ac:dyDescent="0.2">
      <c r="A4513" s="2" t="s">
        <v>68</v>
      </c>
      <c r="B4513" s="14">
        <v>39356</v>
      </c>
      <c r="C4513" s="2">
        <v>-0.15165672833999999</v>
      </c>
      <c r="D4513" s="19">
        <v>1.8916E-5</v>
      </c>
      <c r="E4513" s="2">
        <v>1</v>
      </c>
      <c r="G4513" s="2">
        <v>1</v>
      </c>
    </row>
    <row r="4514" spans="1:7" x14ac:dyDescent="0.2">
      <c r="A4514" s="2" t="s">
        <v>68</v>
      </c>
      <c r="B4514" s="14">
        <v>39387</v>
      </c>
      <c r="C4514" s="2">
        <v>-0.18478260869999999</v>
      </c>
      <c r="D4514" s="2">
        <v>-3.6251565999999998E-3</v>
      </c>
      <c r="E4514" s="2">
        <v>1</v>
      </c>
      <c r="G4514" s="2">
        <v>1</v>
      </c>
    </row>
    <row r="4515" spans="1:7" x14ac:dyDescent="0.2">
      <c r="A4515" s="2" t="s">
        <v>68</v>
      </c>
      <c r="B4515" s="14">
        <v>39417</v>
      </c>
      <c r="C4515" s="2">
        <v>-8.8888888895000007E-3</v>
      </c>
      <c r="D4515" s="19">
        <v>9.5168798000000004E-5</v>
      </c>
      <c r="E4515" s="2">
        <v>1</v>
      </c>
      <c r="G4515" s="2">
        <v>1</v>
      </c>
    </row>
    <row r="4516" spans="1:7" x14ac:dyDescent="0.2">
      <c r="A4516" s="2" t="s">
        <v>68</v>
      </c>
      <c r="B4516" s="14">
        <v>39448</v>
      </c>
      <c r="C4516" s="2">
        <v>-0.20179372197000001</v>
      </c>
      <c r="D4516" s="2">
        <v>4.5085265000000003E-3</v>
      </c>
      <c r="E4516" s="2">
        <v>1</v>
      </c>
      <c r="G4516" s="2">
        <v>1</v>
      </c>
    </row>
    <row r="4517" spans="1:7" x14ac:dyDescent="0.2">
      <c r="A4517" s="2" t="s">
        <v>68</v>
      </c>
      <c r="B4517" s="14">
        <v>39479</v>
      </c>
      <c r="C4517" s="2">
        <v>1.1235955055E-2</v>
      </c>
      <c r="D4517" s="2">
        <v>1.4365834999999999E-3</v>
      </c>
      <c r="E4517" s="2">
        <v>1</v>
      </c>
      <c r="G4517" s="2">
        <v>1</v>
      </c>
    </row>
    <row r="4518" spans="1:7" x14ac:dyDescent="0.2">
      <c r="A4518" s="2" t="s">
        <v>68</v>
      </c>
      <c r="B4518" s="14">
        <v>39508</v>
      </c>
      <c r="C4518" s="2">
        <v>-0.16111111111000001</v>
      </c>
      <c r="D4518" s="2">
        <v>1.8462839999999999E-3</v>
      </c>
      <c r="E4518" s="2">
        <v>1</v>
      </c>
      <c r="G4518" s="2">
        <v>1</v>
      </c>
    </row>
    <row r="4519" spans="1:7" x14ac:dyDescent="0.2">
      <c r="A4519" s="2" t="s">
        <v>68</v>
      </c>
      <c r="B4519" s="14">
        <v>39539</v>
      </c>
      <c r="C4519" s="2">
        <v>-5.6291390738E-3</v>
      </c>
      <c r="D4519" s="2">
        <v>1.5878661999999999E-3</v>
      </c>
      <c r="E4519" s="2">
        <v>1</v>
      </c>
      <c r="G4519" s="2">
        <v>1</v>
      </c>
    </row>
    <row r="4520" spans="1:7" x14ac:dyDescent="0.2">
      <c r="A4520" s="2" t="s">
        <v>68</v>
      </c>
      <c r="B4520" s="14">
        <v>39569</v>
      </c>
      <c r="C4520" s="2">
        <v>0.21419399665</v>
      </c>
      <c r="D4520" s="2">
        <v>-2.9930872999999998E-3</v>
      </c>
      <c r="E4520" s="2">
        <v>1</v>
      </c>
      <c r="G4520" s="2">
        <v>1</v>
      </c>
    </row>
    <row r="4521" spans="1:7" x14ac:dyDescent="0.2">
      <c r="A4521" s="2" t="s">
        <v>68</v>
      </c>
      <c r="B4521" s="14">
        <v>39600</v>
      </c>
      <c r="C4521" s="2">
        <v>-0.11111111110999999</v>
      </c>
      <c r="D4521" s="2">
        <v>-4.5255676000000001E-4</v>
      </c>
      <c r="E4521" s="2">
        <v>1</v>
      </c>
      <c r="G4521" s="2">
        <v>1</v>
      </c>
    </row>
    <row r="4522" spans="1:7" x14ac:dyDescent="0.2">
      <c r="A4522" s="2" t="s">
        <v>68</v>
      </c>
      <c r="B4522" s="14">
        <v>39630</v>
      </c>
      <c r="C4522" s="2">
        <v>-9.3750000001000006E-2</v>
      </c>
      <c r="D4522" s="19">
        <v>8.7672131000000002E-5</v>
      </c>
      <c r="E4522" s="2">
        <v>1</v>
      </c>
      <c r="G4522" s="2">
        <v>1</v>
      </c>
    </row>
    <row r="4523" spans="1:7" x14ac:dyDescent="0.2">
      <c r="A4523" s="2" t="s">
        <v>68</v>
      </c>
      <c r="B4523" s="14">
        <v>39661</v>
      </c>
      <c r="C4523" s="2">
        <v>-4.1379310343999998E-2</v>
      </c>
      <c r="D4523" s="2">
        <v>6.9088726999999995E-4</v>
      </c>
      <c r="E4523" s="2">
        <v>1</v>
      </c>
      <c r="F4523" s="2">
        <v>3.9572035502648904E-3</v>
      </c>
      <c r="G4523" s="2">
        <v>1</v>
      </c>
    </row>
    <row r="4524" spans="1:7" x14ac:dyDescent="0.2">
      <c r="A4524" s="2" t="s">
        <v>68</v>
      </c>
      <c r="B4524" s="14">
        <v>39692</v>
      </c>
      <c r="C4524" s="2">
        <v>-0.24266187049999999</v>
      </c>
      <c r="D4524" s="2">
        <v>-2.1796509E-4</v>
      </c>
      <c r="E4524" s="2">
        <v>1</v>
      </c>
      <c r="F4524" s="2">
        <v>2.53291457815716E-3</v>
      </c>
      <c r="G4524" s="2">
        <v>1</v>
      </c>
    </row>
    <row r="4525" spans="1:7" x14ac:dyDescent="0.2">
      <c r="A4525" s="2" t="s">
        <v>68</v>
      </c>
      <c r="B4525" s="14">
        <v>39722</v>
      </c>
      <c r="C4525" s="2">
        <v>-0.36354136981000001</v>
      </c>
      <c r="D4525" s="2">
        <v>0</v>
      </c>
      <c r="E4525" s="2">
        <v>1</v>
      </c>
      <c r="F4525" s="2">
        <v>9.797663795057779E-4</v>
      </c>
      <c r="G4525" s="2">
        <v>1</v>
      </c>
    </row>
    <row r="4526" spans="1:7" x14ac:dyDescent="0.2">
      <c r="A4526" s="2" t="s">
        <v>68</v>
      </c>
      <c r="B4526" s="14">
        <v>39753</v>
      </c>
      <c r="C4526" s="2">
        <v>-0.20895522388000001</v>
      </c>
      <c r="D4526" s="2">
        <v>0</v>
      </c>
      <c r="E4526" s="2">
        <v>1</v>
      </c>
      <c r="F4526" s="2">
        <v>-7.89130923924127E-3</v>
      </c>
      <c r="G4526" s="2">
        <v>1</v>
      </c>
    </row>
    <row r="4527" spans="1:7" x14ac:dyDescent="0.2">
      <c r="A4527" s="2" t="s">
        <v>68</v>
      </c>
      <c r="B4527" s="14">
        <v>39783</v>
      </c>
      <c r="C4527" s="2">
        <v>-0.19811320755</v>
      </c>
      <c r="D4527" s="2">
        <v>0</v>
      </c>
      <c r="E4527" s="2">
        <v>1</v>
      </c>
      <c r="F4527" s="2">
        <v>-1.9556462082948201E-2</v>
      </c>
      <c r="G4527" s="2">
        <v>1</v>
      </c>
    </row>
    <row r="4528" spans="1:7" x14ac:dyDescent="0.2">
      <c r="A4528" s="2" t="s">
        <v>69</v>
      </c>
      <c r="B4528" s="14">
        <v>37591</v>
      </c>
      <c r="C4528" s="2">
        <v>-2.0833333334E-2</v>
      </c>
      <c r="E4528" s="2">
        <v>1</v>
      </c>
      <c r="G4528" s="2">
        <v>2</v>
      </c>
    </row>
    <row r="4529" spans="1:7" x14ac:dyDescent="0.2">
      <c r="A4529" s="2" t="s">
        <v>69</v>
      </c>
      <c r="B4529" s="14">
        <v>37622</v>
      </c>
      <c r="C4529" s="2">
        <v>1.2765957446E-2</v>
      </c>
      <c r="E4529" s="2">
        <v>1</v>
      </c>
      <c r="G4529" s="2">
        <v>2</v>
      </c>
    </row>
    <row r="4530" spans="1:7" x14ac:dyDescent="0.2">
      <c r="A4530" s="2" t="s">
        <v>69</v>
      </c>
      <c r="B4530" s="14">
        <v>37653</v>
      </c>
      <c r="C4530" s="2">
        <v>3.9915966386999999E-2</v>
      </c>
      <c r="E4530" s="2">
        <v>1</v>
      </c>
      <c r="G4530" s="2">
        <v>2</v>
      </c>
    </row>
    <row r="4531" spans="1:7" x14ac:dyDescent="0.2">
      <c r="A4531" s="2" t="s">
        <v>69</v>
      </c>
      <c r="B4531" s="14">
        <v>37681</v>
      </c>
      <c r="E4531" s="2">
        <v>1</v>
      </c>
      <c r="G4531" s="2">
        <v>2</v>
      </c>
    </row>
    <row r="4532" spans="1:7" x14ac:dyDescent="0.2">
      <c r="A4532" s="2" t="s">
        <v>69</v>
      </c>
      <c r="B4532" s="14">
        <v>37712</v>
      </c>
      <c r="C4532" s="2">
        <v>0.18246374310999999</v>
      </c>
      <c r="E4532" s="2">
        <v>1</v>
      </c>
      <c r="G4532" s="2">
        <v>2</v>
      </c>
    </row>
    <row r="4533" spans="1:7" x14ac:dyDescent="0.2">
      <c r="A4533" s="2" t="s">
        <v>69</v>
      </c>
      <c r="B4533" s="14">
        <v>37742</v>
      </c>
      <c r="C4533" s="2">
        <v>-7.2072072062E-3</v>
      </c>
      <c r="E4533" s="2">
        <v>1</v>
      </c>
      <c r="G4533" s="2">
        <v>2</v>
      </c>
    </row>
    <row r="4534" spans="1:7" x14ac:dyDescent="0.2">
      <c r="A4534" s="2" t="s">
        <v>69</v>
      </c>
      <c r="B4534" s="14">
        <v>37773</v>
      </c>
      <c r="C4534" s="2">
        <v>0.17967332122999999</v>
      </c>
      <c r="E4534" s="2">
        <v>1</v>
      </c>
      <c r="G4534" s="2">
        <v>2</v>
      </c>
    </row>
    <row r="4535" spans="1:7" x14ac:dyDescent="0.2">
      <c r="A4535" s="2" t="s">
        <v>69</v>
      </c>
      <c r="B4535" s="14">
        <v>37803</v>
      </c>
      <c r="C4535" s="2">
        <v>0.32307692308000002</v>
      </c>
      <c r="E4535" s="2">
        <v>1</v>
      </c>
      <c r="G4535" s="2">
        <v>2</v>
      </c>
    </row>
    <row r="4536" spans="1:7" x14ac:dyDescent="0.2">
      <c r="A4536" s="2" t="s">
        <v>69</v>
      </c>
      <c r="B4536" s="14">
        <v>37834</v>
      </c>
      <c r="C4536" s="2">
        <v>0.22209302324999999</v>
      </c>
      <c r="E4536" s="2">
        <v>1</v>
      </c>
      <c r="F4536" s="2">
        <v>7.6010452889050506E-2</v>
      </c>
      <c r="G4536" s="2">
        <v>2</v>
      </c>
    </row>
    <row r="4537" spans="1:7" x14ac:dyDescent="0.2">
      <c r="A4537" s="2" t="s">
        <v>69</v>
      </c>
      <c r="B4537" s="14">
        <v>37865</v>
      </c>
      <c r="C4537" s="2">
        <v>0.14176974310000001</v>
      </c>
      <c r="E4537" s="2">
        <v>1</v>
      </c>
      <c r="F4537" s="2">
        <v>8.0719142619869205E-2</v>
      </c>
      <c r="G4537" s="2">
        <v>2</v>
      </c>
    </row>
    <row r="4538" spans="1:7" x14ac:dyDescent="0.2">
      <c r="A4538" s="2" t="s">
        <v>69</v>
      </c>
      <c r="B4538" s="14">
        <v>37895</v>
      </c>
      <c r="C4538" s="2">
        <v>-0.12083333333</v>
      </c>
      <c r="E4538" s="2">
        <v>1</v>
      </c>
      <c r="F4538" s="2">
        <v>8.4342119373425603E-2</v>
      </c>
      <c r="G4538" s="2">
        <v>2</v>
      </c>
    </row>
    <row r="4539" spans="1:7" x14ac:dyDescent="0.2">
      <c r="A4539" s="2" t="s">
        <v>69</v>
      </c>
      <c r="B4539" s="14">
        <v>37926</v>
      </c>
      <c r="C4539" s="2">
        <v>0.30805687203999998</v>
      </c>
      <c r="E4539" s="2">
        <v>1</v>
      </c>
      <c r="F4539" s="2">
        <v>7.6300674094304799E-2</v>
      </c>
      <c r="G4539" s="2">
        <v>2</v>
      </c>
    </row>
    <row r="4540" spans="1:7" x14ac:dyDescent="0.2">
      <c r="A4540" s="2" t="s">
        <v>69</v>
      </c>
      <c r="B4540" s="14">
        <v>37956</v>
      </c>
      <c r="C4540" s="2">
        <v>5.0724637682000001E-2</v>
      </c>
      <c r="E4540" s="2">
        <v>1</v>
      </c>
      <c r="F4540" s="2">
        <v>8.4924976147615697E-2</v>
      </c>
      <c r="G4540" s="2">
        <v>2</v>
      </c>
    </row>
    <row r="4541" spans="1:7" x14ac:dyDescent="0.2">
      <c r="A4541" s="2" t="s">
        <v>69</v>
      </c>
      <c r="B4541" s="14">
        <v>37987</v>
      </c>
      <c r="E4541" s="2">
        <v>1</v>
      </c>
      <c r="F4541" s="2">
        <v>8.0985751540572401E-2</v>
      </c>
      <c r="G4541" s="2">
        <v>2</v>
      </c>
    </row>
    <row r="4542" spans="1:7" x14ac:dyDescent="0.2">
      <c r="A4542" s="2" t="s">
        <v>69</v>
      </c>
      <c r="B4542" s="14">
        <v>38018</v>
      </c>
      <c r="C4542" s="2">
        <v>-3.7776193871000001E-2</v>
      </c>
      <c r="E4542" s="2">
        <v>1</v>
      </c>
      <c r="G4542" s="2">
        <v>2</v>
      </c>
    </row>
    <row r="4543" spans="1:7" x14ac:dyDescent="0.2">
      <c r="A4543" s="2" t="s">
        <v>69</v>
      </c>
      <c r="B4543" s="14">
        <v>38047</v>
      </c>
      <c r="C4543" s="2">
        <v>0</v>
      </c>
      <c r="E4543" s="2">
        <v>1</v>
      </c>
      <c r="F4543" s="2">
        <v>6.4495142944959102E-2</v>
      </c>
      <c r="G4543" s="2">
        <v>2</v>
      </c>
    </row>
    <row r="4544" spans="1:7" x14ac:dyDescent="0.2">
      <c r="A4544" s="2" t="s">
        <v>69</v>
      </c>
      <c r="B4544" s="14">
        <v>38078</v>
      </c>
      <c r="C4544" s="2">
        <v>0</v>
      </c>
      <c r="E4544" s="2">
        <v>1</v>
      </c>
      <c r="F4544" s="2">
        <v>6.0348072641215701E-2</v>
      </c>
      <c r="G4544" s="2">
        <v>2</v>
      </c>
    </row>
    <row r="4545" spans="1:7" x14ac:dyDescent="0.2">
      <c r="A4545" s="2" t="s">
        <v>69</v>
      </c>
      <c r="B4545" s="14">
        <v>38108</v>
      </c>
      <c r="C4545" s="2">
        <v>5.8552782865999996E-4</v>
      </c>
      <c r="D4545" s="19">
        <v>2.1493577000000001E-5</v>
      </c>
      <c r="E4545" s="2">
        <v>1</v>
      </c>
      <c r="F4545" s="2">
        <v>6.3871580284827298E-2</v>
      </c>
      <c r="G4545" s="2">
        <v>2</v>
      </c>
    </row>
    <row r="4546" spans="1:7" x14ac:dyDescent="0.2">
      <c r="A4546" s="2" t="s">
        <v>69</v>
      </c>
      <c r="B4546" s="14">
        <v>38139</v>
      </c>
      <c r="C4546" s="2">
        <v>1.4814814815000001E-2</v>
      </c>
      <c r="D4546" s="2">
        <v>0</v>
      </c>
      <c r="E4546" s="2">
        <v>1</v>
      </c>
      <c r="F4546" s="2">
        <v>5.4977246486603903E-2</v>
      </c>
      <c r="G4546" s="2">
        <v>2</v>
      </c>
    </row>
    <row r="4547" spans="1:7" x14ac:dyDescent="0.2">
      <c r="A4547" s="2" t="s">
        <v>69</v>
      </c>
      <c r="B4547" s="14">
        <v>38169</v>
      </c>
      <c r="C4547" s="2">
        <v>0</v>
      </c>
      <c r="D4547" s="2">
        <v>0</v>
      </c>
      <c r="E4547" s="2">
        <v>1</v>
      </c>
      <c r="F4547" s="2">
        <v>5.3890086017807003E-2</v>
      </c>
      <c r="G4547" s="2">
        <v>2</v>
      </c>
    </row>
    <row r="4548" spans="1:7" x14ac:dyDescent="0.2">
      <c r="A4548" s="2" t="s">
        <v>69</v>
      </c>
      <c r="B4548" s="14">
        <v>38200</v>
      </c>
      <c r="C4548" s="2">
        <v>3.1640912435000002E-2</v>
      </c>
      <c r="D4548" s="2">
        <v>0</v>
      </c>
      <c r="E4548" s="2">
        <v>1</v>
      </c>
      <c r="F4548" s="2">
        <v>2.9466826372641301E-2</v>
      </c>
      <c r="G4548" s="2">
        <v>2</v>
      </c>
    </row>
    <row r="4549" spans="1:7" x14ac:dyDescent="0.2">
      <c r="A4549" s="2" t="s">
        <v>69</v>
      </c>
      <c r="B4549" s="14">
        <v>38231</v>
      </c>
      <c r="C4549" s="2">
        <v>0.56918687589000005</v>
      </c>
      <c r="D4549" s="2">
        <v>0</v>
      </c>
      <c r="E4549" s="2">
        <v>1</v>
      </c>
      <c r="F4549" s="2">
        <v>3.11482993193785E-2</v>
      </c>
      <c r="G4549" s="2">
        <v>2</v>
      </c>
    </row>
    <row r="4550" spans="1:7" x14ac:dyDescent="0.2">
      <c r="A4550" s="2" t="s">
        <v>69</v>
      </c>
      <c r="B4550" s="14">
        <v>38261</v>
      </c>
      <c r="C4550" s="2">
        <v>0.21100414331</v>
      </c>
      <c r="D4550" s="2">
        <v>0</v>
      </c>
      <c r="E4550" s="2">
        <v>1</v>
      </c>
      <c r="F4550" s="2">
        <v>4.8149390526886597E-2</v>
      </c>
      <c r="G4550" s="2">
        <v>2</v>
      </c>
    </row>
    <row r="4551" spans="1:7" x14ac:dyDescent="0.2">
      <c r="A4551" s="2" t="s">
        <v>69</v>
      </c>
      <c r="B4551" s="14">
        <v>38292</v>
      </c>
      <c r="C4551" s="2">
        <v>1.8867924527999999E-2</v>
      </c>
      <c r="D4551" s="2">
        <v>0</v>
      </c>
      <c r="E4551" s="2">
        <v>1</v>
      </c>
      <c r="F4551" s="2">
        <v>5.3677819111035197E-2</v>
      </c>
      <c r="G4551" s="2">
        <v>2</v>
      </c>
    </row>
    <row r="4552" spans="1:7" x14ac:dyDescent="0.2">
      <c r="A4552" s="2" t="s">
        <v>69</v>
      </c>
      <c r="B4552" s="14">
        <v>38322</v>
      </c>
      <c r="D4552" s="2">
        <v>0</v>
      </c>
      <c r="E4552" s="2">
        <v>1</v>
      </c>
      <c r="F4552" s="2">
        <v>5.3947237441381801E-2</v>
      </c>
      <c r="G4552" s="2">
        <v>2</v>
      </c>
    </row>
    <row r="4553" spans="1:7" x14ac:dyDescent="0.2">
      <c r="A4553" s="2" t="s">
        <v>69</v>
      </c>
      <c r="B4553" s="14">
        <v>38353</v>
      </c>
      <c r="C4553" s="2">
        <v>5.5555555554999997E-2</v>
      </c>
      <c r="D4553" s="2">
        <v>0</v>
      </c>
      <c r="E4553" s="2">
        <v>1</v>
      </c>
      <c r="G4553" s="2">
        <v>2</v>
      </c>
    </row>
    <row r="4554" spans="1:7" x14ac:dyDescent="0.2">
      <c r="A4554" s="2" t="s">
        <v>69</v>
      </c>
      <c r="B4554" s="14">
        <v>38384</v>
      </c>
      <c r="C4554" s="2">
        <v>-1.7543859649000001E-2</v>
      </c>
      <c r="D4554" s="2">
        <v>0</v>
      </c>
      <c r="E4554" s="2">
        <v>1</v>
      </c>
      <c r="F4554" s="2">
        <v>5.4999961940155703E-2</v>
      </c>
      <c r="G4554" s="2">
        <v>2</v>
      </c>
    </row>
    <row r="4555" spans="1:7" x14ac:dyDescent="0.2">
      <c r="A4555" s="2" t="s">
        <v>69</v>
      </c>
      <c r="B4555" s="14">
        <v>38412</v>
      </c>
      <c r="C4555" s="2">
        <v>3.5714285714000003E-2</v>
      </c>
      <c r="D4555" s="2">
        <v>0</v>
      </c>
      <c r="E4555" s="2">
        <v>1</v>
      </c>
      <c r="F4555" s="2">
        <v>5.3595974152797599E-2</v>
      </c>
      <c r="G4555" s="2">
        <v>2</v>
      </c>
    </row>
    <row r="4556" spans="1:7" x14ac:dyDescent="0.2">
      <c r="A4556" s="2" t="s">
        <v>69</v>
      </c>
      <c r="B4556" s="14">
        <v>38443</v>
      </c>
      <c r="C4556" s="2">
        <v>-1.7241379311000001E-2</v>
      </c>
      <c r="D4556" s="2">
        <v>0</v>
      </c>
      <c r="E4556" s="2">
        <v>1</v>
      </c>
      <c r="F4556" s="2">
        <v>3.8078924724956498E-2</v>
      </c>
      <c r="G4556" s="2">
        <v>2</v>
      </c>
    </row>
    <row r="4557" spans="1:7" x14ac:dyDescent="0.2">
      <c r="A4557" s="2" t="s">
        <v>69</v>
      </c>
      <c r="B4557" s="14">
        <v>38473</v>
      </c>
      <c r="C4557" s="2">
        <v>0.12746976082</v>
      </c>
      <c r="D4557" s="2">
        <v>0</v>
      </c>
      <c r="E4557" s="2">
        <v>1</v>
      </c>
      <c r="F4557" s="2">
        <v>3.1630387410955897E-2</v>
      </c>
      <c r="G4557" s="2">
        <v>2</v>
      </c>
    </row>
    <row r="4558" spans="1:7" x14ac:dyDescent="0.2">
      <c r="A4558" s="2" t="s">
        <v>69</v>
      </c>
      <c r="B4558" s="14">
        <v>38504</v>
      </c>
      <c r="C4558" s="2">
        <v>-8.6940477417000006E-2</v>
      </c>
      <c r="D4558" s="2">
        <v>0</v>
      </c>
      <c r="E4558" s="2">
        <v>1</v>
      </c>
      <c r="F4558" s="2">
        <v>3.4462253286676597E-2</v>
      </c>
      <c r="G4558" s="2">
        <v>2</v>
      </c>
    </row>
    <row r="4559" spans="1:7" x14ac:dyDescent="0.2">
      <c r="A4559" s="2" t="s">
        <v>69</v>
      </c>
      <c r="B4559" s="14">
        <v>38534</v>
      </c>
      <c r="C4559" s="2">
        <v>5.0000000001000001E-2</v>
      </c>
      <c r="D4559" s="19">
        <v>2.4848939E-6</v>
      </c>
      <c r="E4559" s="2">
        <v>1</v>
      </c>
      <c r="F4559" s="2">
        <v>3.2310534154840802E-2</v>
      </c>
      <c r="G4559" s="2">
        <v>2</v>
      </c>
    </row>
    <row r="4560" spans="1:7" x14ac:dyDescent="0.2">
      <c r="A4560" s="2" t="s">
        <v>69</v>
      </c>
      <c r="B4560" s="14">
        <v>38565</v>
      </c>
      <c r="D4560" s="2">
        <v>0</v>
      </c>
      <c r="E4560" s="2">
        <v>1</v>
      </c>
      <c r="G4560" s="2">
        <v>2</v>
      </c>
    </row>
    <row r="4561" spans="1:7" x14ac:dyDescent="0.2">
      <c r="A4561" s="2" t="s">
        <v>69</v>
      </c>
      <c r="B4561" s="14">
        <v>38596</v>
      </c>
      <c r="C4561" s="2">
        <v>-0.18367346939000001</v>
      </c>
      <c r="D4561" s="2">
        <v>0</v>
      </c>
      <c r="E4561" s="2">
        <v>1</v>
      </c>
      <c r="G4561" s="2">
        <v>2</v>
      </c>
    </row>
    <row r="4562" spans="1:7" x14ac:dyDescent="0.2">
      <c r="A4562" s="2" t="s">
        <v>69</v>
      </c>
      <c r="B4562" s="14">
        <v>38626</v>
      </c>
      <c r="C4562" s="2">
        <v>-8.3333333334000004E-2</v>
      </c>
      <c r="D4562" s="2">
        <v>0</v>
      </c>
      <c r="E4562" s="2">
        <v>1</v>
      </c>
      <c r="G4562" s="2">
        <v>2</v>
      </c>
    </row>
    <row r="4563" spans="1:7" x14ac:dyDescent="0.2">
      <c r="A4563" s="2" t="s">
        <v>69</v>
      </c>
      <c r="B4563" s="14">
        <v>38657</v>
      </c>
      <c r="C4563" s="2">
        <v>-8.5909090908999994E-2</v>
      </c>
      <c r="D4563" s="2">
        <v>0</v>
      </c>
      <c r="E4563" s="2">
        <v>1</v>
      </c>
      <c r="G4563" s="2">
        <v>2</v>
      </c>
    </row>
    <row r="4564" spans="1:7" x14ac:dyDescent="0.2">
      <c r="A4564" s="2" t="s">
        <v>69</v>
      </c>
      <c r="B4564" s="14">
        <v>38687</v>
      </c>
      <c r="C4564" s="2">
        <v>0</v>
      </c>
      <c r="D4564" s="2">
        <v>0</v>
      </c>
      <c r="E4564" s="2">
        <v>1</v>
      </c>
      <c r="G4564" s="2">
        <v>2</v>
      </c>
    </row>
    <row r="4565" spans="1:7" x14ac:dyDescent="0.2">
      <c r="A4565" s="2" t="s">
        <v>69</v>
      </c>
      <c r="B4565" s="14">
        <v>38718</v>
      </c>
      <c r="C4565" s="2">
        <v>1.6901926926999999E-2</v>
      </c>
      <c r="D4565" s="2">
        <v>0</v>
      </c>
      <c r="E4565" s="2">
        <v>1</v>
      </c>
      <c r="G4565" s="2">
        <v>2</v>
      </c>
    </row>
    <row r="4566" spans="1:7" x14ac:dyDescent="0.2">
      <c r="A4566" s="2" t="s">
        <v>69</v>
      </c>
      <c r="B4566" s="14">
        <v>38749</v>
      </c>
      <c r="D4566" s="2">
        <v>0</v>
      </c>
      <c r="E4566" s="2">
        <v>1</v>
      </c>
      <c r="G4566" s="2">
        <v>2</v>
      </c>
    </row>
    <row r="4567" spans="1:7" x14ac:dyDescent="0.2">
      <c r="A4567" s="2" t="s">
        <v>69</v>
      </c>
      <c r="B4567" s="14">
        <v>38777</v>
      </c>
      <c r="D4567" s="2">
        <v>0</v>
      </c>
      <c r="E4567" s="2">
        <v>1</v>
      </c>
      <c r="G4567" s="2">
        <v>2</v>
      </c>
    </row>
    <row r="4568" spans="1:7" x14ac:dyDescent="0.2">
      <c r="A4568" s="2" t="s">
        <v>69</v>
      </c>
      <c r="B4568" s="14">
        <v>38808</v>
      </c>
      <c r="C4568" s="2">
        <v>-0.17499999999999999</v>
      </c>
      <c r="D4568" s="2">
        <v>0</v>
      </c>
      <c r="E4568" s="2">
        <v>1</v>
      </c>
      <c r="G4568" s="2">
        <v>2</v>
      </c>
    </row>
    <row r="4569" spans="1:7" x14ac:dyDescent="0.2">
      <c r="A4569" s="2" t="s">
        <v>69</v>
      </c>
      <c r="B4569" s="14">
        <v>38838</v>
      </c>
      <c r="C4569" s="2">
        <v>-0.15008716258999999</v>
      </c>
      <c r="D4569" s="2">
        <v>0</v>
      </c>
      <c r="E4569" s="2">
        <v>1</v>
      </c>
      <c r="G4569" s="2">
        <v>2</v>
      </c>
    </row>
    <row r="4570" spans="1:7" x14ac:dyDescent="0.2">
      <c r="A4570" s="2" t="s">
        <v>69</v>
      </c>
      <c r="B4570" s="14">
        <v>38869</v>
      </c>
      <c r="C4570" s="2">
        <v>0</v>
      </c>
      <c r="D4570" s="19">
        <v>7.7638367999999998E-5</v>
      </c>
      <c r="E4570" s="2">
        <v>1</v>
      </c>
      <c r="G4570" s="2">
        <v>2</v>
      </c>
    </row>
    <row r="4571" spans="1:7" x14ac:dyDescent="0.2">
      <c r="A4571" s="2" t="s">
        <v>69</v>
      </c>
      <c r="B4571" s="14">
        <v>38899</v>
      </c>
      <c r="C4571" s="2">
        <v>-0.18613138686</v>
      </c>
      <c r="D4571" s="2">
        <v>0</v>
      </c>
      <c r="E4571" s="2">
        <v>1</v>
      </c>
      <c r="G4571" s="2">
        <v>2</v>
      </c>
    </row>
    <row r="4572" spans="1:7" x14ac:dyDescent="0.2">
      <c r="A4572" s="2" t="s">
        <v>69</v>
      </c>
      <c r="B4572" s="14">
        <v>38930</v>
      </c>
      <c r="C4572" s="2">
        <v>2.2421524663999999E-2</v>
      </c>
      <c r="D4572" s="19">
        <v>8.6722051E-5</v>
      </c>
      <c r="E4572" s="2">
        <v>1</v>
      </c>
      <c r="F4572" s="2">
        <v>1.38261740453063E-2</v>
      </c>
      <c r="G4572" s="2">
        <v>2</v>
      </c>
    </row>
    <row r="4573" spans="1:7" x14ac:dyDescent="0.2">
      <c r="A4573" s="2" t="s">
        <v>69</v>
      </c>
      <c r="B4573" s="14">
        <v>38961</v>
      </c>
      <c r="C4573" s="2">
        <v>-7.0175438596000006E-2</v>
      </c>
      <c r="D4573" s="19">
        <v>2.9129915000000001E-5</v>
      </c>
      <c r="E4573" s="2">
        <v>1</v>
      </c>
      <c r="F4573" s="2">
        <v>1.44864611017166E-2</v>
      </c>
      <c r="G4573" s="2">
        <v>2</v>
      </c>
    </row>
    <row r="4574" spans="1:7" x14ac:dyDescent="0.2">
      <c r="A4574" s="2" t="s">
        <v>69</v>
      </c>
      <c r="B4574" s="14">
        <v>38991</v>
      </c>
      <c r="D4574" s="2">
        <v>0</v>
      </c>
      <c r="E4574" s="2">
        <v>1</v>
      </c>
      <c r="F4574" s="2">
        <v>1.24827861951616E-2</v>
      </c>
      <c r="G4574" s="2">
        <v>2</v>
      </c>
    </row>
    <row r="4575" spans="1:7" x14ac:dyDescent="0.2">
      <c r="A4575" s="2" t="s">
        <v>69</v>
      </c>
      <c r="B4575" s="14">
        <v>39022</v>
      </c>
      <c r="D4575" s="2">
        <v>0</v>
      </c>
      <c r="E4575" s="2">
        <v>1</v>
      </c>
      <c r="G4575" s="2">
        <v>2</v>
      </c>
    </row>
    <row r="4576" spans="1:7" x14ac:dyDescent="0.2">
      <c r="A4576" s="2" t="s">
        <v>69</v>
      </c>
      <c r="B4576" s="14">
        <v>39052</v>
      </c>
      <c r="C4576" s="2">
        <v>0.22641509434000001</v>
      </c>
      <c r="D4576" s="2">
        <v>0</v>
      </c>
      <c r="E4576" s="2">
        <v>1</v>
      </c>
      <c r="G4576" s="2">
        <v>2</v>
      </c>
    </row>
    <row r="4577" spans="1:7" x14ac:dyDescent="0.2">
      <c r="A4577" s="2" t="s">
        <v>69</v>
      </c>
      <c r="B4577" s="14">
        <v>39083</v>
      </c>
      <c r="D4577" s="2">
        <v>0</v>
      </c>
      <c r="E4577" s="2">
        <v>1</v>
      </c>
      <c r="F4577" s="2">
        <v>2.9033720893166901E-2</v>
      </c>
      <c r="G4577" s="2">
        <v>2</v>
      </c>
    </row>
    <row r="4578" spans="1:7" x14ac:dyDescent="0.2">
      <c r="A4578" s="2" t="s">
        <v>69</v>
      </c>
      <c r="B4578" s="14">
        <v>39114</v>
      </c>
      <c r="C4578" s="2">
        <v>6.1538461539E-2</v>
      </c>
      <c r="D4578" s="2">
        <v>0</v>
      </c>
      <c r="E4578" s="2">
        <v>1</v>
      </c>
      <c r="G4578" s="2">
        <v>2</v>
      </c>
    </row>
    <row r="4579" spans="1:7" x14ac:dyDescent="0.2">
      <c r="A4579" s="2" t="s">
        <v>69</v>
      </c>
      <c r="B4579" s="14">
        <v>39142</v>
      </c>
      <c r="D4579" s="2">
        <v>0</v>
      </c>
      <c r="E4579" s="2">
        <v>1</v>
      </c>
      <c r="F4579" s="2">
        <v>3.5470584464759897E-2</v>
      </c>
      <c r="G4579" s="2">
        <v>2</v>
      </c>
    </row>
    <row r="4580" spans="1:7" x14ac:dyDescent="0.2">
      <c r="A4580" s="2" t="s">
        <v>69</v>
      </c>
      <c r="B4580" s="14">
        <v>39173</v>
      </c>
      <c r="D4580" s="2">
        <v>0</v>
      </c>
      <c r="E4580" s="2">
        <v>1</v>
      </c>
      <c r="G4580" s="2">
        <v>2</v>
      </c>
    </row>
    <row r="4581" spans="1:7" x14ac:dyDescent="0.2">
      <c r="A4581" s="2" t="s">
        <v>69</v>
      </c>
      <c r="B4581" s="14">
        <v>39203</v>
      </c>
      <c r="C4581" s="2">
        <v>0</v>
      </c>
      <c r="D4581" s="2">
        <v>0</v>
      </c>
      <c r="E4581" s="2">
        <v>1</v>
      </c>
      <c r="G4581" s="2">
        <v>2</v>
      </c>
    </row>
    <row r="4582" spans="1:7" x14ac:dyDescent="0.2">
      <c r="A4582" s="2" t="s">
        <v>69</v>
      </c>
      <c r="B4582" s="14">
        <v>39234</v>
      </c>
      <c r="C4582" s="2">
        <v>0.23188405797</v>
      </c>
      <c r="D4582" s="2">
        <v>0</v>
      </c>
      <c r="E4582" s="2">
        <v>1</v>
      </c>
      <c r="F4582" s="2">
        <v>3.72108022574738E-2</v>
      </c>
      <c r="G4582" s="2">
        <v>2</v>
      </c>
    </row>
    <row r="4583" spans="1:7" x14ac:dyDescent="0.2">
      <c r="A4583" s="2" t="s">
        <v>69</v>
      </c>
      <c r="B4583" s="14">
        <v>39264</v>
      </c>
      <c r="D4583" s="2">
        <v>0</v>
      </c>
      <c r="E4583" s="2">
        <v>1</v>
      </c>
      <c r="F4583" s="2">
        <v>3.7373842222340803E-2</v>
      </c>
      <c r="G4583" s="2">
        <v>2</v>
      </c>
    </row>
    <row r="4584" spans="1:7" x14ac:dyDescent="0.2">
      <c r="A4584" s="2" t="s">
        <v>69</v>
      </c>
      <c r="B4584" s="14">
        <v>39295</v>
      </c>
      <c r="C4584" s="2">
        <v>5.8823529410999997E-2</v>
      </c>
      <c r="D4584" s="19">
        <v>5.0092271999999998E-5</v>
      </c>
      <c r="E4584" s="2">
        <v>1</v>
      </c>
      <c r="G4584" s="2">
        <v>2</v>
      </c>
    </row>
    <row r="4585" spans="1:7" x14ac:dyDescent="0.2">
      <c r="A4585" s="2" t="s">
        <v>69</v>
      </c>
      <c r="B4585" s="14">
        <v>39326</v>
      </c>
      <c r="D4585" s="2">
        <v>0</v>
      </c>
      <c r="E4585" s="2">
        <v>1</v>
      </c>
      <c r="F4585" s="2">
        <v>4.4395672811884702E-2</v>
      </c>
      <c r="G4585" s="2">
        <v>2</v>
      </c>
    </row>
    <row r="4586" spans="1:7" x14ac:dyDescent="0.2">
      <c r="A4586" s="2" t="s">
        <v>69</v>
      </c>
      <c r="B4586" s="14">
        <v>39356</v>
      </c>
      <c r="C4586" s="2">
        <v>0</v>
      </c>
      <c r="D4586" s="2">
        <v>0</v>
      </c>
      <c r="E4586" s="2">
        <v>1</v>
      </c>
      <c r="G4586" s="2">
        <v>2</v>
      </c>
    </row>
    <row r="4587" spans="1:7" x14ac:dyDescent="0.2">
      <c r="A4587" s="2" t="s">
        <v>69</v>
      </c>
      <c r="B4587" s="14">
        <v>39387</v>
      </c>
      <c r="C4587" s="2">
        <v>0.11111111110999999</v>
      </c>
      <c r="D4587" s="2">
        <v>0</v>
      </c>
      <c r="E4587" s="2">
        <v>1</v>
      </c>
      <c r="F4587" s="2">
        <v>4.41057552436942E-2</v>
      </c>
      <c r="G4587" s="2">
        <v>2</v>
      </c>
    </row>
    <row r="4588" spans="1:7" x14ac:dyDescent="0.2">
      <c r="A4588" s="2" t="s">
        <v>69</v>
      </c>
      <c r="B4588" s="14">
        <v>39417</v>
      </c>
      <c r="D4588" s="2">
        <v>0</v>
      </c>
      <c r="E4588" s="2">
        <v>1</v>
      </c>
      <c r="F4588" s="2">
        <v>4.6905592838818802E-2</v>
      </c>
      <c r="G4588" s="2">
        <v>2</v>
      </c>
    </row>
    <row r="4589" spans="1:7" x14ac:dyDescent="0.2">
      <c r="A4589" s="2" t="s">
        <v>69</v>
      </c>
      <c r="B4589" s="14">
        <v>39448</v>
      </c>
      <c r="C4589" s="2">
        <v>-5.0000000009999999E-4</v>
      </c>
      <c r="D4589" s="2">
        <v>0</v>
      </c>
      <c r="E4589" s="2">
        <v>1</v>
      </c>
      <c r="G4589" s="2">
        <v>2</v>
      </c>
    </row>
    <row r="4590" spans="1:7" x14ac:dyDescent="0.2">
      <c r="A4590" s="2" t="s">
        <v>69</v>
      </c>
      <c r="B4590" s="14">
        <v>39479</v>
      </c>
      <c r="C4590" s="2">
        <v>-2.4512256129000001E-2</v>
      </c>
      <c r="D4590" s="2">
        <v>0</v>
      </c>
      <c r="E4590" s="2">
        <v>1</v>
      </c>
      <c r="F4590" s="2">
        <v>3.9953929882292398E-2</v>
      </c>
      <c r="G4590" s="2">
        <v>2</v>
      </c>
    </row>
    <row r="4591" spans="1:7" x14ac:dyDescent="0.2">
      <c r="A4591" s="2" t="s">
        <v>69</v>
      </c>
      <c r="B4591" s="14">
        <v>39508</v>
      </c>
      <c r="D4591" s="2">
        <v>0</v>
      </c>
      <c r="E4591" s="2">
        <v>1</v>
      </c>
      <c r="F4591" s="2">
        <v>3.7729661840588902E-2</v>
      </c>
      <c r="G4591" s="2">
        <v>2</v>
      </c>
    </row>
    <row r="4592" spans="1:7" x14ac:dyDescent="0.2">
      <c r="A4592" s="2" t="s">
        <v>69</v>
      </c>
      <c r="B4592" s="14">
        <v>39539</v>
      </c>
      <c r="D4592" s="2">
        <v>0</v>
      </c>
      <c r="E4592" s="2">
        <v>1</v>
      </c>
      <c r="G4592" s="2">
        <v>2</v>
      </c>
    </row>
    <row r="4593" spans="1:7" x14ac:dyDescent="0.2">
      <c r="A4593" s="2" t="s">
        <v>69</v>
      </c>
      <c r="B4593" s="14">
        <v>39569</v>
      </c>
      <c r="C4593" s="2">
        <v>-6.8073254765999999E-2</v>
      </c>
      <c r="D4593" s="2">
        <v>0</v>
      </c>
      <c r="E4593" s="2">
        <v>1</v>
      </c>
      <c r="G4593" s="2">
        <v>2</v>
      </c>
    </row>
    <row r="4594" spans="1:7" x14ac:dyDescent="0.2">
      <c r="A4594" s="2" t="s">
        <v>69</v>
      </c>
      <c r="B4594" s="14">
        <v>39600</v>
      </c>
      <c r="C4594" s="2">
        <v>0</v>
      </c>
      <c r="D4594" s="2">
        <v>0</v>
      </c>
      <c r="E4594" s="2">
        <v>1</v>
      </c>
      <c r="F4594" s="2">
        <v>3.2982722462026298E-2</v>
      </c>
      <c r="G4594" s="2">
        <v>2</v>
      </c>
    </row>
    <row r="4595" spans="1:7" x14ac:dyDescent="0.2">
      <c r="A4595" s="2" t="s">
        <v>69</v>
      </c>
      <c r="B4595" s="14">
        <v>39630</v>
      </c>
      <c r="D4595" s="2">
        <v>0</v>
      </c>
      <c r="E4595" s="2">
        <v>1</v>
      </c>
      <c r="F4595" s="2">
        <v>3.2177504947619E-2</v>
      </c>
      <c r="G4595" s="2">
        <v>2</v>
      </c>
    </row>
    <row r="4596" spans="1:7" x14ac:dyDescent="0.2">
      <c r="A4596" s="2" t="s">
        <v>69</v>
      </c>
      <c r="B4596" s="14">
        <v>39661</v>
      </c>
      <c r="D4596" s="2">
        <v>0</v>
      </c>
      <c r="E4596" s="2">
        <v>1</v>
      </c>
      <c r="G4596" s="2">
        <v>2</v>
      </c>
    </row>
    <row r="4597" spans="1:7" x14ac:dyDescent="0.2">
      <c r="A4597" s="2" t="s">
        <v>69</v>
      </c>
      <c r="B4597" s="14">
        <v>39692</v>
      </c>
      <c r="D4597" s="19">
        <v>2.0888156000000001E-5</v>
      </c>
      <c r="E4597" s="2">
        <v>1</v>
      </c>
      <c r="G4597" s="2">
        <v>2</v>
      </c>
    </row>
    <row r="4598" spans="1:7" x14ac:dyDescent="0.2">
      <c r="A4598" s="2" t="s">
        <v>69</v>
      </c>
      <c r="B4598" s="14">
        <v>39722</v>
      </c>
      <c r="C4598" s="19">
        <v>2.6793022698000002E-6</v>
      </c>
      <c r="D4598" s="2">
        <v>0</v>
      </c>
      <c r="E4598" s="2">
        <v>1</v>
      </c>
      <c r="G4598" s="2">
        <v>2</v>
      </c>
    </row>
    <row r="4599" spans="1:7" x14ac:dyDescent="0.2">
      <c r="A4599" s="2" t="s">
        <v>69</v>
      </c>
      <c r="B4599" s="14">
        <v>39753</v>
      </c>
      <c r="D4599" s="2">
        <v>0</v>
      </c>
      <c r="E4599" s="2">
        <v>1</v>
      </c>
      <c r="G4599" s="2">
        <v>2</v>
      </c>
    </row>
    <row r="4600" spans="1:7" x14ac:dyDescent="0.2">
      <c r="A4600" s="2" t="s">
        <v>69</v>
      </c>
      <c r="B4600" s="14">
        <v>39783</v>
      </c>
      <c r="D4600" s="2">
        <v>0</v>
      </c>
      <c r="E4600" s="2">
        <v>1</v>
      </c>
      <c r="G4600" s="2">
        <v>2</v>
      </c>
    </row>
    <row r="4601" spans="1:7" x14ac:dyDescent="0.2">
      <c r="A4601" s="2" t="s">
        <v>70</v>
      </c>
      <c r="B4601" s="14">
        <v>37591</v>
      </c>
      <c r="C4601" s="2">
        <v>-3.7735901680000003E-2</v>
      </c>
      <c r="D4601" s="19">
        <v>-1.1836017E-5</v>
      </c>
      <c r="E4601" s="2">
        <v>1</v>
      </c>
      <c r="G4601" s="2">
        <v>2</v>
      </c>
    </row>
    <row r="4602" spans="1:7" x14ac:dyDescent="0.2">
      <c r="A4602" s="2" t="s">
        <v>70</v>
      </c>
      <c r="B4602" s="14">
        <v>37622</v>
      </c>
      <c r="C4602" s="2">
        <v>0.13865602746</v>
      </c>
      <c r="D4602" s="2">
        <v>0</v>
      </c>
      <c r="E4602" s="2">
        <v>1</v>
      </c>
      <c r="G4602" s="2">
        <v>2</v>
      </c>
    </row>
    <row r="4603" spans="1:7" x14ac:dyDescent="0.2">
      <c r="A4603" s="2" t="s">
        <v>70</v>
      </c>
      <c r="B4603" s="14">
        <v>37653</v>
      </c>
      <c r="C4603" s="2">
        <v>7.2727203350999997E-3</v>
      </c>
      <c r="D4603" s="19">
        <v>6.9832095000000003E-7</v>
      </c>
      <c r="E4603" s="2">
        <v>1</v>
      </c>
      <c r="G4603" s="2">
        <v>2</v>
      </c>
    </row>
    <row r="4604" spans="1:7" x14ac:dyDescent="0.2">
      <c r="A4604" s="2" t="s">
        <v>70</v>
      </c>
      <c r="B4604" s="14">
        <v>37681</v>
      </c>
      <c r="C4604" s="2">
        <v>8.3032498432999993E-2</v>
      </c>
      <c r="D4604" s="2">
        <v>0</v>
      </c>
      <c r="E4604" s="2">
        <v>1</v>
      </c>
      <c r="G4604" s="2">
        <v>2</v>
      </c>
    </row>
    <row r="4605" spans="1:7" x14ac:dyDescent="0.2">
      <c r="A4605" s="2" t="s">
        <v>70</v>
      </c>
      <c r="B4605" s="14">
        <v>37712</v>
      </c>
      <c r="C4605" s="2">
        <v>5.6666692099E-2</v>
      </c>
      <c r="D4605" s="2">
        <v>0</v>
      </c>
      <c r="E4605" s="2">
        <v>1</v>
      </c>
      <c r="G4605" s="2">
        <v>2</v>
      </c>
    </row>
    <row r="4606" spans="1:7" x14ac:dyDescent="0.2">
      <c r="A4606" s="2" t="s">
        <v>70</v>
      </c>
      <c r="B4606" s="14">
        <v>37742</v>
      </c>
      <c r="C4606" s="2">
        <v>9.4637131460000006E-3</v>
      </c>
      <c r="D4606" s="2">
        <v>0</v>
      </c>
      <c r="E4606" s="2">
        <v>1</v>
      </c>
      <c r="G4606" s="2">
        <v>2</v>
      </c>
    </row>
    <row r="4607" spans="1:7" x14ac:dyDescent="0.2">
      <c r="A4607" s="2" t="s">
        <v>70</v>
      </c>
      <c r="B4607" s="14">
        <v>37773</v>
      </c>
      <c r="C4607" s="2">
        <v>6.6432050558E-2</v>
      </c>
      <c r="D4607" s="19">
        <v>-6.9946793E-5</v>
      </c>
      <c r="E4607" s="2">
        <v>1</v>
      </c>
      <c r="G4607" s="2">
        <v>2</v>
      </c>
    </row>
    <row r="4608" spans="1:7" x14ac:dyDescent="0.2">
      <c r="A4608" s="2" t="s">
        <v>70</v>
      </c>
      <c r="B4608" s="14">
        <v>37803</v>
      </c>
      <c r="D4608" s="19">
        <v>1.4130524999999999E-6</v>
      </c>
      <c r="E4608" s="2">
        <v>1</v>
      </c>
      <c r="G4608" s="2">
        <v>2</v>
      </c>
    </row>
    <row r="4609" spans="1:7" x14ac:dyDescent="0.2">
      <c r="A4609" s="2" t="s">
        <v>70</v>
      </c>
      <c r="B4609" s="14">
        <v>37834</v>
      </c>
      <c r="C4609" s="2">
        <v>0.19062496438000001</v>
      </c>
      <c r="D4609" s="19">
        <v>2.5012985000000002E-5</v>
      </c>
      <c r="E4609" s="2">
        <v>1</v>
      </c>
      <c r="G4609" s="2">
        <v>2</v>
      </c>
    </row>
    <row r="4610" spans="1:7" x14ac:dyDescent="0.2">
      <c r="A4610" s="2" t="s">
        <v>70</v>
      </c>
      <c r="B4610" s="14">
        <v>37865</v>
      </c>
      <c r="D4610" s="19">
        <v>5.0804072E-5</v>
      </c>
      <c r="E4610" s="2">
        <v>1</v>
      </c>
      <c r="F4610" s="2">
        <v>7.2236313142482494E-2</v>
      </c>
      <c r="G4610" s="2">
        <v>2</v>
      </c>
    </row>
    <row r="4611" spans="1:7" x14ac:dyDescent="0.2">
      <c r="A4611" s="2" t="s">
        <v>70</v>
      </c>
      <c r="B4611" s="14">
        <v>37895</v>
      </c>
      <c r="C4611" s="2">
        <v>2.6246757099000002E-2</v>
      </c>
      <c r="D4611" s="19">
        <v>-3.0462681E-5</v>
      </c>
      <c r="E4611" s="2">
        <v>1</v>
      </c>
      <c r="G4611" s="2">
        <v>2</v>
      </c>
    </row>
    <row r="4612" spans="1:7" x14ac:dyDescent="0.2">
      <c r="A4612" s="2" t="s">
        <v>70</v>
      </c>
      <c r="B4612" s="14">
        <v>37926</v>
      </c>
      <c r="D4612" s="19">
        <v>3.9572105000000004E-6</v>
      </c>
      <c r="E4612" s="2">
        <v>1</v>
      </c>
      <c r="F4612" s="2">
        <v>6.8858378855632604E-2</v>
      </c>
      <c r="G4612" s="2">
        <v>2</v>
      </c>
    </row>
    <row r="4613" spans="1:7" x14ac:dyDescent="0.2">
      <c r="A4613" s="2" t="s">
        <v>70</v>
      </c>
      <c r="B4613" s="14">
        <v>37956</v>
      </c>
      <c r="D4613" s="19">
        <v>-4.7201959999999997E-5</v>
      </c>
      <c r="E4613" s="2">
        <v>1</v>
      </c>
      <c r="G4613" s="2">
        <v>2</v>
      </c>
    </row>
    <row r="4614" spans="1:7" x14ac:dyDescent="0.2">
      <c r="A4614" s="2" t="s">
        <v>70</v>
      </c>
      <c r="B4614" s="14">
        <v>37987</v>
      </c>
      <c r="E4614" s="2">
        <v>1</v>
      </c>
      <c r="G4614" s="2">
        <v>2</v>
      </c>
    </row>
    <row r="4615" spans="1:7" x14ac:dyDescent="0.2">
      <c r="A4615" s="2" t="s">
        <v>70</v>
      </c>
      <c r="B4615" s="14">
        <v>38018</v>
      </c>
      <c r="E4615" s="2">
        <v>1</v>
      </c>
      <c r="G4615" s="2">
        <v>2</v>
      </c>
    </row>
    <row r="4616" spans="1:7" x14ac:dyDescent="0.2">
      <c r="A4616" s="2" t="s">
        <v>70</v>
      </c>
      <c r="B4616" s="14">
        <v>38047</v>
      </c>
      <c r="C4616" s="19">
        <v>-2.1950654627000001E-8</v>
      </c>
      <c r="D4616" s="2">
        <v>0</v>
      </c>
      <c r="E4616" s="2">
        <v>1</v>
      </c>
      <c r="G4616" s="2">
        <v>2</v>
      </c>
    </row>
    <row r="4617" spans="1:7" x14ac:dyDescent="0.2">
      <c r="A4617" s="2" t="s">
        <v>70</v>
      </c>
      <c r="B4617" s="14">
        <v>38078</v>
      </c>
      <c r="D4617" s="2">
        <v>0</v>
      </c>
      <c r="E4617" s="2">
        <v>1</v>
      </c>
      <c r="F4617" s="2">
        <v>6.1259038811136597E-2</v>
      </c>
      <c r="G4617" s="2">
        <v>2</v>
      </c>
    </row>
    <row r="4618" spans="1:7" x14ac:dyDescent="0.2">
      <c r="A4618" s="2" t="s">
        <v>70</v>
      </c>
      <c r="B4618" s="14">
        <v>38108</v>
      </c>
      <c r="D4618" s="2">
        <v>0</v>
      </c>
      <c r="E4618" s="2">
        <v>1</v>
      </c>
      <c r="G4618" s="2">
        <v>2</v>
      </c>
    </row>
    <row r="4619" spans="1:7" x14ac:dyDescent="0.2">
      <c r="A4619" s="2" t="s">
        <v>70</v>
      </c>
      <c r="B4619" s="14">
        <v>38139</v>
      </c>
      <c r="C4619" s="2">
        <v>0.26404494381999999</v>
      </c>
      <c r="D4619" s="2">
        <v>0</v>
      </c>
      <c r="E4619" s="2">
        <v>1</v>
      </c>
      <c r="G4619" s="2">
        <v>2</v>
      </c>
    </row>
    <row r="4620" spans="1:7" x14ac:dyDescent="0.2">
      <c r="A4620" s="2" t="s">
        <v>70</v>
      </c>
      <c r="B4620" s="14">
        <v>38169</v>
      </c>
      <c r="D4620" s="2">
        <v>0</v>
      </c>
      <c r="E4620" s="2">
        <v>1</v>
      </c>
      <c r="F4620" s="2">
        <v>6.8893739180476199E-2</v>
      </c>
      <c r="G4620" s="2">
        <v>2</v>
      </c>
    </row>
    <row r="4621" spans="1:7" x14ac:dyDescent="0.2">
      <c r="A4621" s="2" t="s">
        <v>70</v>
      </c>
      <c r="B4621" s="14">
        <v>38200</v>
      </c>
      <c r="C4621" s="2">
        <v>1.2222222222000001</v>
      </c>
      <c r="D4621" s="2">
        <v>0</v>
      </c>
      <c r="E4621" s="2">
        <v>1</v>
      </c>
      <c r="G4621" s="2">
        <v>2</v>
      </c>
    </row>
    <row r="4622" spans="1:7" x14ac:dyDescent="0.2">
      <c r="A4622" s="2" t="s">
        <v>70</v>
      </c>
      <c r="B4622" s="14">
        <v>38231</v>
      </c>
      <c r="C4622" s="2">
        <v>1.6</v>
      </c>
      <c r="D4622" s="2">
        <v>6.4707344000000005E-4</v>
      </c>
      <c r="E4622" s="2">
        <v>1</v>
      </c>
      <c r="G4622" s="2">
        <v>2</v>
      </c>
    </row>
    <row r="4623" spans="1:7" x14ac:dyDescent="0.2">
      <c r="A4623" s="2" t="s">
        <v>70</v>
      </c>
      <c r="B4623" s="14">
        <v>38261</v>
      </c>
      <c r="C4623" s="2">
        <v>0.26923076923</v>
      </c>
      <c r="D4623" s="19">
        <v>-3.0977691000000002E-5</v>
      </c>
      <c r="E4623" s="2">
        <v>1</v>
      </c>
      <c r="G4623" s="2">
        <v>2</v>
      </c>
    </row>
    <row r="4624" spans="1:7" x14ac:dyDescent="0.2">
      <c r="A4624" s="2" t="s">
        <v>70</v>
      </c>
      <c r="B4624" s="14">
        <v>38292</v>
      </c>
      <c r="C4624" s="2">
        <v>-8.0904642182000001E-3</v>
      </c>
      <c r="D4624" s="19">
        <v>-7.2772026999999996E-6</v>
      </c>
      <c r="E4624" s="2">
        <v>1</v>
      </c>
      <c r="G4624" s="2">
        <v>2</v>
      </c>
    </row>
    <row r="4625" spans="1:7" x14ac:dyDescent="0.2">
      <c r="A4625" s="2" t="s">
        <v>70</v>
      </c>
      <c r="B4625" s="14">
        <v>38322</v>
      </c>
      <c r="C4625" s="2">
        <v>4.6153846153E-2</v>
      </c>
      <c r="D4625" s="19">
        <v>-2.6906307999999999E-5</v>
      </c>
      <c r="E4625" s="2">
        <v>1</v>
      </c>
      <c r="G4625" s="2">
        <v>2</v>
      </c>
    </row>
    <row r="4626" spans="1:7" x14ac:dyDescent="0.2">
      <c r="A4626" s="2" t="s">
        <v>70</v>
      </c>
      <c r="B4626" s="14">
        <v>38353</v>
      </c>
      <c r="C4626" s="2">
        <v>-2.9411764704000001E-2</v>
      </c>
      <c r="D4626" s="19">
        <v>-2.8277459999999999E-5</v>
      </c>
      <c r="E4626" s="2">
        <v>1</v>
      </c>
      <c r="G4626" s="2">
        <v>2</v>
      </c>
    </row>
    <row r="4627" spans="1:7" x14ac:dyDescent="0.2">
      <c r="A4627" s="2" t="s">
        <v>70</v>
      </c>
      <c r="B4627" s="14">
        <v>38384</v>
      </c>
      <c r="C4627" s="2">
        <v>-1.5151515153000001E-2</v>
      </c>
      <c r="D4627" s="2">
        <v>0</v>
      </c>
      <c r="E4627" s="2">
        <v>1</v>
      </c>
      <c r="G4627" s="2">
        <v>2</v>
      </c>
    </row>
    <row r="4628" spans="1:7" x14ac:dyDescent="0.2">
      <c r="A4628" s="2" t="s">
        <v>70</v>
      </c>
      <c r="B4628" s="14">
        <v>38412</v>
      </c>
      <c r="C4628" s="2">
        <v>-3.0769230767999999E-2</v>
      </c>
      <c r="D4628" s="2">
        <v>0</v>
      </c>
      <c r="E4628" s="2">
        <v>1</v>
      </c>
      <c r="G4628" s="2">
        <v>2</v>
      </c>
    </row>
    <row r="4629" spans="1:7" x14ac:dyDescent="0.2">
      <c r="A4629" s="2" t="s">
        <v>70</v>
      </c>
      <c r="B4629" s="14">
        <v>38443</v>
      </c>
      <c r="C4629" s="2">
        <v>4.7619047618000003E-2</v>
      </c>
      <c r="D4629" s="2">
        <v>0</v>
      </c>
      <c r="E4629" s="2">
        <v>1</v>
      </c>
      <c r="G4629" s="2">
        <v>2</v>
      </c>
    </row>
    <row r="4630" spans="1:7" x14ac:dyDescent="0.2">
      <c r="A4630" s="2" t="s">
        <v>70</v>
      </c>
      <c r="B4630" s="14">
        <v>38473</v>
      </c>
      <c r="C4630" s="2">
        <v>-2.0440338049000002E-3</v>
      </c>
      <c r="D4630" s="2">
        <v>0</v>
      </c>
      <c r="E4630" s="2">
        <v>1</v>
      </c>
      <c r="G4630" s="2">
        <v>2</v>
      </c>
    </row>
    <row r="4631" spans="1:7" x14ac:dyDescent="0.2">
      <c r="A4631" s="2" t="s">
        <v>70</v>
      </c>
      <c r="B4631" s="14">
        <v>38504</v>
      </c>
      <c r="C4631" s="2">
        <v>6.1538461538000001E-2</v>
      </c>
      <c r="D4631" s="2">
        <v>0</v>
      </c>
      <c r="E4631" s="2">
        <v>1</v>
      </c>
      <c r="G4631" s="2">
        <v>2</v>
      </c>
    </row>
    <row r="4632" spans="1:7" x14ac:dyDescent="0.2">
      <c r="A4632" s="2" t="s">
        <v>70</v>
      </c>
      <c r="B4632" s="14">
        <v>38534</v>
      </c>
      <c r="C4632" s="2">
        <v>4.347826087E-2</v>
      </c>
      <c r="D4632" s="2">
        <v>0</v>
      </c>
      <c r="E4632" s="2">
        <v>1</v>
      </c>
      <c r="G4632" s="2">
        <v>2</v>
      </c>
    </row>
    <row r="4633" spans="1:7" x14ac:dyDescent="0.2">
      <c r="A4633" s="2" t="s">
        <v>70</v>
      </c>
      <c r="B4633" s="14">
        <v>38565</v>
      </c>
      <c r="C4633" s="2">
        <v>-8.3333333332000006E-2</v>
      </c>
      <c r="D4633" s="2">
        <v>0</v>
      </c>
      <c r="E4633" s="2">
        <v>1</v>
      </c>
      <c r="F4633" s="2">
        <v>1.46525876228863E-2</v>
      </c>
      <c r="G4633" s="2">
        <v>2</v>
      </c>
    </row>
    <row r="4634" spans="1:7" x14ac:dyDescent="0.2">
      <c r="A4634" s="2" t="s">
        <v>70</v>
      </c>
      <c r="B4634" s="14">
        <v>38596</v>
      </c>
      <c r="C4634" s="2">
        <v>-2.6666666668000001E-2</v>
      </c>
      <c r="D4634" s="2">
        <v>0</v>
      </c>
      <c r="E4634" s="2">
        <v>1</v>
      </c>
      <c r="F4634" s="2">
        <v>1.1307279562859899E-2</v>
      </c>
      <c r="G4634" s="2">
        <v>2</v>
      </c>
    </row>
    <row r="4635" spans="1:7" x14ac:dyDescent="0.2">
      <c r="A4635" s="2" t="s">
        <v>70</v>
      </c>
      <c r="B4635" s="14">
        <v>38626</v>
      </c>
      <c r="C4635" s="2">
        <v>-5.5336939980999998E-2</v>
      </c>
      <c r="D4635" s="2">
        <v>0</v>
      </c>
      <c r="E4635" s="2">
        <v>1</v>
      </c>
      <c r="F4635" s="2">
        <v>4.48253005212972E-3</v>
      </c>
      <c r="G4635" s="2">
        <v>2</v>
      </c>
    </row>
    <row r="4636" spans="1:7" x14ac:dyDescent="0.2">
      <c r="A4636" s="2" t="s">
        <v>70</v>
      </c>
      <c r="B4636" s="14">
        <v>38657</v>
      </c>
      <c r="C4636" s="2">
        <v>-0.23333333333</v>
      </c>
      <c r="D4636" s="2">
        <v>0</v>
      </c>
      <c r="E4636" s="2">
        <v>1</v>
      </c>
      <c r="F4636" s="2">
        <v>8.5605269331596599E-4</v>
      </c>
      <c r="G4636" s="2">
        <v>2</v>
      </c>
    </row>
    <row r="4637" spans="1:7" x14ac:dyDescent="0.2">
      <c r="A4637" s="2" t="s">
        <v>70</v>
      </c>
      <c r="B4637" s="14">
        <v>38687</v>
      </c>
      <c r="C4637" s="2">
        <v>0.13043478259999999</v>
      </c>
      <c r="D4637" s="2">
        <v>0</v>
      </c>
      <c r="E4637" s="2">
        <v>1</v>
      </c>
      <c r="F4637" s="2">
        <v>-4.5682719516211201E-3</v>
      </c>
      <c r="G4637" s="2">
        <v>2</v>
      </c>
    </row>
    <row r="4638" spans="1:7" x14ac:dyDescent="0.2">
      <c r="A4638" s="2" t="s">
        <v>70</v>
      </c>
      <c r="B4638" s="14">
        <v>38718</v>
      </c>
      <c r="C4638" s="2">
        <v>0.13461538461</v>
      </c>
      <c r="D4638" s="2">
        <v>0</v>
      </c>
      <c r="E4638" s="2">
        <v>1</v>
      </c>
      <c r="F4638" s="2">
        <v>-2.6747702155769299E-3</v>
      </c>
      <c r="G4638" s="2">
        <v>2</v>
      </c>
    </row>
    <row r="4639" spans="1:7" x14ac:dyDescent="0.2">
      <c r="A4639" s="2" t="s">
        <v>70</v>
      </c>
      <c r="B4639" s="14">
        <v>38749</v>
      </c>
      <c r="C4639" s="2">
        <v>-5.0847457627999998E-2</v>
      </c>
      <c r="D4639" s="2">
        <v>0</v>
      </c>
      <c r="E4639" s="2">
        <v>1</v>
      </c>
      <c r="F4639" s="2">
        <v>-1.4686035399841401E-4</v>
      </c>
      <c r="G4639" s="2">
        <v>2</v>
      </c>
    </row>
    <row r="4640" spans="1:7" x14ac:dyDescent="0.2">
      <c r="A4640" s="2" t="s">
        <v>70</v>
      </c>
      <c r="B4640" s="14">
        <v>38777</v>
      </c>
      <c r="C4640" s="2">
        <v>-0.17857142857</v>
      </c>
      <c r="D4640" s="2">
        <v>0</v>
      </c>
      <c r="E4640" s="2">
        <v>1</v>
      </c>
      <c r="F4640" s="2">
        <v>9.2807121165303205E-4</v>
      </c>
      <c r="G4640" s="2">
        <v>2</v>
      </c>
    </row>
    <row r="4641" spans="1:7" x14ac:dyDescent="0.2">
      <c r="A4641" s="2" t="s">
        <v>70</v>
      </c>
      <c r="B4641" s="14">
        <v>38808</v>
      </c>
      <c r="C4641" s="2">
        <v>8.6956521738000003E-2</v>
      </c>
      <c r="D4641" s="2">
        <v>0</v>
      </c>
      <c r="E4641" s="2">
        <v>1</v>
      </c>
      <c r="F4641" s="2">
        <v>-2.7929321326424401E-3</v>
      </c>
      <c r="G4641" s="2">
        <v>2</v>
      </c>
    </row>
    <row r="4642" spans="1:7" x14ac:dyDescent="0.2">
      <c r="A4642" s="2" t="s">
        <v>70</v>
      </c>
      <c r="B4642" s="14">
        <v>38838</v>
      </c>
      <c r="C4642" s="2">
        <v>-9.4650205762000006E-2</v>
      </c>
      <c r="D4642" s="19">
        <v>-1.7458024E-5</v>
      </c>
      <c r="E4642" s="2">
        <v>1</v>
      </c>
      <c r="F4642" s="2">
        <v>1.1774612137618501E-3</v>
      </c>
      <c r="G4642" s="2">
        <v>2</v>
      </c>
    </row>
    <row r="4643" spans="1:7" x14ac:dyDescent="0.2">
      <c r="A4643" s="2" t="s">
        <v>70</v>
      </c>
      <c r="B4643" s="14">
        <v>38869</v>
      </c>
      <c r="C4643" s="2">
        <v>4.5454545456000001E-2</v>
      </c>
      <c r="D4643" s="2">
        <v>3.6661851E-4</v>
      </c>
      <c r="E4643" s="2">
        <v>1</v>
      </c>
      <c r="F4643" s="2">
        <v>5.5157992607872599E-3</v>
      </c>
      <c r="G4643" s="2">
        <v>2</v>
      </c>
    </row>
    <row r="4644" spans="1:7" x14ac:dyDescent="0.2">
      <c r="A4644" s="2" t="s">
        <v>70</v>
      </c>
      <c r="B4644" s="14">
        <v>38899</v>
      </c>
      <c r="C4644" s="2">
        <v>-2.2173913045E-2</v>
      </c>
      <c r="D4644" s="2">
        <v>0</v>
      </c>
      <c r="E4644" s="2">
        <v>1</v>
      </c>
      <c r="F4644" s="2">
        <v>2.9416106605643401E-3</v>
      </c>
      <c r="G4644" s="2">
        <v>2</v>
      </c>
    </row>
    <row r="4645" spans="1:7" x14ac:dyDescent="0.2">
      <c r="A4645" s="2" t="s">
        <v>70</v>
      </c>
      <c r="B4645" s="14">
        <v>38930</v>
      </c>
      <c r="C4645" s="2">
        <v>2.5789239661999998E-2</v>
      </c>
      <c r="D4645" s="2">
        <v>0</v>
      </c>
      <c r="E4645" s="2">
        <v>1</v>
      </c>
      <c r="F4645" s="2">
        <v>7.9363913344701695E-3</v>
      </c>
      <c r="G4645" s="2">
        <v>2</v>
      </c>
    </row>
    <row r="4646" spans="1:7" x14ac:dyDescent="0.2">
      <c r="A4646" s="2" t="s">
        <v>70</v>
      </c>
      <c r="B4646" s="14">
        <v>38961</v>
      </c>
      <c r="C4646" s="2">
        <v>-4.6380580841000003E-2</v>
      </c>
      <c r="D4646" s="2">
        <v>5.0628273000000005E-4</v>
      </c>
      <c r="E4646" s="2">
        <v>1</v>
      </c>
      <c r="F4646" s="2">
        <v>1.00854487382894E-2</v>
      </c>
      <c r="G4646" s="2">
        <v>2</v>
      </c>
    </row>
    <row r="4647" spans="1:7" x14ac:dyDescent="0.2">
      <c r="A4647" s="2" t="s">
        <v>70</v>
      </c>
      <c r="B4647" s="14">
        <v>38991</v>
      </c>
      <c r="C4647" s="2">
        <v>0</v>
      </c>
      <c r="D4647" s="2">
        <v>4.5390863999999998E-4</v>
      </c>
      <c r="E4647" s="2">
        <v>1</v>
      </c>
      <c r="F4647" s="2">
        <v>1.40172523444714E-2</v>
      </c>
      <c r="G4647" s="2">
        <v>2</v>
      </c>
    </row>
    <row r="4648" spans="1:7" x14ac:dyDescent="0.2">
      <c r="A4648" s="2" t="s">
        <v>70</v>
      </c>
      <c r="B4648" s="14">
        <v>39022</v>
      </c>
      <c r="C4648" s="2">
        <v>4.5454545456000001E-2</v>
      </c>
      <c r="D4648" s="2">
        <v>0</v>
      </c>
      <c r="E4648" s="2">
        <v>1</v>
      </c>
      <c r="F4648" s="2">
        <v>1.1498007577833201E-2</v>
      </c>
      <c r="G4648" s="2">
        <v>2</v>
      </c>
    </row>
    <row r="4649" spans="1:7" x14ac:dyDescent="0.2">
      <c r="A4649" s="2" t="s">
        <v>70</v>
      </c>
      <c r="B4649" s="14">
        <v>39052</v>
      </c>
      <c r="C4649" s="2">
        <v>-4.347826087E-2</v>
      </c>
      <c r="D4649" s="2">
        <v>1.0474814E-4</v>
      </c>
      <c r="E4649" s="2">
        <v>1</v>
      </c>
      <c r="F4649" s="2">
        <v>1.5035440948827901E-2</v>
      </c>
      <c r="G4649" s="2">
        <v>2</v>
      </c>
    </row>
    <row r="4650" spans="1:7" x14ac:dyDescent="0.2">
      <c r="A4650" s="2" t="s">
        <v>70</v>
      </c>
      <c r="B4650" s="14">
        <v>39083</v>
      </c>
      <c r="C4650" s="2">
        <v>0.27272727273000003</v>
      </c>
      <c r="D4650" s="2">
        <v>0</v>
      </c>
      <c r="E4650" s="2">
        <v>1</v>
      </c>
      <c r="F4650" s="2">
        <v>1.24178162179892E-2</v>
      </c>
      <c r="G4650" s="2">
        <v>2</v>
      </c>
    </row>
    <row r="4651" spans="1:7" x14ac:dyDescent="0.2">
      <c r="A4651" s="2" t="s">
        <v>70</v>
      </c>
      <c r="B4651" s="14">
        <v>39114</v>
      </c>
      <c r="C4651" s="2">
        <v>3.3571428572000003E-2</v>
      </c>
      <c r="D4651" s="2">
        <v>0</v>
      </c>
      <c r="E4651" s="2">
        <v>1</v>
      </c>
      <c r="F4651" s="2">
        <v>2.08873025786914E-2</v>
      </c>
      <c r="G4651" s="2">
        <v>2</v>
      </c>
    </row>
    <row r="4652" spans="1:7" x14ac:dyDescent="0.2">
      <c r="A4652" s="2" t="s">
        <v>70</v>
      </c>
      <c r="B4652" s="14">
        <v>39142</v>
      </c>
      <c r="C4652" s="2">
        <v>-0.1015894955</v>
      </c>
      <c r="D4652" s="2">
        <v>0</v>
      </c>
      <c r="E4652" s="2">
        <v>1</v>
      </c>
      <c r="F4652" s="2">
        <v>2.1016745388625101E-2</v>
      </c>
      <c r="G4652" s="2">
        <v>2</v>
      </c>
    </row>
    <row r="4653" spans="1:7" x14ac:dyDescent="0.2">
      <c r="A4653" s="2" t="s">
        <v>70</v>
      </c>
      <c r="B4653" s="14">
        <v>39173</v>
      </c>
      <c r="C4653" s="2">
        <v>-7.2694409520000003E-2</v>
      </c>
      <c r="D4653" s="19">
        <v>5.2374070999999998E-5</v>
      </c>
      <c r="E4653" s="2">
        <v>1</v>
      </c>
      <c r="F4653" s="2">
        <v>1.9472348292099401E-2</v>
      </c>
      <c r="G4653" s="2">
        <v>2</v>
      </c>
    </row>
    <row r="4654" spans="1:7" x14ac:dyDescent="0.2">
      <c r="A4654" s="2" t="s">
        <v>70</v>
      </c>
      <c r="B4654" s="14">
        <v>39203</v>
      </c>
      <c r="C4654" s="2">
        <v>0.16182572613999999</v>
      </c>
      <c r="D4654" s="2">
        <v>0</v>
      </c>
      <c r="E4654" s="2">
        <v>1</v>
      </c>
      <c r="F4654" s="2">
        <v>1.7553062029966999E-2</v>
      </c>
      <c r="G4654" s="2">
        <v>2</v>
      </c>
    </row>
    <row r="4655" spans="1:7" x14ac:dyDescent="0.2">
      <c r="A4655" s="2" t="s">
        <v>70</v>
      </c>
      <c r="B4655" s="14">
        <v>39234</v>
      </c>
      <c r="C4655" s="2">
        <v>0.25</v>
      </c>
      <c r="D4655" s="2">
        <v>0</v>
      </c>
      <c r="E4655" s="2">
        <v>1</v>
      </c>
      <c r="F4655" s="2">
        <v>2.06570633253143E-2</v>
      </c>
      <c r="G4655" s="2">
        <v>2</v>
      </c>
    </row>
    <row r="4656" spans="1:7" x14ac:dyDescent="0.2">
      <c r="A4656" s="2" t="s">
        <v>70</v>
      </c>
      <c r="B4656" s="14">
        <v>39264</v>
      </c>
      <c r="C4656" s="2">
        <v>-0.15714285714000001</v>
      </c>
      <c r="D4656" s="2">
        <v>0</v>
      </c>
      <c r="E4656" s="2">
        <v>1</v>
      </c>
      <c r="F4656" s="2">
        <v>2.8979298528500098E-2</v>
      </c>
      <c r="G4656" s="2">
        <v>2</v>
      </c>
    </row>
    <row r="4657" spans="1:7" x14ac:dyDescent="0.2">
      <c r="A4657" s="2" t="s">
        <v>70</v>
      </c>
      <c r="B4657" s="14">
        <v>39295</v>
      </c>
      <c r="C4657" s="2">
        <v>8.4745762712000003E-2</v>
      </c>
      <c r="D4657" s="2">
        <v>0</v>
      </c>
      <c r="E4657" s="2">
        <v>1</v>
      </c>
      <c r="F4657" s="2">
        <v>2.00510665993184E-2</v>
      </c>
      <c r="G4657" s="2">
        <v>2</v>
      </c>
    </row>
    <row r="4658" spans="1:7" x14ac:dyDescent="0.2">
      <c r="A4658" s="2" t="s">
        <v>70</v>
      </c>
      <c r="B4658" s="14">
        <v>39326</v>
      </c>
      <c r="C4658" s="2">
        <v>-3.125E-2</v>
      </c>
      <c r="D4658" s="2">
        <v>0</v>
      </c>
      <c r="E4658" s="2">
        <v>1</v>
      </c>
      <c r="F4658" s="2">
        <v>2.1360902607516399E-2</v>
      </c>
      <c r="G4658" s="2">
        <v>2</v>
      </c>
    </row>
    <row r="4659" spans="1:7" x14ac:dyDescent="0.2">
      <c r="A4659" s="2" t="s">
        <v>70</v>
      </c>
      <c r="B4659" s="14">
        <v>39356</v>
      </c>
      <c r="C4659" s="2">
        <v>0.11644374507999999</v>
      </c>
      <c r="D4659" s="2">
        <v>0</v>
      </c>
      <c r="E4659" s="2">
        <v>1</v>
      </c>
      <c r="F4659" s="2">
        <v>2.34510045413573E-2</v>
      </c>
      <c r="G4659" s="2">
        <v>2</v>
      </c>
    </row>
    <row r="4660" spans="1:7" x14ac:dyDescent="0.2">
      <c r="A4660" s="2" t="s">
        <v>70</v>
      </c>
      <c r="B4660" s="14">
        <v>39387</v>
      </c>
      <c r="C4660" s="2">
        <v>-0.19476744186</v>
      </c>
      <c r="D4660" s="2">
        <v>4.0677194000000002E-3</v>
      </c>
      <c r="E4660" s="2">
        <v>1</v>
      </c>
      <c r="F4660" s="2">
        <v>2.8702759904473199E-2</v>
      </c>
      <c r="G4660" s="2">
        <v>2</v>
      </c>
    </row>
    <row r="4661" spans="1:7" x14ac:dyDescent="0.2">
      <c r="A4661" s="2" t="s">
        <v>70</v>
      </c>
      <c r="B4661" s="14">
        <v>39417</v>
      </c>
      <c r="C4661" s="2">
        <v>-2.1660649821000001E-2</v>
      </c>
      <c r="D4661" s="2">
        <v>0</v>
      </c>
      <c r="E4661" s="2">
        <v>1</v>
      </c>
      <c r="F4661" s="2">
        <v>1.92079611739015E-2</v>
      </c>
      <c r="G4661" s="2">
        <v>2</v>
      </c>
    </row>
    <row r="4662" spans="1:7" x14ac:dyDescent="0.2">
      <c r="A4662" s="2" t="s">
        <v>70</v>
      </c>
      <c r="B4662" s="14">
        <v>39448</v>
      </c>
      <c r="C4662" s="2">
        <v>-0.20664206641999999</v>
      </c>
      <c r="D4662" s="19">
        <v>-1.7458024E-5</v>
      </c>
      <c r="E4662" s="2">
        <v>1</v>
      </c>
      <c r="F4662" s="2">
        <v>1.13946827732197E-2</v>
      </c>
      <c r="G4662" s="2">
        <v>2</v>
      </c>
    </row>
    <row r="4663" spans="1:7" x14ac:dyDescent="0.2">
      <c r="A4663" s="2" t="s">
        <v>70</v>
      </c>
      <c r="B4663" s="14">
        <v>39479</v>
      </c>
      <c r="C4663" s="2">
        <v>0.1623255814</v>
      </c>
      <c r="D4663" s="2">
        <v>0</v>
      </c>
      <c r="E4663" s="2">
        <v>1</v>
      </c>
      <c r="F4663" s="2">
        <v>1.0355728119079401E-2</v>
      </c>
      <c r="G4663" s="2">
        <v>2</v>
      </c>
    </row>
    <row r="4664" spans="1:7" x14ac:dyDescent="0.2">
      <c r="A4664" s="2" t="s">
        <v>70</v>
      </c>
      <c r="B4664" s="14">
        <v>39508</v>
      </c>
      <c r="C4664" s="2">
        <v>-8.5234093637999997E-2</v>
      </c>
      <c r="D4664" s="2">
        <v>0</v>
      </c>
      <c r="E4664" s="2">
        <v>1</v>
      </c>
      <c r="F4664" s="2">
        <v>1.2408097715742901E-2</v>
      </c>
      <c r="G4664" s="2">
        <v>2</v>
      </c>
    </row>
    <row r="4665" spans="1:7" x14ac:dyDescent="0.2">
      <c r="A4665" s="2" t="s">
        <v>70</v>
      </c>
      <c r="B4665" s="14">
        <v>39539</v>
      </c>
      <c r="C4665" s="2">
        <v>-7.4606354056E-3</v>
      </c>
      <c r="D4665" s="2">
        <v>0</v>
      </c>
      <c r="E4665" s="2">
        <v>1</v>
      </c>
      <c r="F4665" s="2">
        <v>1.1034128385096599E-2</v>
      </c>
      <c r="G4665" s="2">
        <v>2</v>
      </c>
    </row>
    <row r="4666" spans="1:7" x14ac:dyDescent="0.2">
      <c r="A4666" s="2" t="s">
        <v>70</v>
      </c>
      <c r="B4666" s="14">
        <v>39569</v>
      </c>
      <c r="C4666" s="2">
        <v>0</v>
      </c>
      <c r="D4666" s="2">
        <v>0</v>
      </c>
      <c r="E4666" s="2">
        <v>1</v>
      </c>
      <c r="F4666" s="2">
        <v>7.5099074107532202E-3</v>
      </c>
      <c r="G4666" s="2">
        <v>2</v>
      </c>
    </row>
    <row r="4667" spans="1:7" x14ac:dyDescent="0.2">
      <c r="A4667" s="2" t="s">
        <v>70</v>
      </c>
      <c r="B4667" s="14">
        <v>39600</v>
      </c>
      <c r="C4667" s="2">
        <v>2.2727272728E-2</v>
      </c>
      <c r="D4667" s="2">
        <v>2.0853068999999999E-4</v>
      </c>
      <c r="E4667" s="2">
        <v>1</v>
      </c>
      <c r="F4667" s="2">
        <v>1.29830963686143E-2</v>
      </c>
      <c r="G4667" s="2">
        <v>2</v>
      </c>
    </row>
    <row r="4668" spans="1:7" x14ac:dyDescent="0.2">
      <c r="A4668" s="2" t="s">
        <v>70</v>
      </c>
      <c r="B4668" s="14">
        <v>39630</v>
      </c>
      <c r="C4668" s="2">
        <v>2.2222222222000002E-2</v>
      </c>
      <c r="D4668" s="2">
        <v>2.8958041000000001E-3</v>
      </c>
      <c r="E4668" s="2">
        <v>1</v>
      </c>
      <c r="F4668" s="2">
        <v>1.3758314190613701E-2</v>
      </c>
      <c r="G4668" s="2">
        <v>2</v>
      </c>
    </row>
    <row r="4669" spans="1:7" x14ac:dyDescent="0.2">
      <c r="A4669" s="2" t="s">
        <v>70</v>
      </c>
      <c r="B4669" s="14">
        <v>39661</v>
      </c>
      <c r="C4669" s="2">
        <v>-4.3478260877E-3</v>
      </c>
      <c r="D4669" s="2">
        <v>1.3617258999999999E-3</v>
      </c>
      <c r="E4669" s="2">
        <v>1</v>
      </c>
      <c r="F4669" s="2">
        <v>1.7622425773935101E-2</v>
      </c>
      <c r="G4669" s="2">
        <v>2</v>
      </c>
    </row>
    <row r="4670" spans="1:7" x14ac:dyDescent="0.2">
      <c r="A4670" s="2" t="s">
        <v>70</v>
      </c>
      <c r="B4670" s="14">
        <v>39692</v>
      </c>
      <c r="C4670" s="2">
        <v>-6.1572052401999998E-2</v>
      </c>
      <c r="D4670" s="2">
        <v>1.2220617E-4</v>
      </c>
      <c r="E4670" s="2">
        <v>1</v>
      </c>
      <c r="F4670" s="2">
        <v>1.2739863411021001E-2</v>
      </c>
      <c r="G4670" s="2">
        <v>2</v>
      </c>
    </row>
    <row r="4671" spans="1:7" x14ac:dyDescent="0.2">
      <c r="A4671" s="2" t="s">
        <v>70</v>
      </c>
      <c r="B4671" s="14">
        <v>39722</v>
      </c>
      <c r="C4671" s="2">
        <v>-0.1158678455</v>
      </c>
      <c r="D4671" s="2">
        <v>0</v>
      </c>
      <c r="E4671" s="2">
        <v>1</v>
      </c>
      <c r="F4671" s="2">
        <v>1.35806495762769E-2</v>
      </c>
      <c r="G4671" s="2">
        <v>2</v>
      </c>
    </row>
    <row r="4672" spans="1:7" x14ac:dyDescent="0.2">
      <c r="A4672" s="2" t="s">
        <v>70</v>
      </c>
      <c r="B4672" s="14">
        <v>39753</v>
      </c>
      <c r="C4672" s="2">
        <v>-2.6315789474000002E-2</v>
      </c>
      <c r="D4672" s="2">
        <v>0</v>
      </c>
      <c r="E4672" s="2">
        <v>1</v>
      </c>
      <c r="F4672" s="2">
        <v>1.0609727350104899E-2</v>
      </c>
      <c r="G4672" s="2">
        <v>2</v>
      </c>
    </row>
    <row r="4673" spans="1:7" x14ac:dyDescent="0.2">
      <c r="A4673" s="2" t="s">
        <v>70</v>
      </c>
      <c r="B4673" s="14">
        <v>39783</v>
      </c>
      <c r="C4673" s="2">
        <v>-6.7402187205999997E-2</v>
      </c>
      <c r="D4673" s="2">
        <v>0</v>
      </c>
      <c r="E4673" s="2">
        <v>1</v>
      </c>
      <c r="F4673" s="2">
        <v>9.7178363434644102E-3</v>
      </c>
      <c r="G4673" s="2">
        <v>2</v>
      </c>
    </row>
    <row r="4674" spans="1:7" x14ac:dyDescent="0.2">
      <c r="A4674" s="2" t="s">
        <v>71</v>
      </c>
      <c r="B4674" s="14">
        <v>37591</v>
      </c>
      <c r="C4674" s="2">
        <v>-4.1666724614999998E-2</v>
      </c>
      <c r="E4674" s="2">
        <v>1</v>
      </c>
      <c r="G4674" s="2">
        <v>1</v>
      </c>
    </row>
    <row r="4675" spans="1:7" x14ac:dyDescent="0.2">
      <c r="A4675" s="2" t="s">
        <v>71</v>
      </c>
      <c r="B4675" s="14">
        <v>37622</v>
      </c>
      <c r="C4675" s="2">
        <v>-1.7391288123E-2</v>
      </c>
      <c r="E4675" s="2">
        <v>1</v>
      </c>
      <c r="G4675" s="2">
        <v>1</v>
      </c>
    </row>
    <row r="4676" spans="1:7" x14ac:dyDescent="0.2">
      <c r="A4676" s="2" t="s">
        <v>71</v>
      </c>
      <c r="B4676" s="14">
        <v>37653</v>
      </c>
      <c r="C4676" s="2">
        <v>1.7699098239999999E-2</v>
      </c>
      <c r="E4676" s="2">
        <v>1</v>
      </c>
      <c r="G4676" s="2">
        <v>1</v>
      </c>
    </row>
    <row r="4677" spans="1:7" x14ac:dyDescent="0.2">
      <c r="A4677" s="2" t="s">
        <v>71</v>
      </c>
      <c r="B4677" s="14">
        <v>37681</v>
      </c>
      <c r="C4677" s="2">
        <v>-4.3478220306000001E-2</v>
      </c>
      <c r="E4677" s="2">
        <v>1</v>
      </c>
      <c r="G4677" s="2">
        <v>1</v>
      </c>
    </row>
    <row r="4678" spans="1:7" x14ac:dyDescent="0.2">
      <c r="A4678" s="2" t="s">
        <v>71</v>
      </c>
      <c r="B4678" s="14">
        <v>37712</v>
      </c>
      <c r="C4678" s="2">
        <v>3.6363600895000001E-2</v>
      </c>
      <c r="E4678" s="2">
        <v>1</v>
      </c>
      <c r="G4678" s="2">
        <v>1</v>
      </c>
    </row>
    <row r="4679" spans="1:7" x14ac:dyDescent="0.2">
      <c r="A4679" s="2" t="s">
        <v>71</v>
      </c>
      <c r="B4679" s="14">
        <v>37742</v>
      </c>
      <c r="C4679" s="2">
        <v>5.8958230828000002E-2</v>
      </c>
      <c r="E4679" s="2">
        <v>1</v>
      </c>
      <c r="G4679" s="2">
        <v>1</v>
      </c>
    </row>
    <row r="4680" spans="1:7" x14ac:dyDescent="0.2">
      <c r="A4680" s="2" t="s">
        <v>71</v>
      </c>
      <c r="B4680" s="14">
        <v>37773</v>
      </c>
      <c r="C4680" s="2">
        <v>-4.1666724614999998E-2</v>
      </c>
      <c r="E4680" s="2">
        <v>1</v>
      </c>
      <c r="G4680" s="2">
        <v>1</v>
      </c>
    </row>
    <row r="4681" spans="1:7" x14ac:dyDescent="0.2">
      <c r="A4681" s="2" t="s">
        <v>71</v>
      </c>
      <c r="B4681" s="14">
        <v>37803</v>
      </c>
      <c r="C4681" s="2">
        <v>0.17391308855000001</v>
      </c>
      <c r="E4681" s="2">
        <v>1</v>
      </c>
      <c r="G4681" s="2">
        <v>1</v>
      </c>
    </row>
    <row r="4682" spans="1:7" x14ac:dyDescent="0.2">
      <c r="A4682" s="2" t="s">
        <v>71</v>
      </c>
      <c r="B4682" s="14">
        <v>37834</v>
      </c>
      <c r="C4682" s="2">
        <v>0.14814809255</v>
      </c>
      <c r="E4682" s="2">
        <v>1</v>
      </c>
      <c r="F4682" s="2">
        <v>5.4063777697068903E-2</v>
      </c>
      <c r="G4682" s="2">
        <v>1</v>
      </c>
    </row>
    <row r="4683" spans="1:7" x14ac:dyDescent="0.2">
      <c r="A4683" s="2" t="s">
        <v>71</v>
      </c>
      <c r="B4683" s="14">
        <v>37865</v>
      </c>
      <c r="C4683" s="2">
        <v>0.16129032754</v>
      </c>
      <c r="E4683" s="2">
        <v>1</v>
      </c>
      <c r="F4683" s="2">
        <v>5.7640941843013202E-2</v>
      </c>
      <c r="G4683" s="2">
        <v>1</v>
      </c>
    </row>
    <row r="4684" spans="1:7" x14ac:dyDescent="0.2">
      <c r="A4684" s="2" t="s">
        <v>71</v>
      </c>
      <c r="B4684" s="14">
        <v>37895</v>
      </c>
      <c r="C4684" s="2">
        <v>2.7777818249999999E-2</v>
      </c>
      <c r="E4684" s="2">
        <v>1</v>
      </c>
      <c r="F4684" s="2">
        <v>6.3299377822841604E-2</v>
      </c>
      <c r="G4684" s="2">
        <v>1</v>
      </c>
    </row>
    <row r="4685" spans="1:7" x14ac:dyDescent="0.2">
      <c r="A4685" s="2" t="s">
        <v>71</v>
      </c>
      <c r="B4685" s="14">
        <v>37926</v>
      </c>
      <c r="C4685" s="2">
        <v>-8.1081092923000003E-2</v>
      </c>
      <c r="E4685" s="2">
        <v>1</v>
      </c>
      <c r="F4685" s="2">
        <v>6.2904456440965997E-2</v>
      </c>
      <c r="G4685" s="2">
        <v>1</v>
      </c>
    </row>
    <row r="4686" spans="1:7" x14ac:dyDescent="0.2">
      <c r="A4686" s="2" t="s">
        <v>71</v>
      </c>
      <c r="B4686" s="14">
        <v>37956</v>
      </c>
      <c r="C4686" s="2">
        <v>-5.8823529412000003E-2</v>
      </c>
      <c r="E4686" s="2">
        <v>1</v>
      </c>
      <c r="F4686" s="2">
        <v>5.9154453492708599E-2</v>
      </c>
      <c r="G4686" s="2">
        <v>1</v>
      </c>
    </row>
    <row r="4687" spans="1:7" x14ac:dyDescent="0.2">
      <c r="A4687" s="2" t="s">
        <v>71</v>
      </c>
      <c r="B4687" s="14">
        <v>37987</v>
      </c>
      <c r="C4687" s="2">
        <v>0</v>
      </c>
      <c r="E4687" s="2">
        <v>1</v>
      </c>
      <c r="F4687" s="2">
        <v>5.8808949938082403E-2</v>
      </c>
      <c r="G4687" s="2">
        <v>1</v>
      </c>
    </row>
    <row r="4688" spans="1:7" x14ac:dyDescent="0.2">
      <c r="A4688" s="2" t="s">
        <v>71</v>
      </c>
      <c r="B4688" s="14">
        <v>38018</v>
      </c>
      <c r="C4688" s="2">
        <v>9.375E-2</v>
      </c>
      <c r="E4688" s="2">
        <v>1</v>
      </c>
      <c r="F4688" s="2">
        <v>5.3770586567850401E-2</v>
      </c>
      <c r="G4688" s="2">
        <v>1</v>
      </c>
    </row>
    <row r="4689" spans="1:7" x14ac:dyDescent="0.2">
      <c r="A4689" s="2" t="s">
        <v>71</v>
      </c>
      <c r="B4689" s="14">
        <v>38047</v>
      </c>
      <c r="C4689" s="2">
        <v>-0.15428571428000001</v>
      </c>
      <c r="D4689" s="2">
        <v>4.7360796999999999E-4</v>
      </c>
      <c r="E4689" s="2">
        <v>1</v>
      </c>
      <c r="F4689" s="2">
        <v>5.20233944629181E-2</v>
      </c>
      <c r="G4689" s="2">
        <v>1</v>
      </c>
    </row>
    <row r="4690" spans="1:7" x14ac:dyDescent="0.2">
      <c r="A4690" s="2" t="s">
        <v>71</v>
      </c>
      <c r="B4690" s="14">
        <v>38078</v>
      </c>
      <c r="C4690" s="2">
        <v>4.7297297297000003E-2</v>
      </c>
      <c r="D4690" s="2">
        <v>1.0419374999999999E-4</v>
      </c>
      <c r="E4690" s="2">
        <v>1</v>
      </c>
      <c r="F4690" s="2">
        <v>4.3550174307086298E-2</v>
      </c>
      <c r="G4690" s="2">
        <v>1</v>
      </c>
    </row>
    <row r="4691" spans="1:7" x14ac:dyDescent="0.2">
      <c r="A4691" s="2" t="s">
        <v>71</v>
      </c>
      <c r="B4691" s="14">
        <v>38108</v>
      </c>
      <c r="C4691" s="2">
        <v>8.0313082672000009E-3</v>
      </c>
      <c r="D4691" s="2">
        <v>0</v>
      </c>
      <c r="E4691" s="2">
        <v>1</v>
      </c>
      <c r="F4691" s="2">
        <v>4.4010957405940299E-2</v>
      </c>
      <c r="G4691" s="2">
        <v>1</v>
      </c>
    </row>
    <row r="4692" spans="1:7" x14ac:dyDescent="0.2">
      <c r="A4692" s="2" t="s">
        <v>71</v>
      </c>
      <c r="B4692" s="14">
        <v>38139</v>
      </c>
      <c r="C4692" s="2">
        <v>0.13725490196000001</v>
      </c>
      <c r="D4692" s="2">
        <v>2.6522047E-4</v>
      </c>
      <c r="E4692" s="2">
        <v>1</v>
      </c>
      <c r="F4692" s="2">
        <v>4.6611378234617001E-2</v>
      </c>
      <c r="G4692" s="2">
        <v>1</v>
      </c>
    </row>
    <row r="4693" spans="1:7" x14ac:dyDescent="0.2">
      <c r="A4693" s="2" t="s">
        <v>71</v>
      </c>
      <c r="B4693" s="14">
        <v>38169</v>
      </c>
      <c r="C4693" s="2">
        <v>-6.3218390806000002E-2</v>
      </c>
      <c r="D4693" s="2">
        <v>0</v>
      </c>
      <c r="E4693" s="2">
        <v>1</v>
      </c>
      <c r="F4693" s="2">
        <v>5.2022586328108397E-2</v>
      </c>
      <c r="G4693" s="2">
        <v>1</v>
      </c>
    </row>
    <row r="4694" spans="1:7" x14ac:dyDescent="0.2">
      <c r="A4694" s="2" t="s">
        <v>71</v>
      </c>
      <c r="B4694" s="14">
        <v>38200</v>
      </c>
      <c r="C4694" s="2">
        <v>0.10429447852</v>
      </c>
      <c r="D4694" s="2">
        <v>7.0236059999999999E-3</v>
      </c>
      <c r="E4694" s="2">
        <v>1</v>
      </c>
      <c r="F4694" s="2">
        <v>4.0973550212102902E-2</v>
      </c>
      <c r="G4694" s="2">
        <v>1</v>
      </c>
    </row>
    <row r="4695" spans="1:7" x14ac:dyDescent="0.2">
      <c r="A4695" s="2" t="s">
        <v>71</v>
      </c>
      <c r="B4695" s="14">
        <v>38231</v>
      </c>
      <c r="C4695" s="2">
        <v>-5.5555555537000001E-3</v>
      </c>
      <c r="D4695" s="2">
        <v>3.6467812999999998E-4</v>
      </c>
      <c r="E4695" s="2">
        <v>1</v>
      </c>
      <c r="F4695" s="2">
        <v>4.0971882245555098E-2</v>
      </c>
      <c r="G4695" s="2">
        <v>1</v>
      </c>
    </row>
    <row r="4696" spans="1:7" x14ac:dyDescent="0.2">
      <c r="A4696" s="2" t="s">
        <v>71</v>
      </c>
      <c r="B4696" s="14">
        <v>38261</v>
      </c>
      <c r="C4696" s="2">
        <v>0.28491620111999999</v>
      </c>
      <c r="D4696" s="2">
        <v>2.5101220999999998E-4</v>
      </c>
      <c r="E4696" s="2">
        <v>1</v>
      </c>
      <c r="F4696" s="2">
        <v>4.5073069374502499E-2</v>
      </c>
      <c r="G4696" s="2">
        <v>1</v>
      </c>
    </row>
    <row r="4697" spans="1:7" x14ac:dyDescent="0.2">
      <c r="A4697" s="2" t="s">
        <v>71</v>
      </c>
      <c r="B4697" s="14">
        <v>38292</v>
      </c>
      <c r="C4697" s="2">
        <v>-6.5217391304000005E-2</v>
      </c>
      <c r="D4697" s="2">
        <v>2.6995653999999998E-3</v>
      </c>
      <c r="E4697" s="2">
        <v>1</v>
      </c>
      <c r="F4697" s="2">
        <v>5.1978428782531602E-2</v>
      </c>
      <c r="G4697" s="2">
        <v>1</v>
      </c>
    </row>
    <row r="4698" spans="1:7" x14ac:dyDescent="0.2">
      <c r="A4698" s="2" t="s">
        <v>71</v>
      </c>
      <c r="B4698" s="14">
        <v>38322</v>
      </c>
      <c r="C4698" s="2">
        <v>8.8372093021000006E-2</v>
      </c>
      <c r="D4698" s="2">
        <v>1.0798261999999999E-3</v>
      </c>
      <c r="E4698" s="2">
        <v>1</v>
      </c>
      <c r="F4698" s="2">
        <v>4.9992550225806801E-2</v>
      </c>
      <c r="G4698" s="2">
        <v>1</v>
      </c>
    </row>
    <row r="4699" spans="1:7" x14ac:dyDescent="0.2">
      <c r="A4699" s="2" t="s">
        <v>71</v>
      </c>
      <c r="B4699" s="14">
        <v>38353</v>
      </c>
      <c r="C4699" s="2">
        <v>-0.14529914528999999</v>
      </c>
      <c r="D4699" s="2">
        <v>8.2881394000000001E-4</v>
      </c>
      <c r="E4699" s="2">
        <v>1</v>
      </c>
      <c r="F4699" s="2">
        <v>4.8346833009705201E-2</v>
      </c>
      <c r="G4699" s="2">
        <v>1</v>
      </c>
    </row>
    <row r="4700" spans="1:7" x14ac:dyDescent="0.2">
      <c r="A4700" s="2" t="s">
        <v>71</v>
      </c>
      <c r="B4700" s="14">
        <v>38384</v>
      </c>
      <c r="C4700" s="2">
        <v>0.15</v>
      </c>
      <c r="D4700" s="19">
        <v>4.7360795E-6</v>
      </c>
      <c r="E4700" s="2">
        <v>1</v>
      </c>
      <c r="F4700" s="2">
        <v>4.6551985463331599E-2</v>
      </c>
      <c r="G4700" s="2">
        <v>1</v>
      </c>
    </row>
    <row r="4701" spans="1:7" x14ac:dyDescent="0.2">
      <c r="A4701" s="2" t="s">
        <v>71</v>
      </c>
      <c r="B4701" s="14">
        <v>38412</v>
      </c>
      <c r="C4701" s="2">
        <v>0.17167432429000001</v>
      </c>
      <c r="D4701" s="2">
        <v>1.5534341000000001E-3</v>
      </c>
      <c r="E4701" s="2">
        <v>1</v>
      </c>
      <c r="F4701" s="2">
        <v>4.76235888825721E-2</v>
      </c>
      <c r="G4701" s="2">
        <v>1</v>
      </c>
    </row>
    <row r="4702" spans="1:7" x14ac:dyDescent="0.2">
      <c r="A4702" s="2" t="s">
        <v>71</v>
      </c>
      <c r="B4702" s="14">
        <v>38443</v>
      </c>
      <c r="C4702" s="2">
        <v>0</v>
      </c>
      <c r="D4702" s="2">
        <v>4.0691746000000003E-3</v>
      </c>
      <c r="E4702" s="2">
        <v>1</v>
      </c>
      <c r="F4702" s="2">
        <v>5.2295385136767403E-2</v>
      </c>
      <c r="G4702" s="2">
        <v>1</v>
      </c>
    </row>
    <row r="4703" spans="1:7" x14ac:dyDescent="0.2">
      <c r="A4703" s="2" t="s">
        <v>71</v>
      </c>
      <c r="B4703" s="14">
        <v>38473</v>
      </c>
      <c r="C4703" s="2">
        <v>-6.7946335982999997E-2</v>
      </c>
      <c r="D4703" s="2">
        <v>0</v>
      </c>
      <c r="E4703" s="2">
        <v>1</v>
      </c>
      <c r="F4703" s="2">
        <v>4.4086373051877903E-2</v>
      </c>
      <c r="G4703" s="2">
        <v>1</v>
      </c>
    </row>
    <row r="4704" spans="1:7" x14ac:dyDescent="0.2">
      <c r="A4704" s="2" t="s">
        <v>71</v>
      </c>
      <c r="B4704" s="14">
        <v>38504</v>
      </c>
      <c r="C4704" s="2">
        <v>6.25E-2</v>
      </c>
      <c r="D4704" s="2">
        <v>3.3508068999999999E-3</v>
      </c>
      <c r="E4704" s="2">
        <v>1</v>
      </c>
      <c r="F4704" s="2">
        <v>4.4275384645851699E-2</v>
      </c>
      <c r="G4704" s="2">
        <v>1</v>
      </c>
    </row>
    <row r="4705" spans="1:7" x14ac:dyDescent="0.2">
      <c r="A4705" s="2" t="s">
        <v>71</v>
      </c>
      <c r="B4705" s="14">
        <v>38534</v>
      </c>
      <c r="C4705" s="2">
        <v>0.47019607843</v>
      </c>
      <c r="D4705" s="2">
        <v>1.0020058000000001E-3</v>
      </c>
      <c r="E4705" s="2">
        <v>1</v>
      </c>
      <c r="F4705" s="2">
        <v>4.2785042738236502E-2</v>
      </c>
      <c r="G4705" s="2">
        <v>1</v>
      </c>
    </row>
    <row r="4706" spans="1:7" x14ac:dyDescent="0.2">
      <c r="A4706" s="2" t="s">
        <v>71</v>
      </c>
      <c r="B4706" s="14">
        <v>38565</v>
      </c>
      <c r="C4706" s="2">
        <v>-4.5078687649999997E-2</v>
      </c>
      <c r="D4706" s="2">
        <v>0</v>
      </c>
      <c r="E4706" s="2">
        <v>1</v>
      </c>
      <c r="F4706" s="2">
        <v>5.2678549175104901E-2</v>
      </c>
      <c r="G4706" s="2">
        <v>1</v>
      </c>
    </row>
    <row r="4707" spans="1:7" x14ac:dyDescent="0.2">
      <c r="A4707" s="2" t="s">
        <v>71</v>
      </c>
      <c r="B4707" s="14">
        <v>38596</v>
      </c>
      <c r="C4707" s="2">
        <v>-2.2346368714999999E-2</v>
      </c>
      <c r="D4707" s="2">
        <v>0</v>
      </c>
      <c r="E4707" s="2">
        <v>1</v>
      </c>
      <c r="F4707" s="2">
        <v>4.7223986505680701E-2</v>
      </c>
      <c r="G4707" s="2">
        <v>1</v>
      </c>
    </row>
    <row r="4708" spans="1:7" x14ac:dyDescent="0.2">
      <c r="A4708" s="2" t="s">
        <v>71</v>
      </c>
      <c r="B4708" s="14">
        <v>38626</v>
      </c>
      <c r="C4708" s="2">
        <v>-2.8571428571E-2</v>
      </c>
      <c r="D4708" s="2">
        <v>0</v>
      </c>
      <c r="E4708" s="2">
        <v>1</v>
      </c>
      <c r="F4708" s="2">
        <v>4.1684500162897403E-2</v>
      </c>
      <c r="G4708" s="2">
        <v>1</v>
      </c>
    </row>
    <row r="4709" spans="1:7" x14ac:dyDescent="0.2">
      <c r="A4709" s="2" t="s">
        <v>71</v>
      </c>
      <c r="B4709" s="14">
        <v>38657</v>
      </c>
      <c r="C4709" s="2">
        <v>-0.11764705882</v>
      </c>
      <c r="D4709" s="19">
        <v>-1.689738E-5</v>
      </c>
      <c r="E4709" s="2">
        <v>1</v>
      </c>
      <c r="F4709" s="2">
        <v>4.0710183382863703E-2</v>
      </c>
      <c r="G4709" s="2">
        <v>1</v>
      </c>
    </row>
    <row r="4710" spans="1:7" x14ac:dyDescent="0.2">
      <c r="A4710" s="2" t="s">
        <v>71</v>
      </c>
      <c r="B4710" s="14">
        <v>38687</v>
      </c>
      <c r="C4710" s="2">
        <v>-0.16666666666999999</v>
      </c>
      <c r="D4710" s="2">
        <v>0</v>
      </c>
      <c r="E4710" s="2">
        <v>1</v>
      </c>
      <c r="F4710" s="2">
        <v>3.9633132191138003E-2</v>
      </c>
      <c r="G4710" s="2">
        <v>1</v>
      </c>
    </row>
    <row r="4711" spans="1:7" x14ac:dyDescent="0.2">
      <c r="A4711" s="2" t="s">
        <v>71</v>
      </c>
      <c r="B4711" s="14">
        <v>38718</v>
      </c>
      <c r="C4711" s="2">
        <v>0.2</v>
      </c>
      <c r="D4711" s="2">
        <v>0</v>
      </c>
      <c r="E4711" s="2">
        <v>1</v>
      </c>
      <c r="F4711" s="2">
        <v>3.3608283651056503E-2</v>
      </c>
      <c r="G4711" s="2">
        <v>1</v>
      </c>
    </row>
    <row r="4712" spans="1:7" x14ac:dyDescent="0.2">
      <c r="A4712" s="2" t="s">
        <v>71</v>
      </c>
      <c r="B4712" s="14">
        <v>38749</v>
      </c>
      <c r="C4712" s="2">
        <v>0</v>
      </c>
      <c r="D4712" s="2">
        <v>0</v>
      </c>
      <c r="E4712" s="2">
        <v>1</v>
      </c>
      <c r="F4712" s="2">
        <v>2.5357924186942001E-2</v>
      </c>
      <c r="G4712" s="2">
        <v>1</v>
      </c>
    </row>
    <row r="4713" spans="1:7" x14ac:dyDescent="0.2">
      <c r="A4713" s="2" t="s">
        <v>71</v>
      </c>
      <c r="B4713" s="14">
        <v>38777</v>
      </c>
      <c r="C4713" s="2">
        <v>-4.6666666676000003E-3</v>
      </c>
      <c r="D4713" s="2">
        <v>0</v>
      </c>
      <c r="E4713" s="2">
        <v>1</v>
      </c>
      <c r="F4713" s="2">
        <v>2.6615021323122299E-2</v>
      </c>
      <c r="G4713" s="2">
        <v>1</v>
      </c>
    </row>
    <row r="4714" spans="1:7" x14ac:dyDescent="0.2">
      <c r="A4714" s="2" t="s">
        <v>71</v>
      </c>
      <c r="B4714" s="14">
        <v>38808</v>
      </c>
      <c r="C4714" s="2">
        <v>-5.8941728063999999E-2</v>
      </c>
      <c r="D4714" s="2">
        <v>0</v>
      </c>
      <c r="E4714" s="2">
        <v>1</v>
      </c>
      <c r="F4714" s="2">
        <v>2.7042985227058398E-2</v>
      </c>
      <c r="G4714" s="2">
        <v>1</v>
      </c>
    </row>
    <row r="4715" spans="1:7" x14ac:dyDescent="0.2">
      <c r="A4715" s="2" t="s">
        <v>71</v>
      </c>
      <c r="B4715" s="14">
        <v>38838</v>
      </c>
      <c r="C4715" s="2">
        <v>-3.4017524738000002E-2</v>
      </c>
      <c r="D4715" s="2">
        <v>0</v>
      </c>
      <c r="E4715" s="2">
        <v>1</v>
      </c>
      <c r="F4715" s="2">
        <v>2.63338264112364E-2</v>
      </c>
      <c r="G4715" s="2">
        <v>1</v>
      </c>
    </row>
    <row r="4716" spans="1:7" x14ac:dyDescent="0.2">
      <c r="A4716" s="2" t="s">
        <v>71</v>
      </c>
      <c r="B4716" s="14">
        <v>38869</v>
      </c>
      <c r="C4716" s="2">
        <v>-5.6603773585000003E-2</v>
      </c>
      <c r="D4716" s="2">
        <v>0</v>
      </c>
      <c r="E4716" s="2">
        <v>1</v>
      </c>
      <c r="F4716" s="2">
        <v>2.88590110526818E-2</v>
      </c>
      <c r="G4716" s="2">
        <v>1</v>
      </c>
    </row>
    <row r="4717" spans="1:7" x14ac:dyDescent="0.2">
      <c r="A4717" s="2" t="s">
        <v>71</v>
      </c>
      <c r="B4717" s="14">
        <v>38899</v>
      </c>
      <c r="C4717" s="2">
        <v>4.0000000080999998E-4</v>
      </c>
      <c r="D4717" s="2">
        <v>0</v>
      </c>
      <c r="E4717" s="2">
        <v>1</v>
      </c>
      <c r="F4717" s="2">
        <v>3.2187455831430997E-2</v>
      </c>
      <c r="G4717" s="2">
        <v>1</v>
      </c>
    </row>
    <row r="4718" spans="1:7" x14ac:dyDescent="0.2">
      <c r="A4718" s="2" t="s">
        <v>71</v>
      </c>
      <c r="B4718" s="14">
        <v>38930</v>
      </c>
      <c r="C4718" s="2">
        <v>3.5185925630000003E-2</v>
      </c>
      <c r="D4718" s="2">
        <v>0</v>
      </c>
      <c r="E4718" s="2">
        <v>1</v>
      </c>
      <c r="F4718" s="2">
        <v>2.35591621999852E-2</v>
      </c>
      <c r="G4718" s="2">
        <v>1</v>
      </c>
    </row>
    <row r="4719" spans="1:7" x14ac:dyDescent="0.2">
      <c r="A4719" s="2" t="s">
        <v>71</v>
      </c>
      <c r="B4719" s="14">
        <v>38961</v>
      </c>
      <c r="C4719" s="2">
        <v>4.0942448821000003E-2</v>
      </c>
      <c r="D4719" s="2">
        <v>0</v>
      </c>
      <c r="E4719" s="2">
        <v>1</v>
      </c>
      <c r="F4719" s="2">
        <v>2.4527437606440699E-2</v>
      </c>
      <c r="G4719" s="2">
        <v>1</v>
      </c>
    </row>
    <row r="4720" spans="1:7" x14ac:dyDescent="0.2">
      <c r="A4720" s="2" t="s">
        <v>71</v>
      </c>
      <c r="B4720" s="14">
        <v>38991</v>
      </c>
      <c r="C4720" s="2">
        <v>7.9777365491999999E-2</v>
      </c>
      <c r="D4720" s="2">
        <v>0</v>
      </c>
      <c r="E4720" s="2">
        <v>1</v>
      </c>
      <c r="F4720" s="2">
        <v>2.5787282469603E-2</v>
      </c>
      <c r="G4720" s="2">
        <v>1</v>
      </c>
    </row>
    <row r="4721" spans="1:7" x14ac:dyDescent="0.2">
      <c r="A4721" s="2" t="s">
        <v>71</v>
      </c>
      <c r="B4721" s="14">
        <v>39022</v>
      </c>
      <c r="C4721" s="2">
        <v>0.12965095007999999</v>
      </c>
      <c r="D4721" s="2">
        <v>0</v>
      </c>
      <c r="E4721" s="2">
        <v>1</v>
      </c>
      <c r="F4721" s="2">
        <v>2.96941232599067E-2</v>
      </c>
      <c r="G4721" s="2">
        <v>1</v>
      </c>
    </row>
    <row r="4722" spans="1:7" x14ac:dyDescent="0.2">
      <c r="A4722" s="2" t="s">
        <v>71</v>
      </c>
      <c r="B4722" s="14">
        <v>39052</v>
      </c>
      <c r="C4722" s="2">
        <v>-9.6774193548000001E-2</v>
      </c>
      <c r="D4722" s="2">
        <v>4.5997384000000001E-3</v>
      </c>
      <c r="E4722" s="2">
        <v>1</v>
      </c>
      <c r="F4722" s="2">
        <v>3.4300569106900103E-2</v>
      </c>
      <c r="G4722" s="2">
        <v>1</v>
      </c>
    </row>
    <row r="4723" spans="1:7" x14ac:dyDescent="0.2">
      <c r="A4723" s="2" t="s">
        <v>71</v>
      </c>
      <c r="B4723" s="14">
        <v>39083</v>
      </c>
      <c r="C4723" s="2">
        <v>0.13035714285</v>
      </c>
      <c r="D4723" s="19">
        <v>-1.1157519999999999E-5</v>
      </c>
      <c r="E4723" s="2">
        <v>1</v>
      </c>
      <c r="F4723" s="2">
        <v>3.3164425096079198E-2</v>
      </c>
      <c r="G4723" s="2">
        <v>1</v>
      </c>
    </row>
    <row r="4724" spans="1:7" x14ac:dyDescent="0.2">
      <c r="A4724" s="2" t="s">
        <v>71</v>
      </c>
      <c r="B4724" s="14">
        <v>39114</v>
      </c>
      <c r="C4724" s="2">
        <v>4.2654028434999998E-2</v>
      </c>
      <c r="D4724" s="19">
        <v>3.7111323999999997E-5</v>
      </c>
      <c r="E4724" s="2">
        <v>1</v>
      </c>
      <c r="F4724" s="2">
        <v>3.6416103120098499E-2</v>
      </c>
      <c r="G4724" s="2">
        <v>1</v>
      </c>
    </row>
    <row r="4725" spans="1:7" x14ac:dyDescent="0.2">
      <c r="A4725" s="2" t="s">
        <v>71</v>
      </c>
      <c r="B4725" s="14">
        <v>39142</v>
      </c>
      <c r="C4725" s="2">
        <v>-1.5151515152E-2</v>
      </c>
      <c r="D4725" s="2">
        <v>0</v>
      </c>
      <c r="E4725" s="2">
        <v>1</v>
      </c>
      <c r="F4725" s="2">
        <v>3.6542598661388002E-2</v>
      </c>
      <c r="G4725" s="2">
        <v>1</v>
      </c>
    </row>
    <row r="4726" spans="1:7" x14ac:dyDescent="0.2">
      <c r="A4726" s="2" t="s">
        <v>71</v>
      </c>
      <c r="B4726" s="14">
        <v>39173</v>
      </c>
      <c r="C4726" s="2">
        <v>0.12276923077</v>
      </c>
      <c r="D4726" s="2">
        <v>0</v>
      </c>
      <c r="E4726" s="2">
        <v>1</v>
      </c>
      <c r="F4726" s="2">
        <v>3.4474957353429203E-2</v>
      </c>
      <c r="G4726" s="2">
        <v>1</v>
      </c>
    </row>
    <row r="4727" spans="1:7" x14ac:dyDescent="0.2">
      <c r="A4727" s="2" t="s">
        <v>71</v>
      </c>
      <c r="B4727" s="14">
        <v>39203</v>
      </c>
      <c r="C4727" s="2">
        <v>-1.3542950082000001E-3</v>
      </c>
      <c r="D4727" s="19">
        <v>-2.9942513999999998E-5</v>
      </c>
      <c r="E4727" s="2">
        <v>1</v>
      </c>
      <c r="F4727" s="2">
        <v>3.5486491120444802E-2</v>
      </c>
      <c r="G4727" s="2">
        <v>1</v>
      </c>
    </row>
    <row r="4728" spans="1:7" x14ac:dyDescent="0.2">
      <c r="A4728" s="2" t="s">
        <v>71</v>
      </c>
      <c r="B4728" s="14">
        <v>39234</v>
      </c>
      <c r="C4728" s="2">
        <v>2.7777777779E-2</v>
      </c>
      <c r="D4728" s="2">
        <v>8.6833291999999999E-4</v>
      </c>
      <c r="E4728" s="2">
        <v>1</v>
      </c>
      <c r="F4728" s="2">
        <v>3.1694338115306697E-2</v>
      </c>
      <c r="G4728" s="2">
        <v>1</v>
      </c>
    </row>
    <row r="4729" spans="1:7" x14ac:dyDescent="0.2">
      <c r="A4729" s="2" t="s">
        <v>71</v>
      </c>
      <c r="B4729" s="14">
        <v>39264</v>
      </c>
      <c r="C4729" s="2">
        <v>5.9004879567999997E-2</v>
      </c>
      <c r="D4729" s="19">
        <v>2.9942513999999998E-5</v>
      </c>
      <c r="E4729" s="2">
        <v>1</v>
      </c>
      <c r="F4729" s="2">
        <v>3.51233504623438E-2</v>
      </c>
      <c r="G4729" s="2">
        <v>1</v>
      </c>
    </row>
    <row r="4730" spans="1:7" x14ac:dyDescent="0.2">
      <c r="A4730" s="2" t="s">
        <v>71</v>
      </c>
      <c r="B4730" s="14">
        <v>39295</v>
      </c>
      <c r="C4730" s="2">
        <v>-3.8356164385000002E-2</v>
      </c>
      <c r="D4730" s="2">
        <v>6.4548254000000001E-3</v>
      </c>
      <c r="E4730" s="2">
        <v>1</v>
      </c>
      <c r="F4730" s="2">
        <v>3.5782464356779703E-2</v>
      </c>
      <c r="G4730" s="2">
        <v>1</v>
      </c>
    </row>
    <row r="4731" spans="1:7" x14ac:dyDescent="0.2">
      <c r="A4731" s="2" t="s">
        <v>71</v>
      </c>
      <c r="B4731" s="14">
        <v>39326</v>
      </c>
      <c r="C4731" s="2">
        <v>-2.8490028471000002E-3</v>
      </c>
      <c r="D4731" s="2">
        <v>0</v>
      </c>
      <c r="E4731" s="2">
        <v>1</v>
      </c>
      <c r="F4731" s="2">
        <v>3.3613018166841702E-2</v>
      </c>
      <c r="G4731" s="2">
        <v>1</v>
      </c>
    </row>
    <row r="4732" spans="1:7" x14ac:dyDescent="0.2">
      <c r="A4732" s="2" t="s">
        <v>71</v>
      </c>
      <c r="B4732" s="14">
        <v>39356</v>
      </c>
      <c r="C4732" s="2">
        <v>0.12828571427999999</v>
      </c>
      <c r="D4732" s="2">
        <v>0</v>
      </c>
      <c r="E4732" s="2">
        <v>1</v>
      </c>
      <c r="F4732" s="2">
        <v>3.4003579874276699E-2</v>
      </c>
      <c r="G4732" s="2">
        <v>1</v>
      </c>
    </row>
    <row r="4733" spans="1:7" x14ac:dyDescent="0.2">
      <c r="A4733" s="2" t="s">
        <v>71</v>
      </c>
      <c r="B4733" s="14">
        <v>39387</v>
      </c>
      <c r="C4733" s="2">
        <v>-6.3053937704999993E-2</v>
      </c>
      <c r="D4733" s="2">
        <v>-8.4050772999999992E-3</v>
      </c>
      <c r="E4733" s="2">
        <v>1</v>
      </c>
      <c r="F4733" s="2">
        <v>3.3961961958584003E-2</v>
      </c>
      <c r="G4733" s="2">
        <v>1</v>
      </c>
    </row>
    <row r="4734" spans="1:7" x14ac:dyDescent="0.2">
      <c r="A4734" s="2" t="s">
        <v>71</v>
      </c>
      <c r="B4734" s="14">
        <v>39417</v>
      </c>
      <c r="C4734" s="2">
        <v>-1.3513513511999999E-2</v>
      </c>
      <c r="D4734" s="2">
        <v>0</v>
      </c>
      <c r="E4734" s="2">
        <v>1</v>
      </c>
      <c r="F4734" s="2">
        <v>3.2323988886519599E-2</v>
      </c>
      <c r="G4734" s="2">
        <v>1</v>
      </c>
    </row>
    <row r="4735" spans="1:7" x14ac:dyDescent="0.2">
      <c r="A4735" s="2" t="s">
        <v>71</v>
      </c>
      <c r="B4735" s="14">
        <v>39448</v>
      </c>
      <c r="C4735" s="2">
        <v>-5.4794520548999998E-2</v>
      </c>
      <c r="D4735" s="2">
        <v>8.3472709999999999E-3</v>
      </c>
      <c r="E4735" s="2">
        <v>1</v>
      </c>
      <c r="F4735" s="2">
        <v>3.0995931619775201E-2</v>
      </c>
      <c r="G4735" s="2">
        <v>1</v>
      </c>
    </row>
    <row r="4736" spans="1:7" x14ac:dyDescent="0.2">
      <c r="A4736" s="2" t="s">
        <v>71</v>
      </c>
      <c r="B4736" s="14">
        <v>39479</v>
      </c>
      <c r="C4736" s="2">
        <v>5.7971014494000002E-2</v>
      </c>
      <c r="D4736" s="19">
        <v>5.1707698000000003E-6</v>
      </c>
      <c r="E4736" s="2">
        <v>1</v>
      </c>
      <c r="F4736" s="2">
        <v>2.77675379250246E-2</v>
      </c>
      <c r="G4736" s="2">
        <v>1</v>
      </c>
    </row>
    <row r="4737" spans="1:7" x14ac:dyDescent="0.2">
      <c r="A4737" s="2" t="s">
        <v>71</v>
      </c>
      <c r="B4737" s="14">
        <v>39508</v>
      </c>
      <c r="C4737" s="2">
        <v>0.15068493150000001</v>
      </c>
      <c r="D4737" s="19">
        <v>-6.0781099000000002E-6</v>
      </c>
      <c r="E4737" s="2">
        <v>1</v>
      </c>
      <c r="F4737" s="2">
        <v>3.0436221318080301E-2</v>
      </c>
      <c r="G4737" s="2">
        <v>1</v>
      </c>
    </row>
    <row r="4738" spans="1:7" x14ac:dyDescent="0.2">
      <c r="A4738" s="2" t="s">
        <v>71</v>
      </c>
      <c r="B4738" s="14">
        <v>39539</v>
      </c>
      <c r="C4738" s="2">
        <v>0.16666666666999999</v>
      </c>
      <c r="D4738" s="19">
        <v>2.0260366E-5</v>
      </c>
      <c r="E4738" s="2">
        <v>1</v>
      </c>
      <c r="F4738" s="2">
        <v>3.4732860068532399E-2</v>
      </c>
      <c r="G4738" s="2">
        <v>1</v>
      </c>
    </row>
    <row r="4739" spans="1:7" x14ac:dyDescent="0.2">
      <c r="A4739" s="2" t="s">
        <v>71</v>
      </c>
      <c r="B4739" s="14">
        <v>39569</v>
      </c>
      <c r="C4739" s="2">
        <v>0.44343524314999999</v>
      </c>
      <c r="D4739" s="2">
        <v>0</v>
      </c>
      <c r="E4739" s="2">
        <v>1</v>
      </c>
      <c r="F4739" s="2">
        <v>3.5600882597469997E-2</v>
      </c>
      <c r="G4739" s="2">
        <v>1</v>
      </c>
    </row>
    <row r="4740" spans="1:7" x14ac:dyDescent="0.2">
      <c r="A4740" s="2" t="s">
        <v>71</v>
      </c>
      <c r="B4740" s="14">
        <v>39600</v>
      </c>
      <c r="C4740" s="2">
        <v>0.33223637144000001</v>
      </c>
      <c r="D4740" s="2">
        <v>0</v>
      </c>
      <c r="E4740" s="2">
        <v>1</v>
      </c>
      <c r="F4740" s="2">
        <v>5.0582578150231997E-2</v>
      </c>
      <c r="G4740" s="2">
        <v>1</v>
      </c>
    </row>
    <row r="4741" spans="1:7" x14ac:dyDescent="0.2">
      <c r="A4741" s="2" t="s">
        <v>71</v>
      </c>
      <c r="B4741" s="14">
        <v>39630</v>
      </c>
      <c r="C4741" s="2">
        <v>-3.3401353238000003E-2</v>
      </c>
      <c r="D4741" s="2">
        <v>0</v>
      </c>
      <c r="E4741" s="2">
        <v>1</v>
      </c>
      <c r="F4741" s="2">
        <v>6.0250152466109701E-2</v>
      </c>
      <c r="G4741" s="2">
        <v>1</v>
      </c>
    </row>
    <row r="4742" spans="1:7" x14ac:dyDescent="0.2">
      <c r="A4742" s="2" t="s">
        <v>71</v>
      </c>
      <c r="B4742" s="14">
        <v>39661</v>
      </c>
      <c r="C4742" s="2">
        <v>-6.6666666668000002E-2</v>
      </c>
      <c r="D4742" s="2">
        <v>0</v>
      </c>
      <c r="E4742" s="2">
        <v>1</v>
      </c>
      <c r="F4742" s="2">
        <v>5.3119979872830098E-2</v>
      </c>
      <c r="G4742" s="2">
        <v>1</v>
      </c>
    </row>
    <row r="4743" spans="1:7" x14ac:dyDescent="0.2">
      <c r="A4743" s="2" t="s">
        <v>71</v>
      </c>
      <c r="B4743" s="14">
        <v>39692</v>
      </c>
      <c r="C4743" s="2">
        <v>-0.28571428571000002</v>
      </c>
      <c r="D4743" s="2">
        <v>0</v>
      </c>
      <c r="E4743" s="2">
        <v>1</v>
      </c>
      <c r="F4743" s="2">
        <v>4.9717517205690502E-2</v>
      </c>
      <c r="G4743" s="2">
        <v>1</v>
      </c>
    </row>
    <row r="4744" spans="1:7" x14ac:dyDescent="0.2">
      <c r="A4744" s="2" t="s">
        <v>71</v>
      </c>
      <c r="B4744" s="14">
        <v>39722</v>
      </c>
      <c r="C4744" s="2">
        <v>-1.6666666665999998E-2</v>
      </c>
      <c r="D4744" s="2">
        <v>0</v>
      </c>
      <c r="E4744" s="2">
        <v>1</v>
      </c>
      <c r="F4744" s="2">
        <v>3.8461215543924503E-2</v>
      </c>
      <c r="G4744" s="2">
        <v>1</v>
      </c>
    </row>
    <row r="4745" spans="1:7" x14ac:dyDescent="0.2">
      <c r="A4745" s="2" t="s">
        <v>71</v>
      </c>
      <c r="B4745" s="14">
        <v>39753</v>
      </c>
      <c r="C4745" s="2">
        <v>0</v>
      </c>
      <c r="D4745" s="2">
        <v>0</v>
      </c>
      <c r="E4745" s="2">
        <v>1</v>
      </c>
      <c r="F4745" s="2">
        <v>3.3204902206716999E-2</v>
      </c>
      <c r="G4745" s="2">
        <v>1</v>
      </c>
    </row>
    <row r="4746" spans="1:7" x14ac:dyDescent="0.2">
      <c r="A4746" s="2" t="s">
        <v>71</v>
      </c>
      <c r="B4746" s="14">
        <v>39783</v>
      </c>
      <c r="C4746" s="2">
        <v>5.0847457626999999E-2</v>
      </c>
      <c r="D4746" s="2">
        <v>0</v>
      </c>
      <c r="E4746" s="2">
        <v>1</v>
      </c>
      <c r="F4746" s="2">
        <v>2.0346574079294199E-2</v>
      </c>
      <c r="G4746" s="2">
        <v>1</v>
      </c>
    </row>
    <row r="4747" spans="1:7" x14ac:dyDescent="0.2">
      <c r="A4747" s="2" t="s">
        <v>72</v>
      </c>
      <c r="B4747" s="14">
        <v>37591</v>
      </c>
      <c r="E4747" s="2">
        <v>1</v>
      </c>
      <c r="G4747" s="2">
        <v>1</v>
      </c>
    </row>
    <row r="4748" spans="1:7" x14ac:dyDescent="0.2">
      <c r="A4748" s="2" t="s">
        <v>72</v>
      </c>
      <c r="B4748" s="14">
        <v>37622</v>
      </c>
      <c r="E4748" s="2">
        <v>1</v>
      </c>
      <c r="G4748" s="2">
        <v>1</v>
      </c>
    </row>
    <row r="4749" spans="1:7" x14ac:dyDescent="0.2">
      <c r="A4749" s="2" t="s">
        <v>72</v>
      </c>
      <c r="B4749" s="14">
        <v>37653</v>
      </c>
      <c r="E4749" s="2">
        <v>1</v>
      </c>
      <c r="G4749" s="2">
        <v>1</v>
      </c>
    </row>
    <row r="4750" spans="1:7" x14ac:dyDescent="0.2">
      <c r="A4750" s="2" t="s">
        <v>72</v>
      </c>
      <c r="B4750" s="14">
        <v>37681</v>
      </c>
      <c r="E4750" s="2">
        <v>1</v>
      </c>
      <c r="G4750" s="2">
        <v>1</v>
      </c>
    </row>
    <row r="4751" spans="1:7" x14ac:dyDescent="0.2">
      <c r="A4751" s="2" t="s">
        <v>72</v>
      </c>
      <c r="B4751" s="14">
        <v>37712</v>
      </c>
      <c r="E4751" s="2">
        <v>1</v>
      </c>
      <c r="G4751" s="2">
        <v>1</v>
      </c>
    </row>
    <row r="4752" spans="1:7" x14ac:dyDescent="0.2">
      <c r="A4752" s="2" t="s">
        <v>72</v>
      </c>
      <c r="B4752" s="14">
        <v>37742</v>
      </c>
      <c r="E4752" s="2">
        <v>1</v>
      </c>
      <c r="G4752" s="2">
        <v>1</v>
      </c>
    </row>
    <row r="4753" spans="1:7" x14ac:dyDescent="0.2">
      <c r="A4753" s="2" t="s">
        <v>72</v>
      </c>
      <c r="B4753" s="14">
        <v>37773</v>
      </c>
      <c r="E4753" s="2">
        <v>1</v>
      </c>
      <c r="G4753" s="2">
        <v>1</v>
      </c>
    </row>
    <row r="4754" spans="1:7" x14ac:dyDescent="0.2">
      <c r="A4754" s="2" t="s">
        <v>72</v>
      </c>
      <c r="B4754" s="14">
        <v>37803</v>
      </c>
      <c r="E4754" s="2">
        <v>1</v>
      </c>
      <c r="G4754" s="2">
        <v>1</v>
      </c>
    </row>
    <row r="4755" spans="1:7" x14ac:dyDescent="0.2">
      <c r="A4755" s="2" t="s">
        <v>72</v>
      </c>
      <c r="B4755" s="14">
        <v>37834</v>
      </c>
      <c r="E4755" s="2">
        <v>1</v>
      </c>
      <c r="G4755" s="2">
        <v>1</v>
      </c>
    </row>
    <row r="4756" spans="1:7" x14ac:dyDescent="0.2">
      <c r="A4756" s="2" t="s">
        <v>72</v>
      </c>
      <c r="B4756" s="14">
        <v>37865</v>
      </c>
      <c r="E4756" s="2">
        <v>1</v>
      </c>
      <c r="G4756" s="2">
        <v>1</v>
      </c>
    </row>
    <row r="4757" spans="1:7" x14ac:dyDescent="0.2">
      <c r="A4757" s="2" t="s">
        <v>72</v>
      </c>
      <c r="B4757" s="14">
        <v>37895</v>
      </c>
      <c r="C4757" s="2">
        <v>9.6774193549000007E-2</v>
      </c>
      <c r="D4757" s="2">
        <v>3.3656389000000001E-3</v>
      </c>
      <c r="E4757" s="2">
        <v>1</v>
      </c>
      <c r="G4757" s="2">
        <v>1</v>
      </c>
    </row>
    <row r="4758" spans="1:7" x14ac:dyDescent="0.2">
      <c r="A4758" s="2" t="s">
        <v>72</v>
      </c>
      <c r="B4758" s="14">
        <v>37926</v>
      </c>
      <c r="C4758" s="2">
        <v>-6.6176470587999997E-2</v>
      </c>
      <c r="D4758" s="2">
        <v>2.6576533999999999E-2</v>
      </c>
      <c r="E4758" s="2">
        <v>1</v>
      </c>
      <c r="G4758" s="2">
        <v>1</v>
      </c>
    </row>
    <row r="4759" spans="1:7" x14ac:dyDescent="0.2">
      <c r="A4759" s="2" t="s">
        <v>72</v>
      </c>
      <c r="B4759" s="14">
        <v>37956</v>
      </c>
      <c r="C4759" s="2">
        <v>5.1968503935999999E-2</v>
      </c>
      <c r="D4759" s="2">
        <v>5.1241191000000004E-3</v>
      </c>
      <c r="E4759" s="2">
        <v>1</v>
      </c>
      <c r="G4759" s="2">
        <v>1</v>
      </c>
    </row>
    <row r="4760" spans="1:7" x14ac:dyDescent="0.2">
      <c r="A4760" s="2" t="s">
        <v>72</v>
      </c>
      <c r="B4760" s="14">
        <v>37987</v>
      </c>
      <c r="C4760" s="2">
        <v>-6.4206586826000001E-2</v>
      </c>
      <c r="E4760" s="2">
        <v>1</v>
      </c>
      <c r="G4760" s="2">
        <v>1</v>
      </c>
    </row>
    <row r="4761" spans="1:7" x14ac:dyDescent="0.2">
      <c r="A4761" s="2" t="s">
        <v>72</v>
      </c>
      <c r="B4761" s="14">
        <v>38018</v>
      </c>
      <c r="C4761" s="2">
        <v>7.9809953448000001E-2</v>
      </c>
      <c r="E4761" s="2">
        <v>1</v>
      </c>
      <c r="G4761" s="2">
        <v>1</v>
      </c>
    </row>
    <row r="4762" spans="1:7" x14ac:dyDescent="0.2">
      <c r="A4762" s="2" t="s">
        <v>72</v>
      </c>
      <c r="B4762" s="14">
        <v>38047</v>
      </c>
      <c r="C4762" s="2">
        <v>-3.7037037036000003E-2</v>
      </c>
      <c r="D4762" s="2">
        <v>2.7400069E-4</v>
      </c>
      <c r="E4762" s="2">
        <v>1</v>
      </c>
      <c r="G4762" s="2">
        <v>1</v>
      </c>
    </row>
    <row r="4763" spans="1:7" x14ac:dyDescent="0.2">
      <c r="A4763" s="2" t="s">
        <v>72</v>
      </c>
      <c r="B4763" s="14">
        <v>38078</v>
      </c>
      <c r="C4763" s="2">
        <v>2.3076923076999999E-2</v>
      </c>
      <c r="D4763" s="2">
        <v>0</v>
      </c>
      <c r="E4763" s="2">
        <v>1</v>
      </c>
      <c r="G4763" s="2">
        <v>1</v>
      </c>
    </row>
    <row r="4764" spans="1:7" x14ac:dyDescent="0.2">
      <c r="A4764" s="2" t="s">
        <v>72</v>
      </c>
      <c r="B4764" s="14">
        <v>38108</v>
      </c>
      <c r="C4764" s="2">
        <v>8.7479312875000007E-2</v>
      </c>
      <c r="D4764" s="2">
        <v>2.0063861999999998E-2</v>
      </c>
      <c r="E4764" s="2">
        <v>1</v>
      </c>
      <c r="G4764" s="2">
        <v>1</v>
      </c>
    </row>
    <row r="4765" spans="1:7" x14ac:dyDescent="0.2">
      <c r="A4765" s="2" t="s">
        <v>72</v>
      </c>
      <c r="B4765" s="14">
        <v>38139</v>
      </c>
      <c r="C4765" s="2">
        <v>6.1971830988E-2</v>
      </c>
      <c r="D4765" s="2">
        <v>1.1984938000000001E-2</v>
      </c>
      <c r="E4765" s="2">
        <v>1</v>
      </c>
      <c r="G4765" s="2">
        <v>1</v>
      </c>
    </row>
    <row r="4766" spans="1:7" x14ac:dyDescent="0.2">
      <c r="A4766" s="2" t="s">
        <v>72</v>
      </c>
      <c r="B4766" s="14">
        <v>38169</v>
      </c>
      <c r="C4766" s="2">
        <v>7.5596816976E-2</v>
      </c>
      <c r="D4766" s="2">
        <v>1.2842895E-2</v>
      </c>
      <c r="E4766" s="2">
        <v>1</v>
      </c>
      <c r="G4766" s="2">
        <v>1</v>
      </c>
    </row>
    <row r="4767" spans="1:7" x14ac:dyDescent="0.2">
      <c r="A4767" s="2" t="s">
        <v>72</v>
      </c>
      <c r="B4767" s="14">
        <v>38200</v>
      </c>
      <c r="C4767" s="2">
        <v>0.18175092477999999</v>
      </c>
      <c r="D4767" s="2">
        <v>2.3536640000000001E-3</v>
      </c>
      <c r="E4767" s="2">
        <v>1</v>
      </c>
      <c r="F4767" s="2">
        <v>1.87057737957778E-2</v>
      </c>
      <c r="G4767" s="2">
        <v>1</v>
      </c>
    </row>
    <row r="4768" spans="1:7" x14ac:dyDescent="0.2">
      <c r="A4768" s="2" t="s">
        <v>72</v>
      </c>
      <c r="B4768" s="14">
        <v>38231</v>
      </c>
      <c r="C4768" s="2">
        <v>0.12687813021</v>
      </c>
      <c r="D4768" s="2">
        <v>4.0401756000000002E-3</v>
      </c>
      <c r="E4768" s="2">
        <v>1</v>
      </c>
      <c r="F4768" s="2">
        <v>2.1494686356200901E-2</v>
      </c>
      <c r="G4768" s="2">
        <v>1</v>
      </c>
    </row>
    <row r="4769" spans="1:7" x14ac:dyDescent="0.2">
      <c r="A4769" s="2" t="s">
        <v>72</v>
      </c>
      <c r="B4769" s="14">
        <v>38261</v>
      </c>
      <c r="C4769" s="2">
        <v>-7.4074074074000004E-2</v>
      </c>
      <c r="D4769" s="2">
        <v>-2.0825912E-3</v>
      </c>
      <c r="E4769" s="2">
        <v>1</v>
      </c>
      <c r="F4769" s="2">
        <v>2.5963999035376599E-2</v>
      </c>
      <c r="G4769" s="2">
        <v>1</v>
      </c>
    </row>
    <row r="4770" spans="1:7" x14ac:dyDescent="0.2">
      <c r="A4770" s="2" t="s">
        <v>72</v>
      </c>
      <c r="B4770" s="14">
        <v>38292</v>
      </c>
      <c r="C4770" s="2">
        <v>0.12699999999</v>
      </c>
      <c r="D4770" s="2">
        <v>-6.3102761999999995E-4</v>
      </c>
      <c r="E4770" s="2">
        <v>1</v>
      </c>
      <c r="F4770" s="2">
        <v>2.3453762705811801E-2</v>
      </c>
      <c r="G4770" s="2">
        <v>1</v>
      </c>
    </row>
    <row r="4771" spans="1:7" x14ac:dyDescent="0.2">
      <c r="A4771" s="2" t="s">
        <v>72</v>
      </c>
      <c r="B4771" s="14">
        <v>38322</v>
      </c>
      <c r="C4771" s="2">
        <v>6.4773735580999997E-2</v>
      </c>
      <c r="D4771" s="2">
        <v>-4.4889687999999997E-3</v>
      </c>
      <c r="E4771" s="2">
        <v>1</v>
      </c>
      <c r="F4771" s="2">
        <v>2.42628672209299E-2</v>
      </c>
      <c r="G4771" s="2">
        <v>1</v>
      </c>
    </row>
    <row r="4772" spans="1:7" x14ac:dyDescent="0.2">
      <c r="A4772" s="2" t="s">
        <v>72</v>
      </c>
      <c r="B4772" s="14">
        <v>38353</v>
      </c>
      <c r="C4772" s="2">
        <v>-2.5000000001E-2</v>
      </c>
      <c r="D4772" s="2">
        <v>4.5827258000000003E-2</v>
      </c>
      <c r="E4772" s="2">
        <v>1</v>
      </c>
      <c r="F4772" s="2">
        <v>2.4202264435512599E-2</v>
      </c>
      <c r="G4772" s="2">
        <v>1</v>
      </c>
    </row>
    <row r="4773" spans="1:7" x14ac:dyDescent="0.2">
      <c r="A4773" s="2" t="s">
        <v>72</v>
      </c>
      <c r="B4773" s="14">
        <v>38384</v>
      </c>
      <c r="C4773" s="2">
        <v>2.5641025641000001E-2</v>
      </c>
      <c r="D4773" s="2">
        <v>-1.6806513999999999E-3</v>
      </c>
      <c r="E4773" s="2">
        <v>1</v>
      </c>
      <c r="F4773" s="2">
        <v>2.1266094205888299E-2</v>
      </c>
      <c r="G4773" s="2">
        <v>1</v>
      </c>
    </row>
    <row r="4774" spans="1:7" x14ac:dyDescent="0.2">
      <c r="A4774" s="2" t="s">
        <v>72</v>
      </c>
      <c r="B4774" s="14">
        <v>38412</v>
      </c>
      <c r="C4774" s="2">
        <v>-2.2833333333E-2</v>
      </c>
      <c r="D4774" s="2">
        <v>5.3272787000000002E-3</v>
      </c>
      <c r="E4774" s="2">
        <v>1</v>
      </c>
      <c r="F4774" s="2">
        <v>1.6701700799314299E-2</v>
      </c>
      <c r="G4774" s="2">
        <v>1</v>
      </c>
    </row>
    <row r="4775" spans="1:7" x14ac:dyDescent="0.2">
      <c r="A4775" s="2" t="s">
        <v>72</v>
      </c>
      <c r="B4775" s="14">
        <v>38443</v>
      </c>
      <c r="C4775" s="2">
        <v>-6.4813235540000002E-3</v>
      </c>
      <c r="D4775" s="2">
        <v>-2.9958074E-4</v>
      </c>
      <c r="E4775" s="2">
        <v>1</v>
      </c>
      <c r="F4775" s="2">
        <v>1.2401598558805601E-2</v>
      </c>
      <c r="G4775" s="2">
        <v>1</v>
      </c>
    </row>
    <row r="4776" spans="1:7" x14ac:dyDescent="0.2">
      <c r="A4776" s="2" t="s">
        <v>72</v>
      </c>
      <c r="B4776" s="14">
        <v>38473</v>
      </c>
      <c r="C4776" s="2">
        <v>4.7577426614000003E-2</v>
      </c>
      <c r="D4776" s="2">
        <v>4.3986010999999998E-3</v>
      </c>
      <c r="E4776" s="2">
        <v>1</v>
      </c>
      <c r="F4776" s="2">
        <v>1.4399670756250401E-2</v>
      </c>
      <c r="G4776" s="2">
        <v>1</v>
      </c>
    </row>
    <row r="4777" spans="1:7" x14ac:dyDescent="0.2">
      <c r="A4777" s="2" t="s">
        <v>72</v>
      </c>
      <c r="B4777" s="14">
        <v>38504</v>
      </c>
      <c r="C4777" s="2">
        <v>8.3513918985999996E-2</v>
      </c>
      <c r="D4777" s="19">
        <v>7.8753240999999996E-5</v>
      </c>
      <c r="E4777" s="2">
        <v>1</v>
      </c>
      <c r="F4777" s="2">
        <v>1.20223361192276E-2</v>
      </c>
      <c r="G4777" s="2">
        <v>1</v>
      </c>
    </row>
    <row r="4778" spans="1:7" x14ac:dyDescent="0.2">
      <c r="A4778" s="2" t="s">
        <v>72</v>
      </c>
      <c r="B4778" s="14">
        <v>38534</v>
      </c>
      <c r="C4778" s="2">
        <v>0.18076923077000001</v>
      </c>
      <c r="D4778" s="2">
        <v>3.5008753000000002E-3</v>
      </c>
      <c r="E4778" s="2">
        <v>1</v>
      </c>
      <c r="F4778" s="2">
        <v>1.23927632637017E-2</v>
      </c>
      <c r="G4778" s="2">
        <v>1</v>
      </c>
    </row>
    <row r="4779" spans="1:7" x14ac:dyDescent="0.2">
      <c r="A4779" s="2" t="s">
        <v>72</v>
      </c>
      <c r="B4779" s="14">
        <v>38565</v>
      </c>
      <c r="C4779" s="2">
        <v>-1.9543973942000002E-2</v>
      </c>
      <c r="D4779" s="2">
        <v>-2.9298489000000001E-4</v>
      </c>
      <c r="E4779" s="2">
        <v>1</v>
      </c>
      <c r="F4779" s="2">
        <v>1.02872889624471E-2</v>
      </c>
      <c r="G4779" s="2">
        <v>1</v>
      </c>
    </row>
    <row r="4780" spans="1:7" x14ac:dyDescent="0.2">
      <c r="A4780" s="2" t="s">
        <v>72</v>
      </c>
      <c r="B4780" s="14">
        <v>38596</v>
      </c>
      <c r="C4780" s="2">
        <v>6.2990033222000003E-2</v>
      </c>
      <c r="D4780" s="2">
        <v>1.2572645000000001E-3</v>
      </c>
      <c r="E4780" s="2">
        <v>1</v>
      </c>
      <c r="F4780" s="2">
        <v>8.8967125466118107E-3</v>
      </c>
      <c r="G4780" s="2">
        <v>1</v>
      </c>
    </row>
    <row r="4781" spans="1:7" x14ac:dyDescent="0.2">
      <c r="A4781" s="2" t="s">
        <v>72</v>
      </c>
      <c r="B4781" s="14">
        <v>38626</v>
      </c>
      <c r="C4781" s="2">
        <v>-4.9881235154000003E-2</v>
      </c>
      <c r="D4781" s="2">
        <v>1.5785055E-3</v>
      </c>
      <c r="E4781" s="2">
        <v>1</v>
      </c>
      <c r="F4781" s="2">
        <v>1.11564702121966E-2</v>
      </c>
      <c r="G4781" s="2">
        <v>1</v>
      </c>
    </row>
    <row r="4782" spans="1:7" x14ac:dyDescent="0.2">
      <c r="A4782" s="2" t="s">
        <v>72</v>
      </c>
      <c r="B4782" s="14">
        <v>38657</v>
      </c>
      <c r="C4782" s="2">
        <v>-3.9473684210999997E-2</v>
      </c>
      <c r="D4782" s="2">
        <v>9.2738547000000005E-4</v>
      </c>
      <c r="E4782" s="2">
        <v>1</v>
      </c>
      <c r="F4782" s="2">
        <v>9.96074594205313E-3</v>
      </c>
      <c r="G4782" s="2">
        <v>1</v>
      </c>
    </row>
    <row r="4783" spans="1:7" x14ac:dyDescent="0.2">
      <c r="A4783" s="2" t="s">
        <v>72</v>
      </c>
      <c r="B4783" s="14">
        <v>38687</v>
      </c>
      <c r="C4783" s="2">
        <v>-4.1095890411000001E-2</v>
      </c>
      <c r="D4783" s="2">
        <v>5.5230632E-3</v>
      </c>
      <c r="E4783" s="2">
        <v>1</v>
      </c>
      <c r="F4783" s="2">
        <v>7.4886962906089202E-3</v>
      </c>
      <c r="G4783" s="2">
        <v>1</v>
      </c>
    </row>
    <row r="4784" spans="1:7" x14ac:dyDescent="0.2">
      <c r="A4784" s="2" t="s">
        <v>72</v>
      </c>
      <c r="B4784" s="14">
        <v>38718</v>
      </c>
      <c r="C4784" s="2">
        <v>0.13571428570999999</v>
      </c>
      <c r="D4784" s="2">
        <v>3.8819048000000001E-3</v>
      </c>
      <c r="E4784" s="2">
        <v>1</v>
      </c>
      <c r="F4784" s="2">
        <v>4.0080307459744204E-3</v>
      </c>
      <c r="G4784" s="2">
        <v>1</v>
      </c>
    </row>
    <row r="4785" spans="1:7" x14ac:dyDescent="0.2">
      <c r="A4785" s="2" t="s">
        <v>72</v>
      </c>
      <c r="B4785" s="14">
        <v>38749</v>
      </c>
      <c r="C4785" s="2">
        <v>6.2893081758E-3</v>
      </c>
      <c r="D4785" s="2">
        <v>2.7268492E-3</v>
      </c>
      <c r="E4785" s="2">
        <v>1</v>
      </c>
      <c r="F4785" s="2">
        <v>2.5411345921027601E-3</v>
      </c>
      <c r="G4785" s="2">
        <v>1</v>
      </c>
    </row>
    <row r="4786" spans="1:7" x14ac:dyDescent="0.2">
      <c r="A4786" s="2" t="s">
        <v>72</v>
      </c>
      <c r="B4786" s="14">
        <v>38777</v>
      </c>
      <c r="C4786" s="2">
        <v>2.1874999999E-2</v>
      </c>
      <c r="D4786" s="2">
        <v>1.5661321999999998E-2</v>
      </c>
      <c r="E4786" s="2">
        <v>1</v>
      </c>
      <c r="F4786" s="2">
        <v>3.2789429820218102E-3</v>
      </c>
      <c r="G4786" s="2">
        <v>1</v>
      </c>
    </row>
    <row r="4787" spans="1:7" x14ac:dyDescent="0.2">
      <c r="A4787" s="2" t="s">
        <v>72</v>
      </c>
      <c r="B4787" s="14">
        <v>38808</v>
      </c>
      <c r="C4787" s="2">
        <v>9.1743119267000003E-2</v>
      </c>
      <c r="D4787" s="2">
        <v>8.0756674999999997E-3</v>
      </c>
      <c r="E4787" s="2">
        <v>1</v>
      </c>
      <c r="F4787" s="2">
        <v>2.0104865609795099E-3</v>
      </c>
      <c r="G4787" s="2">
        <v>1</v>
      </c>
    </row>
    <row r="4788" spans="1:7" x14ac:dyDescent="0.2">
      <c r="A4788" s="2" t="s">
        <v>72</v>
      </c>
      <c r="B4788" s="14">
        <v>38838</v>
      </c>
      <c r="C4788" s="2">
        <v>1.5546055188999999E-2</v>
      </c>
      <c r="D4788" s="2">
        <v>7.8355316000000008E-3</v>
      </c>
      <c r="E4788" s="2">
        <v>1</v>
      </c>
      <c r="F4788" s="2">
        <v>5.9176408682090897E-3</v>
      </c>
      <c r="G4788" s="2">
        <v>1</v>
      </c>
    </row>
    <row r="4789" spans="1:7" x14ac:dyDescent="0.2">
      <c r="A4789" s="2" t="s">
        <v>72</v>
      </c>
      <c r="B4789" s="14">
        <v>38869</v>
      </c>
      <c r="C4789" s="2">
        <v>-5.6022408962000001E-3</v>
      </c>
      <c r="D4789" s="2">
        <v>1.270221E-2</v>
      </c>
      <c r="E4789" s="2">
        <v>1</v>
      </c>
      <c r="F4789" s="2">
        <v>7.5124664024482203E-3</v>
      </c>
      <c r="G4789" s="2">
        <v>1</v>
      </c>
    </row>
    <row r="4790" spans="1:7" x14ac:dyDescent="0.2">
      <c r="A4790" s="2" t="s">
        <v>72</v>
      </c>
      <c r="B4790" s="14">
        <v>38899</v>
      </c>
      <c r="C4790" s="2">
        <v>1.7464788732000001E-2</v>
      </c>
      <c r="D4790" s="2">
        <v>5.1309959999999996E-3</v>
      </c>
      <c r="E4790" s="2">
        <v>1</v>
      </c>
      <c r="F4790" s="2">
        <v>8.5398047536311208E-3</v>
      </c>
      <c r="G4790" s="2">
        <v>1</v>
      </c>
    </row>
    <row r="4791" spans="1:7" x14ac:dyDescent="0.2">
      <c r="A4791" s="2" t="s">
        <v>72</v>
      </c>
      <c r="B4791" s="14">
        <v>38930</v>
      </c>
      <c r="C4791" s="2">
        <v>2.7131782944999999E-2</v>
      </c>
      <c r="D4791" s="2">
        <v>6.4287594999999998E-3</v>
      </c>
      <c r="E4791" s="2">
        <v>1</v>
      </c>
      <c r="F4791" s="2">
        <v>6.0535586644811304E-3</v>
      </c>
      <c r="G4791" s="2">
        <v>1</v>
      </c>
    </row>
    <row r="4792" spans="1:7" x14ac:dyDescent="0.2">
      <c r="A4792" s="2" t="s">
        <v>72</v>
      </c>
      <c r="B4792" s="14">
        <v>38961</v>
      </c>
      <c r="C4792" s="2">
        <v>5.9299191376000003E-2</v>
      </c>
      <c r="D4792" s="2">
        <v>5.5576684000000001E-3</v>
      </c>
      <c r="E4792" s="2">
        <v>1</v>
      </c>
      <c r="F4792" s="2">
        <v>6.57413287884096E-3</v>
      </c>
      <c r="G4792" s="2">
        <v>1</v>
      </c>
    </row>
    <row r="4793" spans="1:7" x14ac:dyDescent="0.2">
      <c r="A4793" s="2" t="s">
        <v>72</v>
      </c>
      <c r="B4793" s="14">
        <v>38991</v>
      </c>
      <c r="C4793" s="2">
        <v>8.3969465647999994E-2</v>
      </c>
      <c r="D4793" s="2">
        <v>1.3309666E-2</v>
      </c>
      <c r="E4793" s="2">
        <v>1</v>
      </c>
      <c r="F4793" s="2">
        <v>7.5195933486723798E-3</v>
      </c>
      <c r="G4793" s="2">
        <v>1</v>
      </c>
    </row>
    <row r="4794" spans="1:7" x14ac:dyDescent="0.2">
      <c r="A4794" s="2" t="s">
        <v>72</v>
      </c>
      <c r="B4794" s="14">
        <v>39022</v>
      </c>
      <c r="C4794" s="2">
        <v>0.16708920188000001</v>
      </c>
      <c r="D4794" s="2">
        <v>5.5236681000000003E-3</v>
      </c>
      <c r="E4794" s="2">
        <v>1</v>
      </c>
      <c r="F4794" s="2">
        <v>7.0758542159673503E-3</v>
      </c>
      <c r="G4794" s="2">
        <v>1</v>
      </c>
    </row>
    <row r="4795" spans="1:7" x14ac:dyDescent="0.2">
      <c r="A4795" s="2" t="s">
        <v>72</v>
      </c>
      <c r="B4795" s="14">
        <v>39052</v>
      </c>
      <c r="C4795" s="2">
        <v>9.6182469125999995E-2</v>
      </c>
      <c r="D4795" s="2">
        <v>2.7280832000000001E-3</v>
      </c>
      <c r="E4795" s="2">
        <v>1</v>
      </c>
      <c r="F4795" s="2">
        <v>1.12515518651833E-2</v>
      </c>
      <c r="G4795" s="2">
        <v>1</v>
      </c>
    </row>
    <row r="4796" spans="1:7" x14ac:dyDescent="0.2">
      <c r="A4796" s="2" t="s">
        <v>72</v>
      </c>
      <c r="B4796" s="14">
        <v>39083</v>
      </c>
      <c r="C4796" s="2">
        <v>0.14495412844</v>
      </c>
      <c r="D4796" s="2">
        <v>-3.7406823000000001E-3</v>
      </c>
      <c r="E4796" s="2">
        <v>1</v>
      </c>
      <c r="F4796" s="2">
        <v>1.38767710478154E-2</v>
      </c>
      <c r="G4796" s="2">
        <v>1</v>
      </c>
    </row>
    <row r="4797" spans="1:7" x14ac:dyDescent="0.2">
      <c r="A4797" s="2" t="s">
        <v>72</v>
      </c>
      <c r="B4797" s="14">
        <v>39114</v>
      </c>
      <c r="C4797" s="2">
        <v>-2.5641025641000001E-2</v>
      </c>
      <c r="D4797" s="2">
        <v>-3.4215847999999999E-3</v>
      </c>
      <c r="E4797" s="2">
        <v>1</v>
      </c>
      <c r="F4797" s="2">
        <v>1.72746753716299E-2</v>
      </c>
      <c r="G4797" s="2">
        <v>1</v>
      </c>
    </row>
    <row r="4798" spans="1:7" x14ac:dyDescent="0.2">
      <c r="A4798" s="2" t="s">
        <v>72</v>
      </c>
      <c r="B4798" s="14">
        <v>39142</v>
      </c>
      <c r="C4798" s="2">
        <v>-5.3696815336999999E-2</v>
      </c>
      <c r="D4798" s="2">
        <v>5.1985658000000003E-4</v>
      </c>
      <c r="E4798" s="2">
        <v>1</v>
      </c>
      <c r="F4798" s="2">
        <v>1.5873471849060301E-2</v>
      </c>
      <c r="G4798" s="2">
        <v>1</v>
      </c>
    </row>
    <row r="4799" spans="1:7" x14ac:dyDescent="0.2">
      <c r="A4799" s="2" t="s">
        <v>72</v>
      </c>
      <c r="B4799" s="14">
        <v>39173</v>
      </c>
      <c r="C4799" s="2">
        <v>2.7936086150000001E-2</v>
      </c>
      <c r="D4799" s="2">
        <v>1.2217980999999999E-2</v>
      </c>
      <c r="E4799" s="2">
        <v>1</v>
      </c>
      <c r="F4799" s="2">
        <v>1.28835835143038E-2</v>
      </c>
      <c r="G4799" s="2">
        <v>1</v>
      </c>
    </row>
    <row r="4800" spans="1:7" x14ac:dyDescent="0.2">
      <c r="A4800" s="2" t="s">
        <v>72</v>
      </c>
      <c r="B4800" s="14">
        <v>39203</v>
      </c>
      <c r="C4800" s="2">
        <v>3.6430840536999999E-2</v>
      </c>
      <c r="D4800" s="2">
        <v>-1.7658534999999999E-3</v>
      </c>
      <c r="E4800" s="2">
        <v>1</v>
      </c>
      <c r="F4800" s="2">
        <v>1.11842801174019E-2</v>
      </c>
      <c r="G4800" s="2">
        <v>1</v>
      </c>
    </row>
    <row r="4801" spans="1:7" x14ac:dyDescent="0.2">
      <c r="A4801" s="2" t="s">
        <v>72</v>
      </c>
      <c r="B4801" s="14">
        <v>39234</v>
      </c>
      <c r="C4801" s="2">
        <v>6.0011962517999999E-2</v>
      </c>
      <c r="D4801" s="2">
        <v>-7.1477423999999996E-4</v>
      </c>
      <c r="E4801" s="2">
        <v>1</v>
      </c>
      <c r="F4801" s="2">
        <v>7.345050692122E-3</v>
      </c>
      <c r="G4801" s="2">
        <v>1</v>
      </c>
    </row>
    <row r="4802" spans="1:7" x14ac:dyDescent="0.2">
      <c r="A4802" s="2" t="s">
        <v>72</v>
      </c>
      <c r="B4802" s="14">
        <v>39264</v>
      </c>
      <c r="C4802" s="2">
        <v>6.9592476484000004E-3</v>
      </c>
      <c r="D4802" s="2">
        <v>3.1716407000000001E-3</v>
      </c>
      <c r="E4802" s="2">
        <v>1</v>
      </c>
      <c r="F4802" s="2">
        <v>5.9850478756464896E-3</v>
      </c>
      <c r="G4802" s="2">
        <v>1</v>
      </c>
    </row>
    <row r="4803" spans="1:7" x14ac:dyDescent="0.2">
      <c r="A4803" s="2" t="s">
        <v>72</v>
      </c>
      <c r="B4803" s="14">
        <v>39295</v>
      </c>
      <c r="C4803" s="2">
        <v>7.4715148494000003E-3</v>
      </c>
      <c r="D4803" s="2">
        <v>9.9944836000000008E-4</v>
      </c>
      <c r="E4803" s="2">
        <v>1</v>
      </c>
      <c r="F4803" s="2">
        <v>-6.7518054403192798E-3</v>
      </c>
      <c r="G4803" s="2">
        <v>1</v>
      </c>
    </row>
    <row r="4804" spans="1:7" x14ac:dyDescent="0.2">
      <c r="A4804" s="2" t="s">
        <v>72</v>
      </c>
      <c r="B4804" s="14">
        <v>39326</v>
      </c>
      <c r="C4804" s="2">
        <v>-8.0650145218999995E-3</v>
      </c>
      <c r="D4804" s="2">
        <v>7.6216977E-4</v>
      </c>
      <c r="E4804" s="2">
        <v>1</v>
      </c>
      <c r="F4804" s="2">
        <v>-5.7943224825445696E-3</v>
      </c>
      <c r="G4804" s="2">
        <v>1</v>
      </c>
    </row>
    <row r="4805" spans="1:7" x14ac:dyDescent="0.2">
      <c r="A4805" s="2" t="s">
        <v>72</v>
      </c>
      <c r="B4805" s="14">
        <v>39356</v>
      </c>
      <c r="C4805" s="2">
        <v>0.13236347776999999</v>
      </c>
      <c r="D4805" s="2">
        <v>1.4248544000000001E-3</v>
      </c>
      <c r="E4805" s="2">
        <v>1</v>
      </c>
      <c r="F4805" s="2">
        <v>-4.4186942447553799E-3</v>
      </c>
      <c r="G4805" s="2">
        <v>1</v>
      </c>
    </row>
    <row r="4806" spans="1:7" x14ac:dyDescent="0.2">
      <c r="A4806" s="2" t="s">
        <v>72</v>
      </c>
      <c r="B4806" s="14">
        <v>39387</v>
      </c>
      <c r="C4806" s="2">
        <v>5.0784044016999999E-2</v>
      </c>
      <c r="D4806" s="2">
        <v>-5.1690642999999998E-3</v>
      </c>
      <c r="E4806" s="2">
        <v>1</v>
      </c>
      <c r="F4806" s="2">
        <v>-1.61219554757713E-3</v>
      </c>
      <c r="G4806" s="2">
        <v>1</v>
      </c>
    </row>
    <row r="4807" spans="1:7" x14ac:dyDescent="0.2">
      <c r="A4807" s="2" t="s">
        <v>72</v>
      </c>
      <c r="B4807" s="14">
        <v>39417</v>
      </c>
      <c r="C4807" s="2">
        <v>-0.14907320137999999</v>
      </c>
      <c r="D4807" s="2">
        <v>-3.8385227999999998E-4</v>
      </c>
      <c r="E4807" s="2">
        <v>1</v>
      </c>
      <c r="F4807" s="2">
        <v>-1.5032630001025301E-3</v>
      </c>
      <c r="G4807" s="2">
        <v>1</v>
      </c>
    </row>
    <row r="4808" spans="1:7" x14ac:dyDescent="0.2">
      <c r="A4808" s="2" t="s">
        <v>72</v>
      </c>
      <c r="B4808" s="14">
        <v>39448</v>
      </c>
      <c r="C4808" s="2">
        <v>-0.1550981478</v>
      </c>
      <c r="D4808" s="2">
        <v>1.2556172000000001E-2</v>
      </c>
      <c r="E4808" s="2">
        <v>1</v>
      </c>
      <c r="F4808" s="2">
        <v>-6.8427377530852701E-3</v>
      </c>
      <c r="G4808" s="2">
        <v>1</v>
      </c>
    </row>
    <row r="4809" spans="1:7" x14ac:dyDescent="0.2">
      <c r="A4809" s="2" t="s">
        <v>72</v>
      </c>
      <c r="B4809" s="14">
        <v>39479</v>
      </c>
      <c r="C4809" s="2">
        <v>3.9619824477999999E-2</v>
      </c>
      <c r="D4809" s="2">
        <v>-4.3808114999999998E-3</v>
      </c>
      <c r="E4809" s="2">
        <v>1</v>
      </c>
      <c r="F4809" s="2">
        <v>-1.1066801817017601E-2</v>
      </c>
      <c r="G4809" s="2">
        <v>1</v>
      </c>
    </row>
    <row r="4810" spans="1:7" x14ac:dyDescent="0.2">
      <c r="A4810" s="2" t="s">
        <v>72</v>
      </c>
      <c r="B4810" s="14">
        <v>39508</v>
      </c>
      <c r="C4810" s="2">
        <v>-8.9320116291999999E-2</v>
      </c>
      <c r="D4810" s="2">
        <v>4.6546985000000003E-3</v>
      </c>
      <c r="E4810" s="2">
        <v>1</v>
      </c>
      <c r="F4810" s="2">
        <v>-1.0212943750293999E-2</v>
      </c>
      <c r="G4810" s="2">
        <v>1</v>
      </c>
    </row>
    <row r="4811" spans="1:7" x14ac:dyDescent="0.2">
      <c r="A4811" s="2" t="s">
        <v>72</v>
      </c>
      <c r="B4811" s="14">
        <v>39539</v>
      </c>
      <c r="C4811" s="2">
        <v>2.0039232279000001E-2</v>
      </c>
      <c r="D4811" s="2">
        <v>3.5778314000000001E-4</v>
      </c>
      <c r="E4811" s="2">
        <v>1</v>
      </c>
      <c r="F4811" s="2">
        <v>-1.2297774297190599E-2</v>
      </c>
      <c r="G4811" s="2">
        <v>1</v>
      </c>
    </row>
    <row r="4812" spans="1:7" x14ac:dyDescent="0.2">
      <c r="A4812" s="2" t="s">
        <v>72</v>
      </c>
      <c r="B4812" s="14">
        <v>39569</v>
      </c>
      <c r="C4812" s="2">
        <v>1.5983816205000001E-2</v>
      </c>
      <c r="D4812" s="2">
        <v>-4.2053992000000004E-3</v>
      </c>
      <c r="E4812" s="2">
        <v>1</v>
      </c>
      <c r="F4812" s="2">
        <v>-1.5592370762963799E-2</v>
      </c>
      <c r="G4812" s="2">
        <v>1</v>
      </c>
    </row>
    <row r="4813" spans="1:7" x14ac:dyDescent="0.2">
      <c r="A4813" s="2" t="s">
        <v>72</v>
      </c>
      <c r="B4813" s="14">
        <v>39600</v>
      </c>
      <c r="C4813" s="2">
        <v>-0.19841209830000001</v>
      </c>
      <c r="D4813" s="2">
        <v>1.6428996E-3</v>
      </c>
      <c r="E4813" s="2">
        <v>1</v>
      </c>
      <c r="F4813" s="2">
        <v>-1.6604397680976001E-2</v>
      </c>
      <c r="G4813" s="2">
        <v>1</v>
      </c>
    </row>
    <row r="4814" spans="1:7" x14ac:dyDescent="0.2">
      <c r="A4814" s="2" t="s">
        <v>72</v>
      </c>
      <c r="B4814" s="14">
        <v>39630</v>
      </c>
      <c r="C4814" s="2">
        <v>-0.10970663144999999</v>
      </c>
      <c r="D4814" s="2">
        <v>-1.1633325999999999E-2</v>
      </c>
      <c r="E4814" s="2">
        <v>1</v>
      </c>
      <c r="F4814" s="2">
        <v>-1.72743126900139E-2</v>
      </c>
      <c r="G4814" s="2">
        <v>1</v>
      </c>
    </row>
    <row r="4815" spans="1:7" x14ac:dyDescent="0.2">
      <c r="A4815" s="2" t="s">
        <v>72</v>
      </c>
      <c r="B4815" s="14">
        <v>39661</v>
      </c>
      <c r="C4815" s="2">
        <v>1.7164653528999999E-2</v>
      </c>
      <c r="D4815" s="2">
        <v>4.9558101E-4</v>
      </c>
      <c r="E4815" s="2">
        <v>1</v>
      </c>
      <c r="F4815" s="2">
        <v>-1.0619553177115101E-2</v>
      </c>
      <c r="G4815" s="2">
        <v>1</v>
      </c>
    </row>
    <row r="4816" spans="1:7" x14ac:dyDescent="0.2">
      <c r="A4816" s="2" t="s">
        <v>72</v>
      </c>
      <c r="B4816" s="14">
        <v>39692</v>
      </c>
      <c r="C4816" s="2">
        <v>-0.16822916667000001</v>
      </c>
      <c r="D4816" s="2">
        <v>-4.6270247999999998E-3</v>
      </c>
      <c r="E4816" s="2">
        <v>1</v>
      </c>
      <c r="F4816" s="2">
        <v>-1.1299030310625501E-2</v>
      </c>
      <c r="G4816" s="2">
        <v>1</v>
      </c>
    </row>
    <row r="4817" spans="1:7" x14ac:dyDescent="0.2">
      <c r="A4817" s="2" t="s">
        <v>72</v>
      </c>
      <c r="B4817" s="14">
        <v>39722</v>
      </c>
      <c r="C4817" s="2">
        <v>-0.28478396993999999</v>
      </c>
      <c r="D4817" s="2">
        <v>-6.2569328999999996E-3</v>
      </c>
      <c r="E4817" s="2">
        <v>1</v>
      </c>
      <c r="F4817" s="2">
        <v>-1.3041209497696099E-2</v>
      </c>
      <c r="G4817" s="2">
        <v>1</v>
      </c>
    </row>
    <row r="4818" spans="1:7" x14ac:dyDescent="0.2">
      <c r="A4818" s="2" t="s">
        <v>72</v>
      </c>
      <c r="B4818" s="14">
        <v>39753</v>
      </c>
      <c r="C4818" s="2">
        <v>-1.9348625458999999E-2</v>
      </c>
      <c r="D4818" s="2">
        <v>2.8044607000000002E-3</v>
      </c>
      <c r="E4818" s="2">
        <v>1</v>
      </c>
      <c r="F4818" s="2">
        <v>-2.1024457426705001E-2</v>
      </c>
      <c r="G4818" s="2">
        <v>1</v>
      </c>
    </row>
    <row r="4819" spans="1:7" x14ac:dyDescent="0.2">
      <c r="A4819" s="2" t="s">
        <v>72</v>
      </c>
      <c r="B4819" s="14">
        <v>39783</v>
      </c>
      <c r="C4819" s="2">
        <v>-3.5711097224000003E-2</v>
      </c>
      <c r="D4819" s="2">
        <v>-3.2927254E-3</v>
      </c>
      <c r="E4819" s="2">
        <v>1</v>
      </c>
      <c r="F4819" s="2">
        <v>-2.2114894501030501E-2</v>
      </c>
      <c r="G4819" s="2">
        <v>1</v>
      </c>
    </row>
    <row r="4820" spans="1:7" x14ac:dyDescent="0.2">
      <c r="A4820" s="2" t="s">
        <v>73</v>
      </c>
      <c r="B4820" s="14">
        <v>37591</v>
      </c>
      <c r="C4820" s="2">
        <v>-3.3333302425000003E-2</v>
      </c>
      <c r="E4820" s="2">
        <v>1</v>
      </c>
      <c r="G4820" s="2">
        <v>1</v>
      </c>
    </row>
    <row r="4821" spans="1:7" x14ac:dyDescent="0.2">
      <c r="A4821" s="2" t="s">
        <v>73</v>
      </c>
      <c r="B4821" s="14">
        <v>37622</v>
      </c>
      <c r="C4821" s="2">
        <v>-2.2988483697E-2</v>
      </c>
      <c r="E4821" s="2">
        <v>1</v>
      </c>
      <c r="G4821" s="2">
        <v>1</v>
      </c>
    </row>
    <row r="4822" spans="1:7" x14ac:dyDescent="0.2">
      <c r="A4822" s="2" t="s">
        <v>73</v>
      </c>
      <c r="B4822" s="14">
        <v>37653</v>
      </c>
      <c r="C4822" s="2">
        <v>7.0588236117999997E-2</v>
      </c>
      <c r="E4822" s="2">
        <v>1</v>
      </c>
      <c r="G4822" s="2">
        <v>1</v>
      </c>
    </row>
    <row r="4823" spans="1:7" x14ac:dyDescent="0.2">
      <c r="A4823" s="2" t="s">
        <v>73</v>
      </c>
      <c r="B4823" s="14">
        <v>37681</v>
      </c>
      <c r="C4823" s="2">
        <v>-4.3956066268999998E-2</v>
      </c>
      <c r="E4823" s="2">
        <v>1</v>
      </c>
      <c r="G4823" s="2">
        <v>1</v>
      </c>
    </row>
    <row r="4824" spans="1:7" x14ac:dyDescent="0.2">
      <c r="A4824" s="2" t="s">
        <v>73</v>
      </c>
      <c r="B4824" s="14">
        <v>37712</v>
      </c>
      <c r="C4824" s="2">
        <v>0.20689649030000001</v>
      </c>
      <c r="E4824" s="2">
        <v>1</v>
      </c>
      <c r="G4824" s="2">
        <v>1</v>
      </c>
    </row>
    <row r="4825" spans="1:7" x14ac:dyDescent="0.2">
      <c r="A4825" s="2" t="s">
        <v>73</v>
      </c>
      <c r="B4825" s="14">
        <v>37742</v>
      </c>
      <c r="C4825" s="2">
        <v>-3.7980484595000003E-2</v>
      </c>
      <c r="E4825" s="2">
        <v>1</v>
      </c>
      <c r="G4825" s="2">
        <v>1</v>
      </c>
    </row>
    <row r="4826" spans="1:7" x14ac:dyDescent="0.2">
      <c r="A4826" s="2" t="s">
        <v>73</v>
      </c>
      <c r="B4826" s="14">
        <v>37773</v>
      </c>
      <c r="C4826" s="2">
        <v>1.9999980927000002E-2</v>
      </c>
      <c r="E4826" s="2">
        <v>1</v>
      </c>
      <c r="G4826" s="2">
        <v>1</v>
      </c>
    </row>
    <row r="4827" spans="1:7" x14ac:dyDescent="0.2">
      <c r="A4827" s="2" t="s">
        <v>73</v>
      </c>
      <c r="B4827" s="14">
        <v>37803</v>
      </c>
      <c r="C4827" s="2">
        <v>9.8039124023000003E-3</v>
      </c>
      <c r="E4827" s="2">
        <v>1</v>
      </c>
      <c r="G4827" s="2">
        <v>1</v>
      </c>
    </row>
    <row r="4828" spans="1:7" x14ac:dyDescent="0.2">
      <c r="A4828" s="2" t="s">
        <v>73</v>
      </c>
      <c r="B4828" s="14">
        <v>37834</v>
      </c>
      <c r="C4828" s="2">
        <v>0.18446608009000001</v>
      </c>
      <c r="E4828" s="2">
        <v>1</v>
      </c>
      <c r="F4828" s="2">
        <v>5.6151524076242201E-2</v>
      </c>
      <c r="G4828" s="2">
        <v>1</v>
      </c>
    </row>
    <row r="4829" spans="1:7" x14ac:dyDescent="0.2">
      <c r="A4829" s="2" t="s">
        <v>73</v>
      </c>
      <c r="B4829" s="14">
        <v>37865</v>
      </c>
      <c r="C4829" s="2">
        <v>9.8360657338999999E-2</v>
      </c>
      <c r="E4829" s="2">
        <v>1</v>
      </c>
      <c r="F4829" s="2">
        <v>5.9249879477763202E-2</v>
      </c>
      <c r="G4829" s="2">
        <v>1</v>
      </c>
    </row>
    <row r="4830" spans="1:7" x14ac:dyDescent="0.2">
      <c r="A4830" s="2" t="s">
        <v>73</v>
      </c>
      <c r="B4830" s="14">
        <v>37895</v>
      </c>
      <c r="C4830" s="2">
        <v>7.4626792648000003E-3</v>
      </c>
      <c r="E4830" s="2">
        <v>1</v>
      </c>
      <c r="F4830" s="2">
        <v>6.3057333502944901E-2</v>
      </c>
      <c r="G4830" s="2">
        <v>1</v>
      </c>
    </row>
    <row r="4831" spans="1:7" x14ac:dyDescent="0.2">
      <c r="A4831" s="2" t="s">
        <v>73</v>
      </c>
      <c r="B4831" s="14">
        <v>37926</v>
      </c>
      <c r="C4831" s="2">
        <v>-5.9259275872999999E-2</v>
      </c>
      <c r="D4831" s="2">
        <v>0</v>
      </c>
      <c r="E4831" s="2">
        <v>1</v>
      </c>
      <c r="F4831" s="2">
        <v>5.72013714400764E-2</v>
      </c>
      <c r="G4831" s="2">
        <v>1</v>
      </c>
    </row>
    <row r="4832" spans="1:7" x14ac:dyDescent="0.2">
      <c r="A4832" s="2" t="s">
        <v>73</v>
      </c>
      <c r="B4832" s="14">
        <v>37956</v>
      </c>
      <c r="C4832" s="2">
        <v>-7.0866141731999996E-2</v>
      </c>
      <c r="D4832" s="2">
        <v>1.4403075E-3</v>
      </c>
      <c r="E4832" s="2">
        <v>1</v>
      </c>
      <c r="F4832" s="2">
        <v>5.6754142480695498E-2</v>
      </c>
      <c r="G4832" s="2">
        <v>1</v>
      </c>
    </row>
    <row r="4833" spans="1:7" x14ac:dyDescent="0.2">
      <c r="A4833" s="2" t="s">
        <v>73</v>
      </c>
      <c r="B4833" s="14">
        <v>37987</v>
      </c>
      <c r="C4833" s="2">
        <v>0</v>
      </c>
      <c r="E4833" s="2">
        <v>1</v>
      </c>
      <c r="F4833" s="2">
        <v>5.4323236771259803E-2</v>
      </c>
      <c r="G4833" s="2">
        <v>1</v>
      </c>
    </row>
    <row r="4834" spans="1:7" x14ac:dyDescent="0.2">
      <c r="A4834" s="2" t="s">
        <v>73</v>
      </c>
      <c r="B4834" s="14">
        <v>38018</v>
      </c>
      <c r="C4834" s="2">
        <v>0.14406779660999999</v>
      </c>
      <c r="E4834" s="2">
        <v>1</v>
      </c>
      <c r="F4834" s="2">
        <v>5.4021779524780697E-2</v>
      </c>
      <c r="G4834" s="2">
        <v>1</v>
      </c>
    </row>
    <row r="4835" spans="1:7" x14ac:dyDescent="0.2">
      <c r="A4835" s="2" t="s">
        <v>73</v>
      </c>
      <c r="B4835" s="14">
        <v>38047</v>
      </c>
      <c r="C4835" s="2">
        <v>-3.7037037038000001E-2</v>
      </c>
      <c r="D4835" s="2">
        <v>1.4460918000000001E-4</v>
      </c>
      <c r="E4835" s="2">
        <v>1</v>
      </c>
      <c r="F4835" s="2">
        <v>5.2644702862302002E-2</v>
      </c>
      <c r="G4835" s="2">
        <v>1</v>
      </c>
    </row>
    <row r="4836" spans="1:7" x14ac:dyDescent="0.2">
      <c r="A4836" s="2" t="s">
        <v>73</v>
      </c>
      <c r="B4836" s="14">
        <v>38078</v>
      </c>
      <c r="C4836" s="2">
        <v>-0.12307692307</v>
      </c>
      <c r="D4836" s="2">
        <v>5.6976016E-4</v>
      </c>
      <c r="E4836" s="2">
        <v>1</v>
      </c>
      <c r="F4836" s="2">
        <v>4.8809128098400802E-2</v>
      </c>
      <c r="G4836" s="2">
        <v>1</v>
      </c>
    </row>
    <row r="4837" spans="1:7" x14ac:dyDescent="0.2">
      <c r="A4837" s="2" t="s">
        <v>73</v>
      </c>
      <c r="B4837" s="14">
        <v>38108</v>
      </c>
      <c r="C4837" s="2">
        <v>3.5568407920000003E-2</v>
      </c>
      <c r="D4837" s="19">
        <v>7.2304588999999995E-5</v>
      </c>
      <c r="E4837" s="2">
        <v>1</v>
      </c>
      <c r="F4837" s="2">
        <v>4.5234957098264403E-2</v>
      </c>
      <c r="G4837" s="2">
        <v>1</v>
      </c>
    </row>
    <row r="4838" spans="1:7" x14ac:dyDescent="0.2">
      <c r="A4838" s="2" t="s">
        <v>73</v>
      </c>
      <c r="B4838" s="14">
        <v>38139</v>
      </c>
      <c r="C4838" s="2">
        <v>0.16521739129999999</v>
      </c>
      <c r="D4838" s="2">
        <v>9.2260656000000001E-4</v>
      </c>
      <c r="E4838" s="2">
        <v>1</v>
      </c>
      <c r="F4838" s="2">
        <v>4.79329823949807E-2</v>
      </c>
      <c r="G4838" s="2">
        <v>1</v>
      </c>
    </row>
    <row r="4839" spans="1:7" x14ac:dyDescent="0.2">
      <c r="A4839" s="2" t="s">
        <v>73</v>
      </c>
      <c r="B4839" s="14">
        <v>38169</v>
      </c>
      <c r="C4839" s="2">
        <v>-5.2238805970000003E-2</v>
      </c>
      <c r="D4839" s="2">
        <v>1.275453E-3</v>
      </c>
      <c r="E4839" s="2">
        <v>1</v>
      </c>
      <c r="F4839" s="2">
        <v>5.4587359207307798E-2</v>
      </c>
      <c r="G4839" s="2">
        <v>1</v>
      </c>
    </row>
    <row r="4840" spans="1:7" x14ac:dyDescent="0.2">
      <c r="A4840" s="2" t="s">
        <v>73</v>
      </c>
      <c r="B4840" s="14">
        <v>38200</v>
      </c>
      <c r="C4840" s="2">
        <v>0.17322834645999999</v>
      </c>
      <c r="D4840" s="2">
        <v>2.3282076999999999E-3</v>
      </c>
      <c r="E4840" s="2">
        <v>1</v>
      </c>
      <c r="F4840" s="2">
        <v>4.4371404902350003E-2</v>
      </c>
      <c r="G4840" s="2">
        <v>1</v>
      </c>
    </row>
    <row r="4841" spans="1:7" x14ac:dyDescent="0.2">
      <c r="A4841" s="2" t="s">
        <v>73</v>
      </c>
      <c r="B4841" s="14">
        <v>38231</v>
      </c>
      <c r="C4841" s="2">
        <v>-2.6845637583000001E-2</v>
      </c>
      <c r="D4841" s="2">
        <v>3.4995421000000001E-4</v>
      </c>
      <c r="E4841" s="2">
        <v>1</v>
      </c>
      <c r="F4841" s="2">
        <v>4.4821018185180701E-2</v>
      </c>
      <c r="G4841" s="2">
        <v>1</v>
      </c>
    </row>
    <row r="4842" spans="1:7" x14ac:dyDescent="0.2">
      <c r="A4842" s="2" t="s">
        <v>73</v>
      </c>
      <c r="B4842" s="14">
        <v>38261</v>
      </c>
      <c r="C4842" s="2">
        <v>0.10344827585999999</v>
      </c>
      <c r="D4842" s="2">
        <v>2.9095367000000001E-3</v>
      </c>
      <c r="E4842" s="2">
        <v>1</v>
      </c>
      <c r="F4842" s="2">
        <v>4.51396544711185E-2</v>
      </c>
      <c r="G4842" s="2">
        <v>1</v>
      </c>
    </row>
    <row r="4843" spans="1:7" x14ac:dyDescent="0.2">
      <c r="A4843" s="2" t="s">
        <v>73</v>
      </c>
      <c r="B4843" s="14">
        <v>38292</v>
      </c>
      <c r="C4843" s="2">
        <v>6.25E-2</v>
      </c>
      <c r="D4843" s="2">
        <v>7.5196777000000005E-4</v>
      </c>
      <c r="E4843" s="2">
        <v>1</v>
      </c>
      <c r="F4843" s="2">
        <v>5.1523176596930599E-2</v>
      </c>
      <c r="G4843" s="2">
        <v>1</v>
      </c>
    </row>
    <row r="4844" spans="1:7" x14ac:dyDescent="0.2">
      <c r="A4844" s="2" t="s">
        <v>73</v>
      </c>
      <c r="B4844" s="14">
        <v>38322</v>
      </c>
      <c r="C4844" s="2">
        <v>0</v>
      </c>
      <c r="D4844" s="2">
        <v>1.3043747999999999E-3</v>
      </c>
      <c r="E4844" s="2">
        <v>1</v>
      </c>
      <c r="F4844" s="2">
        <v>5.2112624488077998E-2</v>
      </c>
      <c r="G4844" s="2">
        <v>1</v>
      </c>
    </row>
    <row r="4845" spans="1:7" x14ac:dyDescent="0.2">
      <c r="A4845" s="2" t="s">
        <v>73</v>
      </c>
      <c r="B4845" s="14">
        <v>38353</v>
      </c>
      <c r="C4845" s="2">
        <v>-2.9411764706000001E-2</v>
      </c>
      <c r="D4845" s="2">
        <v>3.5313560999999999E-3</v>
      </c>
      <c r="E4845" s="2">
        <v>1</v>
      </c>
      <c r="F4845" s="2">
        <v>4.7252295681360398E-2</v>
      </c>
      <c r="G4845" s="2">
        <v>1</v>
      </c>
    </row>
    <row r="4846" spans="1:7" x14ac:dyDescent="0.2">
      <c r="A4846" s="2" t="s">
        <v>73</v>
      </c>
      <c r="B4846" s="14">
        <v>38384</v>
      </c>
      <c r="C4846" s="2">
        <v>0.15151515151</v>
      </c>
      <c r="D4846" s="2">
        <v>2.4005123000000001E-3</v>
      </c>
      <c r="E4846" s="2">
        <v>1</v>
      </c>
      <c r="F4846" s="2">
        <v>4.8006414926664902E-2</v>
      </c>
      <c r="G4846" s="2">
        <v>1</v>
      </c>
    </row>
    <row r="4847" spans="1:7" x14ac:dyDescent="0.2">
      <c r="A4847" s="2" t="s">
        <v>73</v>
      </c>
      <c r="B4847" s="14">
        <v>38412</v>
      </c>
      <c r="C4847" s="2">
        <v>0.18070713359000001</v>
      </c>
      <c r="D4847" s="2">
        <v>1.2147172E-3</v>
      </c>
      <c r="E4847" s="2">
        <v>1</v>
      </c>
      <c r="F4847" s="2">
        <v>4.7073067687107999E-2</v>
      </c>
      <c r="G4847" s="2">
        <v>1</v>
      </c>
    </row>
    <row r="4848" spans="1:7" x14ac:dyDescent="0.2">
      <c r="A4848" s="2" t="s">
        <v>73</v>
      </c>
      <c r="B4848" s="14">
        <v>38443</v>
      </c>
      <c r="C4848" s="2">
        <v>0.10232558139</v>
      </c>
      <c r="D4848" s="2">
        <v>5.0492999E-3</v>
      </c>
      <c r="E4848" s="2">
        <v>1</v>
      </c>
      <c r="F4848" s="2">
        <v>5.2885832139416701E-2</v>
      </c>
      <c r="G4848" s="2">
        <v>1</v>
      </c>
    </row>
    <row r="4849" spans="1:7" x14ac:dyDescent="0.2">
      <c r="A4849" s="2" t="s">
        <v>73</v>
      </c>
      <c r="B4849" s="14">
        <v>38473</v>
      </c>
      <c r="C4849" s="2">
        <v>-7.6130882588999998E-2</v>
      </c>
      <c r="D4849" s="2">
        <v>3.7509087000000001E-4</v>
      </c>
      <c r="E4849" s="2">
        <v>1</v>
      </c>
      <c r="F4849" s="2">
        <v>5.2332432595889697E-2</v>
      </c>
      <c r="G4849" s="2">
        <v>1</v>
      </c>
    </row>
    <row r="4850" spans="1:7" x14ac:dyDescent="0.2">
      <c r="A4850" s="2" t="s">
        <v>73</v>
      </c>
      <c r="B4850" s="14">
        <v>38504</v>
      </c>
      <c r="C4850" s="2">
        <v>0.12558139534000001</v>
      </c>
      <c r="D4850" s="2">
        <v>2.9718736000000001E-3</v>
      </c>
      <c r="E4850" s="2">
        <v>1</v>
      </c>
      <c r="F4850" s="2">
        <v>4.8732975813331303E-2</v>
      </c>
      <c r="G4850" s="2">
        <v>1</v>
      </c>
    </row>
    <row r="4851" spans="1:7" x14ac:dyDescent="0.2">
      <c r="A4851" s="2" t="s">
        <v>73</v>
      </c>
      <c r="B4851" s="14">
        <v>38534</v>
      </c>
      <c r="C4851" s="2">
        <v>0.34256198347</v>
      </c>
      <c r="D4851" s="19">
        <v>9.2656977000000001E-5</v>
      </c>
      <c r="E4851" s="2">
        <v>1</v>
      </c>
      <c r="F4851" s="2">
        <v>5.1531922915770099E-2</v>
      </c>
      <c r="G4851" s="2">
        <v>1</v>
      </c>
    </row>
    <row r="4852" spans="1:7" x14ac:dyDescent="0.2">
      <c r="A4852" s="2" t="s">
        <v>73</v>
      </c>
      <c r="B4852" s="14">
        <v>38565</v>
      </c>
      <c r="C4852" s="2">
        <v>-0.15050784855999999</v>
      </c>
      <c r="D4852" s="2">
        <v>0</v>
      </c>
      <c r="E4852" s="2">
        <v>1</v>
      </c>
      <c r="F4852" s="2">
        <v>5.5281416966105702E-2</v>
      </c>
      <c r="G4852" s="2">
        <v>1</v>
      </c>
    </row>
    <row r="4853" spans="1:7" x14ac:dyDescent="0.2">
      <c r="A4853" s="2" t="s">
        <v>73</v>
      </c>
      <c r="B4853" s="14">
        <v>38596</v>
      </c>
      <c r="C4853" s="2">
        <v>0</v>
      </c>
      <c r="D4853" s="2">
        <v>0</v>
      </c>
      <c r="E4853" s="2">
        <v>1</v>
      </c>
      <c r="F4853" s="2">
        <v>4.7226927094441901E-2</v>
      </c>
      <c r="G4853" s="2">
        <v>1</v>
      </c>
    </row>
    <row r="4854" spans="1:7" x14ac:dyDescent="0.2">
      <c r="A4854" s="2" t="s">
        <v>73</v>
      </c>
      <c r="B4854" s="14">
        <v>38626</v>
      </c>
      <c r="C4854" s="2">
        <v>-0.13043478259999999</v>
      </c>
      <c r="D4854" s="2">
        <v>0</v>
      </c>
      <c r="E4854" s="2">
        <v>1</v>
      </c>
      <c r="F4854" s="2">
        <v>4.1978331439399302E-2</v>
      </c>
      <c r="G4854" s="2">
        <v>1</v>
      </c>
    </row>
    <row r="4855" spans="1:7" x14ac:dyDescent="0.2">
      <c r="A4855" s="2" t="s">
        <v>73</v>
      </c>
      <c r="B4855" s="14">
        <v>38657</v>
      </c>
      <c r="C4855" s="2">
        <v>-5.0000000001000001E-2</v>
      </c>
      <c r="D4855" s="2">
        <v>1.1582123E-4</v>
      </c>
      <c r="E4855" s="2">
        <v>1</v>
      </c>
      <c r="F4855" s="2">
        <v>3.57805071067522E-2</v>
      </c>
      <c r="G4855" s="2">
        <v>1</v>
      </c>
    </row>
    <row r="4856" spans="1:7" x14ac:dyDescent="0.2">
      <c r="A4856" s="2" t="s">
        <v>73</v>
      </c>
      <c r="B4856" s="14">
        <v>38687</v>
      </c>
      <c r="C4856" s="2">
        <v>-5.7017543859E-2</v>
      </c>
      <c r="D4856" s="2">
        <v>1.6678255999999999E-3</v>
      </c>
      <c r="E4856" s="2">
        <v>1</v>
      </c>
      <c r="F4856" s="2">
        <v>3.6702031209453402E-2</v>
      </c>
      <c r="G4856" s="2">
        <v>1</v>
      </c>
    </row>
    <row r="4857" spans="1:7" x14ac:dyDescent="0.2">
      <c r="A4857" s="2" t="s">
        <v>73</v>
      </c>
      <c r="B4857" s="14">
        <v>38718</v>
      </c>
      <c r="C4857" s="2">
        <v>0.22790697673999999</v>
      </c>
      <c r="D4857" s="2">
        <v>1.0400746E-3</v>
      </c>
      <c r="E4857" s="2">
        <v>1</v>
      </c>
      <c r="F4857" s="2">
        <v>3.1603481262480602E-2</v>
      </c>
      <c r="G4857" s="2">
        <v>1</v>
      </c>
    </row>
    <row r="4858" spans="1:7" x14ac:dyDescent="0.2">
      <c r="A4858" s="2" t="s">
        <v>73</v>
      </c>
      <c r="B4858" s="14">
        <v>38749</v>
      </c>
      <c r="C4858" s="2">
        <v>7.9545454543999999E-2</v>
      </c>
      <c r="D4858" s="2">
        <v>1.8902024E-3</v>
      </c>
      <c r="E4858" s="2">
        <v>1</v>
      </c>
      <c r="F4858" s="2">
        <v>2.79818086512372E-2</v>
      </c>
      <c r="G4858" s="2">
        <v>1</v>
      </c>
    </row>
    <row r="4859" spans="1:7" x14ac:dyDescent="0.2">
      <c r="A4859" s="2" t="s">
        <v>73</v>
      </c>
      <c r="B4859" s="14">
        <v>38777</v>
      </c>
      <c r="C4859" s="2">
        <v>-0.12280701753999999</v>
      </c>
      <c r="D4859" s="2">
        <v>1.2485528000000001E-3</v>
      </c>
      <c r="E4859" s="2">
        <v>1</v>
      </c>
      <c r="F4859" s="2">
        <v>3.4403940977978303E-2</v>
      </c>
      <c r="G4859" s="2">
        <v>1</v>
      </c>
    </row>
    <row r="4860" spans="1:7" x14ac:dyDescent="0.2">
      <c r="A4860" s="2" t="s">
        <v>73</v>
      </c>
      <c r="B4860" s="14">
        <v>38808</v>
      </c>
      <c r="C4860" s="2">
        <v>0.02</v>
      </c>
      <c r="D4860" s="2">
        <v>0</v>
      </c>
      <c r="E4860" s="2">
        <v>1</v>
      </c>
      <c r="F4860" s="2">
        <v>3.1180846645501002E-2</v>
      </c>
      <c r="G4860" s="2">
        <v>1</v>
      </c>
    </row>
    <row r="4861" spans="1:7" x14ac:dyDescent="0.2">
      <c r="A4861" s="2" t="s">
        <v>73</v>
      </c>
      <c r="B4861" s="14">
        <v>38838</v>
      </c>
      <c r="C4861" s="2">
        <v>-9.9481605725000005E-2</v>
      </c>
      <c r="D4861" s="2">
        <v>0</v>
      </c>
      <c r="E4861" s="2">
        <v>1</v>
      </c>
      <c r="F4861" s="2">
        <v>3.5445014077912902E-2</v>
      </c>
      <c r="G4861" s="2">
        <v>1</v>
      </c>
    </row>
    <row r="4862" spans="1:7" x14ac:dyDescent="0.2">
      <c r="A4862" s="2" t="s">
        <v>73</v>
      </c>
      <c r="B4862" s="14">
        <v>38869</v>
      </c>
      <c r="C4862" s="2">
        <v>2.2222222222000002E-2</v>
      </c>
      <c r="D4862" s="2">
        <v>0</v>
      </c>
      <c r="E4862" s="2">
        <v>1</v>
      </c>
      <c r="F4862" s="2">
        <v>3.4327335227224198E-2</v>
      </c>
      <c r="G4862" s="2">
        <v>1</v>
      </c>
    </row>
    <row r="4863" spans="1:7" x14ac:dyDescent="0.2">
      <c r="A4863" s="2" t="s">
        <v>73</v>
      </c>
      <c r="B4863" s="14">
        <v>38899</v>
      </c>
      <c r="C4863" s="2">
        <v>2.7826086957999999E-2</v>
      </c>
      <c r="D4863" s="2">
        <v>0</v>
      </c>
      <c r="E4863" s="2">
        <v>1</v>
      </c>
      <c r="F4863" s="2">
        <v>3.64937337422905E-2</v>
      </c>
      <c r="G4863" s="2">
        <v>1</v>
      </c>
    </row>
    <row r="4864" spans="1:7" x14ac:dyDescent="0.2">
      <c r="A4864" s="2" t="s">
        <v>73</v>
      </c>
      <c r="B4864" s="14">
        <v>38930</v>
      </c>
      <c r="C4864" s="2">
        <v>-1.8612521151000001E-2</v>
      </c>
      <c r="D4864" s="2">
        <v>0</v>
      </c>
      <c r="E4864" s="2">
        <v>1</v>
      </c>
      <c r="F4864" s="2">
        <v>2.44665962267809E-2</v>
      </c>
      <c r="G4864" s="2">
        <v>1</v>
      </c>
    </row>
    <row r="4865" spans="1:7" x14ac:dyDescent="0.2">
      <c r="A4865" s="2" t="s">
        <v>73</v>
      </c>
      <c r="B4865" s="14">
        <v>38961</v>
      </c>
      <c r="C4865" s="2">
        <v>3.8793103448999999E-2</v>
      </c>
      <c r="D4865" s="2">
        <v>0</v>
      </c>
      <c r="E4865" s="2">
        <v>1</v>
      </c>
      <c r="F4865" s="2">
        <v>2.1519086306025101E-2</v>
      </c>
      <c r="G4865" s="2">
        <v>1</v>
      </c>
    </row>
    <row r="4866" spans="1:7" x14ac:dyDescent="0.2">
      <c r="A4866" s="2" t="s">
        <v>73</v>
      </c>
      <c r="B4866" s="14">
        <v>38991</v>
      </c>
      <c r="C4866" s="2">
        <v>9.9585062239999994E-2</v>
      </c>
      <c r="D4866" s="2">
        <v>0</v>
      </c>
      <c r="E4866" s="2">
        <v>1</v>
      </c>
      <c r="F4866" s="2">
        <v>2.6118699082551902E-2</v>
      </c>
      <c r="G4866" s="2">
        <v>1</v>
      </c>
    </row>
    <row r="4867" spans="1:7" x14ac:dyDescent="0.2">
      <c r="A4867" s="2" t="s">
        <v>73</v>
      </c>
      <c r="B4867" s="14">
        <v>39022</v>
      </c>
      <c r="C4867" s="2">
        <v>0.23109491627000001</v>
      </c>
      <c r="D4867" s="19">
        <v>-5.9645613000000003E-6</v>
      </c>
      <c r="E4867" s="2">
        <v>1</v>
      </c>
      <c r="F4867" s="2">
        <v>2.8122282826837201E-2</v>
      </c>
      <c r="G4867" s="2">
        <v>1</v>
      </c>
    </row>
    <row r="4868" spans="1:7" x14ac:dyDescent="0.2">
      <c r="A4868" s="2" t="s">
        <v>73</v>
      </c>
      <c r="B4868" s="14">
        <v>39052</v>
      </c>
      <c r="C4868" s="2">
        <v>-5.1612903225999998E-2</v>
      </c>
      <c r="D4868" s="2">
        <v>5.5729131999999997E-3</v>
      </c>
      <c r="E4868" s="2">
        <v>1</v>
      </c>
      <c r="F4868" s="2">
        <v>3.7616338834087097E-2</v>
      </c>
      <c r="G4868" s="2">
        <v>1</v>
      </c>
    </row>
    <row r="4869" spans="1:7" x14ac:dyDescent="0.2">
      <c r="A4869" s="2" t="s">
        <v>73</v>
      </c>
      <c r="B4869" s="14">
        <v>39083</v>
      </c>
      <c r="C4869" s="2">
        <v>7.4829931973000002E-2</v>
      </c>
      <c r="D4869" s="19">
        <v>1.6392131999999999E-5</v>
      </c>
      <c r="E4869" s="2">
        <v>1</v>
      </c>
      <c r="F4869" s="2">
        <v>3.5596132553054098E-2</v>
      </c>
      <c r="G4869" s="2">
        <v>1</v>
      </c>
    </row>
    <row r="4870" spans="1:7" x14ac:dyDescent="0.2">
      <c r="A4870" s="2" t="s">
        <v>73</v>
      </c>
      <c r="B4870" s="14">
        <v>39114</v>
      </c>
      <c r="C4870" s="2">
        <v>-3.1645569625000001E-3</v>
      </c>
      <c r="D4870" s="19">
        <v>2.3164244000000001E-5</v>
      </c>
      <c r="E4870" s="2">
        <v>1</v>
      </c>
      <c r="F4870" s="2">
        <v>3.6486148178990797E-2</v>
      </c>
      <c r="G4870" s="2">
        <v>1</v>
      </c>
    </row>
    <row r="4871" spans="1:7" x14ac:dyDescent="0.2">
      <c r="A4871" s="2" t="s">
        <v>73</v>
      </c>
      <c r="B4871" s="14">
        <v>39142</v>
      </c>
      <c r="C4871" s="2">
        <v>4.1269841268999997E-2</v>
      </c>
      <c r="D4871" s="2">
        <v>0</v>
      </c>
      <c r="E4871" s="2">
        <v>1</v>
      </c>
      <c r="F4871" s="2">
        <v>3.6914933751948299E-2</v>
      </c>
      <c r="G4871" s="2">
        <v>1</v>
      </c>
    </row>
    <row r="4872" spans="1:7" x14ac:dyDescent="0.2">
      <c r="A4872" s="2" t="s">
        <v>73</v>
      </c>
      <c r="B4872" s="14">
        <v>39173</v>
      </c>
      <c r="C4872" s="2">
        <v>0.11585365853</v>
      </c>
      <c r="D4872" s="2">
        <v>0</v>
      </c>
      <c r="E4872" s="2">
        <v>1</v>
      </c>
      <c r="F4872" s="2">
        <v>3.6295080181204503E-2</v>
      </c>
      <c r="G4872" s="2">
        <v>1</v>
      </c>
    </row>
    <row r="4873" spans="1:7" x14ac:dyDescent="0.2">
      <c r="A4873" s="2" t="s">
        <v>73</v>
      </c>
      <c r="B4873" s="14">
        <v>39203</v>
      </c>
      <c r="C4873" s="2">
        <v>4.9794944431E-2</v>
      </c>
      <c r="D4873" s="2">
        <v>1.4440807E-3</v>
      </c>
      <c r="E4873" s="2">
        <v>1</v>
      </c>
      <c r="F4873" s="2">
        <v>3.6578005100822097E-2</v>
      </c>
      <c r="G4873" s="2">
        <v>1</v>
      </c>
    </row>
    <row r="4874" spans="1:7" x14ac:dyDescent="0.2">
      <c r="A4874" s="2" t="s">
        <v>73</v>
      </c>
      <c r="B4874" s="14">
        <v>39234</v>
      </c>
      <c r="C4874" s="2">
        <v>1.3157894737000001E-2</v>
      </c>
      <c r="D4874" s="2">
        <v>1.8929165999999999E-3</v>
      </c>
      <c r="E4874" s="2">
        <v>1</v>
      </c>
      <c r="F4874" s="2">
        <v>3.1027990262521898E-2</v>
      </c>
      <c r="G4874" s="2">
        <v>1</v>
      </c>
    </row>
    <row r="4875" spans="1:7" x14ac:dyDescent="0.2">
      <c r="A4875" s="2" t="s">
        <v>73</v>
      </c>
      <c r="B4875" s="14">
        <v>39264</v>
      </c>
      <c r="C4875" s="2">
        <v>3.6375720368999998E-2</v>
      </c>
      <c r="D4875" s="2">
        <v>1.9709749999999998E-3</v>
      </c>
      <c r="E4875" s="2">
        <v>1</v>
      </c>
      <c r="F4875" s="2">
        <v>3.2876704310140802E-2</v>
      </c>
      <c r="G4875" s="2">
        <v>1</v>
      </c>
    </row>
    <row r="4876" spans="1:7" x14ac:dyDescent="0.2">
      <c r="A4876" s="2" t="s">
        <v>73</v>
      </c>
      <c r="B4876" s="14">
        <v>39295</v>
      </c>
      <c r="C4876" s="2">
        <v>-2.7027027028E-2</v>
      </c>
      <c r="D4876" s="2">
        <v>9.9348332999999994E-3</v>
      </c>
      <c r="E4876" s="2">
        <v>1</v>
      </c>
      <c r="F4876" s="2">
        <v>3.02307565487859E-2</v>
      </c>
      <c r="G4876" s="2">
        <v>1</v>
      </c>
    </row>
    <row r="4877" spans="1:7" x14ac:dyDescent="0.2">
      <c r="A4877" s="2" t="s">
        <v>73</v>
      </c>
      <c r="B4877" s="14">
        <v>39326</v>
      </c>
      <c r="C4877" s="2">
        <v>3.6111111111000002E-2</v>
      </c>
      <c r="D4877" s="2">
        <v>0</v>
      </c>
      <c r="E4877" s="2">
        <v>1</v>
      </c>
      <c r="F4877" s="2">
        <v>2.9618147984081002E-2</v>
      </c>
      <c r="G4877" s="2">
        <v>1</v>
      </c>
    </row>
    <row r="4878" spans="1:7" x14ac:dyDescent="0.2">
      <c r="A4878" s="2" t="s">
        <v>73</v>
      </c>
      <c r="B4878" s="14">
        <v>39356</v>
      </c>
      <c r="C4878" s="2">
        <v>5.9517426274000002E-2</v>
      </c>
      <c r="D4878" s="2">
        <v>0</v>
      </c>
      <c r="E4878" s="2">
        <v>1</v>
      </c>
      <c r="F4878" s="2">
        <v>2.93892614710854E-2</v>
      </c>
      <c r="G4878" s="2">
        <v>1</v>
      </c>
    </row>
    <row r="4879" spans="1:7" x14ac:dyDescent="0.2">
      <c r="A4879" s="2" t="s">
        <v>73</v>
      </c>
      <c r="B4879" s="14">
        <v>39387</v>
      </c>
      <c r="C4879" s="2">
        <v>-1.3410931173999999E-2</v>
      </c>
      <c r="D4879" s="2">
        <v>-8.2337977E-3</v>
      </c>
      <c r="E4879" s="2">
        <v>1</v>
      </c>
      <c r="F4879" s="2">
        <v>2.7602506503293898E-2</v>
      </c>
      <c r="G4879" s="2">
        <v>1</v>
      </c>
    </row>
    <row r="4880" spans="1:7" x14ac:dyDescent="0.2">
      <c r="A4880" s="2" t="s">
        <v>73</v>
      </c>
      <c r="B4880" s="14">
        <v>39417</v>
      </c>
      <c r="C4880" s="2">
        <v>-4.5909207489999999E-2</v>
      </c>
      <c r="D4880" s="2">
        <v>2.7227795E-3</v>
      </c>
      <c r="E4880" s="2">
        <v>1</v>
      </c>
      <c r="F4880" s="2">
        <v>2.5313027663707299E-2</v>
      </c>
      <c r="G4880" s="2">
        <v>1</v>
      </c>
    </row>
    <row r="4881" spans="1:7" x14ac:dyDescent="0.2">
      <c r="A4881" s="2" t="s">
        <v>73</v>
      </c>
      <c r="B4881" s="14">
        <v>39448</v>
      </c>
      <c r="C4881" s="2">
        <v>-8.0645161290999995E-2</v>
      </c>
      <c r="D4881" s="2">
        <v>5.5859089000000004E-3</v>
      </c>
      <c r="E4881" s="2">
        <v>1</v>
      </c>
      <c r="F4881" s="2">
        <v>2.3697350376121199E-2</v>
      </c>
      <c r="G4881" s="2">
        <v>1</v>
      </c>
    </row>
    <row r="4882" spans="1:7" x14ac:dyDescent="0.2">
      <c r="A4882" s="2" t="s">
        <v>73</v>
      </c>
      <c r="B4882" s="14">
        <v>39479</v>
      </c>
      <c r="C4882" s="2">
        <v>5.2631578948000003E-2</v>
      </c>
      <c r="D4882" s="19">
        <v>1.7786235000000002E-5</v>
      </c>
      <c r="E4882" s="2">
        <v>1</v>
      </c>
      <c r="F4882" s="2">
        <v>2.0639605082356401E-2</v>
      </c>
      <c r="G4882" s="2">
        <v>1</v>
      </c>
    </row>
    <row r="4883" spans="1:7" x14ac:dyDescent="0.2">
      <c r="A4883" s="2" t="s">
        <v>73</v>
      </c>
      <c r="B4883" s="14">
        <v>39508</v>
      </c>
      <c r="C4883" s="2">
        <v>0.13888888888000001</v>
      </c>
      <c r="D4883" s="19">
        <v>1.4034947E-5</v>
      </c>
      <c r="E4883" s="2">
        <v>1</v>
      </c>
      <c r="F4883" s="2">
        <v>2.28372605092831E-2</v>
      </c>
      <c r="G4883" s="2">
        <v>1</v>
      </c>
    </row>
    <row r="4884" spans="1:7" x14ac:dyDescent="0.2">
      <c r="A4884" s="2" t="s">
        <v>73</v>
      </c>
      <c r="B4884" s="14">
        <v>39539</v>
      </c>
      <c r="C4884" s="2">
        <v>0.14634146341000001</v>
      </c>
      <c r="D4884" s="19">
        <v>1.4034947E-6</v>
      </c>
      <c r="E4884" s="2">
        <v>1</v>
      </c>
      <c r="F4884" s="2">
        <v>2.5698721399275801E-2</v>
      </c>
      <c r="G4884" s="2">
        <v>1</v>
      </c>
    </row>
    <row r="4885" spans="1:7" x14ac:dyDescent="0.2">
      <c r="A4885" s="2" t="s">
        <v>73</v>
      </c>
      <c r="B4885" s="14">
        <v>39569</v>
      </c>
      <c r="C4885" s="2">
        <v>0.56650095690000002</v>
      </c>
      <c r="D4885" s="2">
        <v>5.8666077000000001E-3</v>
      </c>
      <c r="E4885" s="2">
        <v>1</v>
      </c>
      <c r="F4885" s="2">
        <v>2.7976930773491001E-2</v>
      </c>
      <c r="G4885" s="2">
        <v>1</v>
      </c>
    </row>
    <row r="4886" spans="1:7" x14ac:dyDescent="0.2">
      <c r="A4886" s="2" t="s">
        <v>73</v>
      </c>
      <c r="B4886" s="14">
        <v>39600</v>
      </c>
      <c r="C4886" s="2">
        <v>0.36750962066999998</v>
      </c>
      <c r="D4886" s="2">
        <v>0</v>
      </c>
      <c r="E4886" s="2">
        <v>1</v>
      </c>
      <c r="F4886" s="2">
        <v>4.5637813183071703E-2</v>
      </c>
      <c r="G4886" s="2">
        <v>1</v>
      </c>
    </row>
    <row r="4887" spans="1:7" x14ac:dyDescent="0.2">
      <c r="A4887" s="2" t="s">
        <v>73</v>
      </c>
      <c r="B4887" s="14">
        <v>39630</v>
      </c>
      <c r="C4887" s="2">
        <v>-8.0402010051000006E-2</v>
      </c>
      <c r="D4887" s="19">
        <v>-2.8069893000000001E-5</v>
      </c>
      <c r="E4887" s="2">
        <v>1</v>
      </c>
      <c r="F4887" s="2">
        <v>5.7214701420717898E-2</v>
      </c>
      <c r="G4887" s="2">
        <v>1</v>
      </c>
    </row>
    <row r="4888" spans="1:7" x14ac:dyDescent="0.2">
      <c r="A4888" s="2" t="s">
        <v>73</v>
      </c>
      <c r="B4888" s="14">
        <v>39661</v>
      </c>
      <c r="C4888" s="2">
        <v>-5.4644808742999998E-2</v>
      </c>
      <c r="D4888" s="2">
        <v>7.4385217E-4</v>
      </c>
      <c r="E4888" s="2">
        <v>1</v>
      </c>
      <c r="F4888" s="2">
        <v>5.1889756079554303E-2</v>
      </c>
      <c r="G4888" s="2">
        <v>1</v>
      </c>
    </row>
    <row r="4889" spans="1:7" x14ac:dyDescent="0.2">
      <c r="A4889" s="2" t="s">
        <v>73</v>
      </c>
      <c r="B4889" s="14">
        <v>39692</v>
      </c>
      <c r="C4889" s="2">
        <v>-0.27757225432999999</v>
      </c>
      <c r="D4889" s="2">
        <v>-4.9543362999999996E-4</v>
      </c>
      <c r="E4889" s="2">
        <v>1</v>
      </c>
      <c r="F4889" s="2">
        <v>4.8950355494542498E-2</v>
      </c>
      <c r="G4889" s="2">
        <v>1</v>
      </c>
    </row>
    <row r="4890" spans="1:7" x14ac:dyDescent="0.2">
      <c r="A4890" s="2" t="s">
        <v>73</v>
      </c>
      <c r="B4890" s="14">
        <v>39722</v>
      </c>
      <c r="C4890" s="2">
        <v>-7.9852776444999995E-2</v>
      </c>
      <c r="D4890" s="2">
        <v>1.4034947E-4</v>
      </c>
      <c r="E4890" s="2">
        <v>1</v>
      </c>
      <c r="F4890" s="2">
        <v>3.8164667708956698E-2</v>
      </c>
      <c r="G4890" s="2">
        <v>1</v>
      </c>
    </row>
    <row r="4891" spans="1:7" x14ac:dyDescent="0.2">
      <c r="A4891" s="2" t="s">
        <v>73</v>
      </c>
      <c r="B4891" s="14">
        <v>39753</v>
      </c>
      <c r="C4891" s="2">
        <v>6.9565217390999995E-2</v>
      </c>
      <c r="D4891" s="2">
        <v>9.5437636000000002E-4</v>
      </c>
      <c r="E4891" s="2">
        <v>1</v>
      </c>
      <c r="F4891" s="2">
        <v>3.1892126051158799E-2</v>
      </c>
      <c r="G4891" s="2">
        <v>1</v>
      </c>
    </row>
    <row r="4892" spans="1:7" x14ac:dyDescent="0.2">
      <c r="A4892" s="2" t="s">
        <v>73</v>
      </c>
      <c r="B4892" s="14">
        <v>39783</v>
      </c>
      <c r="C4892" s="2">
        <v>2.4390243903E-2</v>
      </c>
      <c r="D4892" s="2">
        <v>0</v>
      </c>
      <c r="E4892" s="2">
        <v>1</v>
      </c>
      <c r="F4892" s="2">
        <v>1.73643802787091E-2</v>
      </c>
      <c r="G4892" s="2">
        <v>1</v>
      </c>
    </row>
    <row r="4893" spans="1:7" x14ac:dyDescent="0.2">
      <c r="A4893" s="2" t="s">
        <v>74</v>
      </c>
      <c r="B4893" s="14">
        <v>37591</v>
      </c>
      <c r="C4893" s="2">
        <v>5.2910052908999999E-3</v>
      </c>
      <c r="D4893" s="2">
        <v>5.5088563999999996E-3</v>
      </c>
      <c r="E4893" s="2">
        <v>1</v>
      </c>
      <c r="G4893" s="2">
        <v>1</v>
      </c>
    </row>
    <row r="4894" spans="1:7" x14ac:dyDescent="0.2">
      <c r="A4894" s="2" t="s">
        <v>74</v>
      </c>
      <c r="B4894" s="14">
        <v>37622</v>
      </c>
      <c r="C4894" s="2">
        <v>1.5736871017000002E-2</v>
      </c>
      <c r="D4894" s="2">
        <v>1.3824760999999999E-3</v>
      </c>
      <c r="E4894" s="2">
        <v>1</v>
      </c>
      <c r="G4894" s="2">
        <v>1</v>
      </c>
    </row>
    <row r="4895" spans="1:7" x14ac:dyDescent="0.2">
      <c r="A4895" s="2" t="s">
        <v>74</v>
      </c>
      <c r="B4895" s="14">
        <v>37653</v>
      </c>
      <c r="C4895" s="2">
        <v>-1.549305875E-2</v>
      </c>
      <c r="D4895" s="19">
        <v>3.3736957000000001E-5</v>
      </c>
      <c r="E4895" s="2">
        <v>1</v>
      </c>
      <c r="G4895" s="2">
        <v>1</v>
      </c>
    </row>
    <row r="4896" spans="1:7" x14ac:dyDescent="0.2">
      <c r="A4896" s="2" t="s">
        <v>74</v>
      </c>
      <c r="B4896" s="14">
        <v>37681</v>
      </c>
      <c r="C4896" s="2">
        <v>7.8947368421999994E-2</v>
      </c>
      <c r="D4896" s="2">
        <v>-3.4311217999999999E-3</v>
      </c>
      <c r="E4896" s="2">
        <v>1</v>
      </c>
      <c r="G4896" s="2">
        <v>1</v>
      </c>
    </row>
    <row r="4897" spans="1:7" x14ac:dyDescent="0.2">
      <c r="A4897" s="2" t="s">
        <v>74</v>
      </c>
      <c r="B4897" s="14">
        <v>37712</v>
      </c>
      <c r="C4897" s="2">
        <v>0.22439024390000001</v>
      </c>
      <c r="D4897" s="2">
        <v>0</v>
      </c>
      <c r="E4897" s="2">
        <v>1</v>
      </c>
      <c r="G4897" s="2">
        <v>1</v>
      </c>
    </row>
    <row r="4898" spans="1:7" x14ac:dyDescent="0.2">
      <c r="A4898" s="2" t="s">
        <v>74</v>
      </c>
      <c r="B4898" s="14">
        <v>37742</v>
      </c>
      <c r="C4898" s="2">
        <v>-4.6263923897000001E-2</v>
      </c>
      <c r="D4898" s="2">
        <v>-1.8786739E-4</v>
      </c>
      <c r="E4898" s="2">
        <v>1</v>
      </c>
      <c r="G4898" s="2">
        <v>1</v>
      </c>
    </row>
    <row r="4899" spans="1:7" x14ac:dyDescent="0.2">
      <c r="A4899" s="2" t="s">
        <v>74</v>
      </c>
      <c r="B4899" s="14">
        <v>37773</v>
      </c>
      <c r="C4899" s="19">
        <v>4.3454376281999999E-5</v>
      </c>
      <c r="D4899" s="2">
        <v>6.1456412000000004E-3</v>
      </c>
      <c r="E4899" s="2">
        <v>1</v>
      </c>
      <c r="G4899" s="2">
        <v>1</v>
      </c>
    </row>
    <row r="4900" spans="1:7" x14ac:dyDescent="0.2">
      <c r="A4900" s="2" t="s">
        <v>74</v>
      </c>
      <c r="B4900" s="14">
        <v>37803</v>
      </c>
      <c r="C4900" s="2">
        <v>2.1694733327000001E-2</v>
      </c>
      <c r="D4900" s="2">
        <v>2.9027391999999997E-4</v>
      </c>
      <c r="E4900" s="2">
        <v>1</v>
      </c>
      <c r="G4900" s="2">
        <v>1</v>
      </c>
    </row>
    <row r="4901" spans="1:7" x14ac:dyDescent="0.2">
      <c r="A4901" s="2" t="s">
        <v>74</v>
      </c>
      <c r="B4901" s="14">
        <v>37834</v>
      </c>
      <c r="C4901" s="2">
        <v>6.8127636199000002E-2</v>
      </c>
      <c r="D4901" s="2">
        <v>5.3730132000000003E-3</v>
      </c>
      <c r="E4901" s="2">
        <v>1</v>
      </c>
      <c r="F4901" s="2">
        <v>4.7016738604019802E-2</v>
      </c>
      <c r="G4901" s="2">
        <v>1</v>
      </c>
    </row>
    <row r="4902" spans="1:7" x14ac:dyDescent="0.2">
      <c r="A4902" s="2" t="s">
        <v>74</v>
      </c>
      <c r="B4902" s="14">
        <v>37865</v>
      </c>
      <c r="C4902" s="2">
        <v>4.3783139052E-2</v>
      </c>
      <c r="D4902" s="2">
        <v>-5.9460084999999998E-3</v>
      </c>
      <c r="E4902" s="2">
        <v>1</v>
      </c>
      <c r="F4902" s="2">
        <v>4.91688073922706E-2</v>
      </c>
      <c r="G4902" s="2">
        <v>1</v>
      </c>
    </row>
    <row r="4903" spans="1:7" x14ac:dyDescent="0.2">
      <c r="A4903" s="2" t="s">
        <v>74</v>
      </c>
      <c r="B4903" s="14">
        <v>37895</v>
      </c>
      <c r="C4903" s="2">
        <v>0.13931297710000001</v>
      </c>
      <c r="D4903" s="2">
        <v>-1.6020218000000001E-4</v>
      </c>
      <c r="E4903" s="2">
        <v>1</v>
      </c>
      <c r="F4903" s="2">
        <v>4.7953877043293902E-2</v>
      </c>
      <c r="G4903" s="2">
        <v>1</v>
      </c>
    </row>
    <row r="4904" spans="1:7" x14ac:dyDescent="0.2">
      <c r="A4904" s="2" t="s">
        <v>74</v>
      </c>
      <c r="B4904" s="14">
        <v>37926</v>
      </c>
      <c r="C4904" s="2">
        <v>-0.11222780569</v>
      </c>
      <c r="D4904" s="19">
        <v>1.3495652000000001E-5</v>
      </c>
      <c r="E4904" s="2">
        <v>1</v>
      </c>
      <c r="F4904" s="2">
        <v>4.5227003143831802E-2</v>
      </c>
      <c r="G4904" s="2">
        <v>1</v>
      </c>
    </row>
    <row r="4905" spans="1:7" x14ac:dyDescent="0.2">
      <c r="A4905" s="2" t="s">
        <v>74</v>
      </c>
      <c r="B4905" s="14">
        <v>37956</v>
      </c>
      <c r="C4905" s="2">
        <v>9.4339622641000001E-2</v>
      </c>
      <c r="D4905" s="2">
        <v>-6.8991305000000002E-4</v>
      </c>
      <c r="E4905" s="2">
        <v>1</v>
      </c>
      <c r="F4905" s="2">
        <v>4.3794442005595E-2</v>
      </c>
      <c r="G4905" s="2">
        <v>1</v>
      </c>
    </row>
    <row r="4906" spans="1:7" x14ac:dyDescent="0.2">
      <c r="A4906" s="2" t="s">
        <v>74</v>
      </c>
      <c r="B4906" s="14">
        <v>37987</v>
      </c>
      <c r="C4906" s="2">
        <v>-6.8965517241999993E-2</v>
      </c>
      <c r="E4906" s="2">
        <v>1</v>
      </c>
      <c r="F4906" s="2">
        <v>4.6262883147314603E-2</v>
      </c>
      <c r="G4906" s="2">
        <v>1</v>
      </c>
    </row>
    <row r="4907" spans="1:7" x14ac:dyDescent="0.2">
      <c r="A4907" s="2" t="s">
        <v>74</v>
      </c>
      <c r="B4907" s="14">
        <v>38018</v>
      </c>
      <c r="C4907" s="2">
        <v>-3.7037037035999999E-3</v>
      </c>
      <c r="E4907" s="2">
        <v>1</v>
      </c>
      <c r="F4907" s="2">
        <v>4.3910714201926299E-2</v>
      </c>
      <c r="G4907" s="2">
        <v>1</v>
      </c>
    </row>
    <row r="4908" spans="1:7" x14ac:dyDescent="0.2">
      <c r="A4908" s="2" t="s">
        <v>74</v>
      </c>
      <c r="B4908" s="14">
        <v>38047</v>
      </c>
      <c r="C4908" s="2">
        <v>-5.2044609664999998E-2</v>
      </c>
      <c r="D4908" s="19">
        <v>7.1515219999999997E-5</v>
      </c>
      <c r="E4908" s="2">
        <v>1</v>
      </c>
      <c r="F4908" s="2">
        <v>4.18340552384565E-2</v>
      </c>
      <c r="G4908" s="2">
        <v>1</v>
      </c>
    </row>
    <row r="4909" spans="1:7" x14ac:dyDescent="0.2">
      <c r="A4909" s="2" t="s">
        <v>74</v>
      </c>
      <c r="B4909" s="14">
        <v>38078</v>
      </c>
      <c r="C4909" s="2">
        <v>6.4705882352000005E-2</v>
      </c>
      <c r="D4909" s="2">
        <v>-1.8260869999999999E-3</v>
      </c>
      <c r="E4909" s="2">
        <v>1</v>
      </c>
      <c r="F4909" s="2">
        <v>3.9229069335283202E-2</v>
      </c>
      <c r="G4909" s="2">
        <v>1</v>
      </c>
    </row>
    <row r="4910" spans="1:7" x14ac:dyDescent="0.2">
      <c r="A4910" s="2" t="s">
        <v>74</v>
      </c>
      <c r="B4910" s="14">
        <v>38108</v>
      </c>
      <c r="C4910" s="2">
        <v>-6.1848626415000003E-2</v>
      </c>
      <c r="D4910" s="2">
        <v>-2.6222044000000001E-3</v>
      </c>
      <c r="E4910" s="2">
        <v>1</v>
      </c>
      <c r="F4910" s="2">
        <v>3.65272707618906E-2</v>
      </c>
      <c r="G4910" s="2">
        <v>1</v>
      </c>
    </row>
    <row r="4911" spans="1:7" x14ac:dyDescent="0.2">
      <c r="A4911" s="2" t="s">
        <v>74</v>
      </c>
      <c r="B4911" s="14">
        <v>38139</v>
      </c>
      <c r="C4911" s="2">
        <v>-3.9600000000000003E-2</v>
      </c>
      <c r="D4911" s="2">
        <v>1.462826E-3</v>
      </c>
      <c r="E4911" s="2">
        <v>1</v>
      </c>
      <c r="F4911" s="2">
        <v>3.8193936858711398E-2</v>
      </c>
      <c r="G4911" s="2">
        <v>1</v>
      </c>
    </row>
    <row r="4912" spans="1:7" x14ac:dyDescent="0.2">
      <c r="A4912" s="2" t="s">
        <v>74</v>
      </c>
      <c r="B4912" s="14">
        <v>38169</v>
      </c>
      <c r="C4912" s="2">
        <v>9.9541857558999997E-2</v>
      </c>
      <c r="D4912" s="2">
        <v>2.7293043999999998E-3</v>
      </c>
      <c r="E4912" s="2">
        <v>1</v>
      </c>
      <c r="F4912" s="2">
        <v>3.4442303544298503E-2</v>
      </c>
      <c r="G4912" s="2">
        <v>1</v>
      </c>
    </row>
    <row r="4913" spans="1:7" x14ac:dyDescent="0.2">
      <c r="A4913" s="2" t="s">
        <v>74</v>
      </c>
      <c r="B4913" s="14">
        <v>38200</v>
      </c>
      <c r="C4913" s="2">
        <v>-1.5151515151E-2</v>
      </c>
      <c r="D4913" s="2">
        <v>4.0652175E-4</v>
      </c>
      <c r="E4913" s="2">
        <v>1</v>
      </c>
      <c r="F4913" s="2">
        <v>2.83504214027448E-2</v>
      </c>
      <c r="G4913" s="2">
        <v>1</v>
      </c>
    </row>
    <row r="4914" spans="1:7" x14ac:dyDescent="0.2">
      <c r="A4914" s="2" t="s">
        <v>74</v>
      </c>
      <c r="B4914" s="14">
        <v>38231</v>
      </c>
      <c r="C4914" s="2">
        <v>0.13076923075999999</v>
      </c>
      <c r="D4914" s="2">
        <v>2.5039130999999999E-4</v>
      </c>
      <c r="E4914" s="2">
        <v>1</v>
      </c>
      <c r="F4914" s="2">
        <v>2.8026679488302699E-2</v>
      </c>
      <c r="G4914" s="2">
        <v>1</v>
      </c>
    </row>
    <row r="4915" spans="1:7" x14ac:dyDescent="0.2">
      <c r="A4915" s="2" t="s">
        <v>74</v>
      </c>
      <c r="B4915" s="14">
        <v>38261</v>
      </c>
      <c r="C4915" s="2">
        <v>-3.0612244896999999E-2</v>
      </c>
      <c r="D4915" s="2">
        <v>-5.8472389000000001E-4</v>
      </c>
      <c r="E4915" s="2">
        <v>1</v>
      </c>
      <c r="F4915" s="2">
        <v>3.3164868193012897E-2</v>
      </c>
      <c r="G4915" s="2">
        <v>1</v>
      </c>
    </row>
    <row r="4916" spans="1:7" x14ac:dyDescent="0.2">
      <c r="A4916" s="2" t="s">
        <v>74</v>
      </c>
      <c r="B4916" s="14">
        <v>38292</v>
      </c>
      <c r="C4916" s="2">
        <v>6.6666666666000005E-2</v>
      </c>
      <c r="D4916" s="2">
        <v>-7.5204953999999996E-3</v>
      </c>
      <c r="E4916" s="2">
        <v>1</v>
      </c>
      <c r="F4916" s="2">
        <v>3.0317016446794801E-2</v>
      </c>
      <c r="G4916" s="2">
        <v>1</v>
      </c>
    </row>
    <row r="4917" spans="1:7" x14ac:dyDescent="0.2">
      <c r="A4917" s="2" t="s">
        <v>74</v>
      </c>
      <c r="B4917" s="14">
        <v>38322</v>
      </c>
      <c r="C4917" s="2">
        <v>3.6184210525000003E-2</v>
      </c>
      <c r="D4917" s="2">
        <v>3.5875935999999998E-3</v>
      </c>
      <c r="E4917" s="2">
        <v>1</v>
      </c>
      <c r="F4917" s="2">
        <v>3.37577120761565E-2</v>
      </c>
      <c r="G4917" s="2">
        <v>1</v>
      </c>
    </row>
    <row r="4918" spans="1:7" x14ac:dyDescent="0.2">
      <c r="A4918" s="2" t="s">
        <v>74</v>
      </c>
      <c r="B4918" s="14">
        <v>38353</v>
      </c>
      <c r="C4918" s="2">
        <v>-6.3492063491999998E-2</v>
      </c>
      <c r="D4918" s="2">
        <v>2.1739128999999999E-3</v>
      </c>
      <c r="E4918" s="2">
        <v>1</v>
      </c>
      <c r="F4918" s="2">
        <v>3.5791368397260097E-2</v>
      </c>
      <c r="G4918" s="2">
        <v>1</v>
      </c>
    </row>
    <row r="4919" spans="1:7" x14ac:dyDescent="0.2">
      <c r="A4919" s="2" t="s">
        <v>74</v>
      </c>
      <c r="B4919" s="14">
        <v>38384</v>
      </c>
      <c r="C4919" s="2">
        <v>9.152542373E-2</v>
      </c>
      <c r="D4919" s="2">
        <v>0</v>
      </c>
      <c r="E4919" s="2">
        <v>1</v>
      </c>
      <c r="F4919" s="2">
        <v>3.12197061774768E-2</v>
      </c>
      <c r="G4919" s="2">
        <v>1</v>
      </c>
    </row>
    <row r="4920" spans="1:7" x14ac:dyDescent="0.2">
      <c r="A4920" s="2" t="s">
        <v>74</v>
      </c>
      <c r="B4920" s="14">
        <v>38412</v>
      </c>
      <c r="C4920" s="2">
        <v>-1.8633540372000001E-2</v>
      </c>
      <c r="D4920" s="2">
        <v>0</v>
      </c>
      <c r="E4920" s="2">
        <v>1</v>
      </c>
      <c r="F4920" s="2">
        <v>3.4171147242586498E-2</v>
      </c>
      <c r="G4920" s="2">
        <v>1</v>
      </c>
    </row>
    <row r="4921" spans="1:7" x14ac:dyDescent="0.2">
      <c r="A4921" s="2" t="s">
        <v>74</v>
      </c>
      <c r="B4921" s="14">
        <v>38443</v>
      </c>
      <c r="C4921" s="2">
        <v>7.5949367088E-2</v>
      </c>
      <c r="D4921" s="2">
        <v>-2.9032607999999999E-4</v>
      </c>
      <c r="E4921" s="2">
        <v>1</v>
      </c>
      <c r="F4921" s="2">
        <v>2.98517441901732E-2</v>
      </c>
      <c r="G4921" s="2">
        <v>1</v>
      </c>
    </row>
    <row r="4922" spans="1:7" x14ac:dyDescent="0.2">
      <c r="A4922" s="2" t="s">
        <v>74</v>
      </c>
      <c r="B4922" s="14">
        <v>38473</v>
      </c>
      <c r="C4922" s="2">
        <v>2.0825285339000001E-2</v>
      </c>
      <c r="D4922" s="2">
        <v>0</v>
      </c>
      <c r="E4922" s="2">
        <v>1</v>
      </c>
      <c r="F4922" s="2">
        <v>3.2777381864742397E-2</v>
      </c>
      <c r="G4922" s="2">
        <v>1</v>
      </c>
    </row>
    <row r="4923" spans="1:7" x14ac:dyDescent="0.2">
      <c r="A4923" s="2" t="s">
        <v>74</v>
      </c>
      <c r="B4923" s="14">
        <v>38504</v>
      </c>
      <c r="C4923" s="2">
        <v>0.12426035502</v>
      </c>
      <c r="D4923" s="2">
        <v>0</v>
      </c>
      <c r="E4923" s="2">
        <v>1</v>
      </c>
      <c r="F4923" s="2">
        <v>3.1366913713742901E-2</v>
      </c>
      <c r="G4923" s="2">
        <v>1</v>
      </c>
    </row>
    <row r="4924" spans="1:7" x14ac:dyDescent="0.2">
      <c r="A4924" s="2" t="s">
        <v>74</v>
      </c>
      <c r="B4924" s="14">
        <v>38534</v>
      </c>
      <c r="C4924" s="2">
        <v>9.2105263157000003E-2</v>
      </c>
      <c r="D4924" s="2">
        <v>0</v>
      </c>
      <c r="E4924" s="2">
        <v>1</v>
      </c>
      <c r="F4924" s="2">
        <v>3.36712435944415E-2</v>
      </c>
      <c r="G4924" s="2">
        <v>1</v>
      </c>
    </row>
    <row r="4925" spans="1:7" x14ac:dyDescent="0.2">
      <c r="A4925" s="2" t="s">
        <v>74</v>
      </c>
      <c r="B4925" s="14">
        <v>38565</v>
      </c>
      <c r="C4925" s="2">
        <v>-6.0240963855000003E-2</v>
      </c>
      <c r="D4925" s="2">
        <v>1.8485826000000001E-3</v>
      </c>
      <c r="E4925" s="2">
        <v>1</v>
      </c>
      <c r="F4925" s="2">
        <v>3.6407471280327397E-2</v>
      </c>
      <c r="G4925" s="2">
        <v>1</v>
      </c>
    </row>
    <row r="4926" spans="1:7" x14ac:dyDescent="0.2">
      <c r="A4926" s="2" t="s">
        <v>74</v>
      </c>
      <c r="B4926" s="14">
        <v>38596</v>
      </c>
      <c r="C4926" s="2">
        <v>2.5641025641000001E-2</v>
      </c>
      <c r="D4926" s="2">
        <v>2.4679478000000001E-3</v>
      </c>
      <c r="E4926" s="2">
        <v>1</v>
      </c>
      <c r="F4926" s="2">
        <v>3.22546570334694E-2</v>
      </c>
      <c r="G4926" s="2">
        <v>1</v>
      </c>
    </row>
    <row r="4927" spans="1:7" x14ac:dyDescent="0.2">
      <c r="A4927" s="2" t="s">
        <v>74</v>
      </c>
      <c r="B4927" s="14">
        <v>38626</v>
      </c>
      <c r="C4927" s="2">
        <v>-8.7500000001E-2</v>
      </c>
      <c r="D4927" s="2">
        <v>0</v>
      </c>
      <c r="E4927" s="2">
        <v>1</v>
      </c>
      <c r="F4927" s="2">
        <v>3.3356843301307698E-2</v>
      </c>
      <c r="G4927" s="2">
        <v>1</v>
      </c>
    </row>
    <row r="4928" spans="1:7" x14ac:dyDescent="0.2">
      <c r="A4928" s="2" t="s">
        <v>74</v>
      </c>
      <c r="B4928" s="14">
        <v>38657</v>
      </c>
      <c r="C4928" s="2">
        <v>-6.8493150685000004E-2</v>
      </c>
      <c r="D4928" s="2">
        <v>-4.5652174999999997E-4</v>
      </c>
      <c r="E4928" s="2">
        <v>1</v>
      </c>
      <c r="F4928" s="2">
        <v>2.8970371515413901E-2</v>
      </c>
      <c r="G4928" s="2">
        <v>1</v>
      </c>
    </row>
    <row r="4929" spans="1:7" x14ac:dyDescent="0.2">
      <c r="A4929" s="2" t="s">
        <v>74</v>
      </c>
      <c r="B4929" s="14">
        <v>38687</v>
      </c>
      <c r="C4929" s="2">
        <v>-5.8823529407000001E-3</v>
      </c>
      <c r="D4929" s="19">
        <v>-9.3784779999999996E-5</v>
      </c>
      <c r="E4929" s="2">
        <v>1</v>
      </c>
      <c r="F4929" s="2">
        <v>2.66178490456336E-2</v>
      </c>
      <c r="G4929" s="2">
        <v>1</v>
      </c>
    </row>
    <row r="4930" spans="1:7" x14ac:dyDescent="0.2">
      <c r="A4930" s="2" t="s">
        <v>74</v>
      </c>
      <c r="B4930" s="14">
        <v>38718</v>
      </c>
      <c r="C4930" s="2">
        <v>6.5088757395999994E-2</v>
      </c>
      <c r="D4930" s="19">
        <v>3.6369565000000003E-5</v>
      </c>
      <c r="E4930" s="2">
        <v>1</v>
      </c>
      <c r="F4930" s="2">
        <v>2.2868501229019799E-2</v>
      </c>
      <c r="G4930" s="2">
        <v>1</v>
      </c>
    </row>
    <row r="4931" spans="1:7" x14ac:dyDescent="0.2">
      <c r="A4931" s="2" t="s">
        <v>74</v>
      </c>
      <c r="B4931" s="14">
        <v>38749</v>
      </c>
      <c r="C4931" s="2">
        <v>-5.525E-2</v>
      </c>
      <c r="D4931" s="2">
        <v>0</v>
      </c>
      <c r="E4931" s="2">
        <v>1</v>
      </c>
      <c r="F4931" s="2">
        <v>2.1898378145595799E-2</v>
      </c>
      <c r="G4931" s="2">
        <v>1</v>
      </c>
    </row>
    <row r="4932" spans="1:7" x14ac:dyDescent="0.2">
      <c r="A4932" s="2" t="s">
        <v>74</v>
      </c>
      <c r="B4932" s="14">
        <v>38777</v>
      </c>
      <c r="C4932" s="2">
        <v>7.3182205757000005E-2</v>
      </c>
      <c r="D4932" s="2">
        <v>3.7387392E-4</v>
      </c>
      <c r="E4932" s="2">
        <v>1</v>
      </c>
      <c r="F4932" s="2">
        <v>2.2161041285535098E-2</v>
      </c>
      <c r="G4932" s="2">
        <v>1</v>
      </c>
    </row>
    <row r="4933" spans="1:7" x14ac:dyDescent="0.2">
      <c r="A4933" s="2" t="s">
        <v>74</v>
      </c>
      <c r="B4933" s="14">
        <v>38808</v>
      </c>
      <c r="C4933" s="2">
        <v>-3.2904109586999998E-2</v>
      </c>
      <c r="D4933" s="2">
        <v>1.3776565000000001E-3</v>
      </c>
      <c r="E4933" s="2">
        <v>1</v>
      </c>
      <c r="F4933" s="2">
        <v>2.3405906719380799E-2</v>
      </c>
      <c r="G4933" s="2">
        <v>1</v>
      </c>
    </row>
    <row r="4934" spans="1:7" x14ac:dyDescent="0.2">
      <c r="A4934" s="2" t="s">
        <v>74</v>
      </c>
      <c r="B4934" s="14">
        <v>38838</v>
      </c>
      <c r="C4934" s="2">
        <v>3.5282156176000001E-2</v>
      </c>
      <c r="D4934" s="2">
        <v>4.4190347999999999E-3</v>
      </c>
      <c r="E4934" s="2">
        <v>1</v>
      </c>
      <c r="F4934" s="2">
        <v>2.5034664947416099E-2</v>
      </c>
      <c r="G4934" s="2">
        <v>1</v>
      </c>
    </row>
    <row r="4935" spans="1:7" x14ac:dyDescent="0.2">
      <c r="A4935" s="2" t="s">
        <v>74</v>
      </c>
      <c r="B4935" s="14">
        <v>38869</v>
      </c>
      <c r="C4935" s="2">
        <v>-7.0422535211000004E-2</v>
      </c>
      <c r="D4935" s="2">
        <v>6.3277934999999997E-3</v>
      </c>
      <c r="E4935" s="2">
        <v>1</v>
      </c>
      <c r="F4935" s="2">
        <v>2.8026861701469102E-2</v>
      </c>
      <c r="G4935" s="2">
        <v>1</v>
      </c>
    </row>
    <row r="4936" spans="1:7" x14ac:dyDescent="0.2">
      <c r="A4936" s="2" t="s">
        <v>74</v>
      </c>
      <c r="B4936" s="14">
        <v>38899</v>
      </c>
      <c r="C4936" s="2">
        <v>-1.5151515152E-2</v>
      </c>
      <c r="D4936" s="2">
        <v>2.8980543999999999E-3</v>
      </c>
      <c r="E4936" s="2">
        <v>1</v>
      </c>
      <c r="F4936" s="2">
        <v>2.6198439659009299E-2</v>
      </c>
      <c r="G4936" s="2">
        <v>1</v>
      </c>
    </row>
    <row r="4937" spans="1:7" x14ac:dyDescent="0.2">
      <c r="A4937" s="2" t="s">
        <v>74</v>
      </c>
      <c r="B4937" s="14">
        <v>38930</v>
      </c>
      <c r="C4937" s="2">
        <v>6.4615384615999999E-2</v>
      </c>
      <c r="D4937" s="2">
        <v>2.7111608000000001E-3</v>
      </c>
      <c r="E4937" s="2">
        <v>1</v>
      </c>
      <c r="F4937" s="2">
        <v>2.2772075707442802E-2</v>
      </c>
      <c r="G4937" s="2">
        <v>1</v>
      </c>
    </row>
    <row r="4938" spans="1:7" x14ac:dyDescent="0.2">
      <c r="A4938" s="2" t="s">
        <v>74</v>
      </c>
      <c r="B4938" s="14">
        <v>38961</v>
      </c>
      <c r="C4938" s="2">
        <v>4.0751445087000002E-2</v>
      </c>
      <c r="D4938" s="2">
        <v>3.3537391999999999E-4</v>
      </c>
      <c r="E4938" s="2">
        <v>1</v>
      </c>
      <c r="F4938" s="2">
        <v>2.6142868113802599E-2</v>
      </c>
      <c r="G4938" s="2">
        <v>1</v>
      </c>
    </row>
    <row r="4939" spans="1:7" x14ac:dyDescent="0.2">
      <c r="A4939" s="2" t="s">
        <v>74</v>
      </c>
      <c r="B4939" s="14">
        <v>38991</v>
      </c>
      <c r="C4939" s="2">
        <v>2.7492363230999999E-2</v>
      </c>
      <c r="D4939" s="2">
        <v>7.4027110999999998E-3</v>
      </c>
      <c r="E4939" s="2">
        <v>1</v>
      </c>
      <c r="F4939" s="2">
        <v>2.5132034335804999E-2</v>
      </c>
      <c r="G4939" s="2">
        <v>1</v>
      </c>
    </row>
    <row r="4940" spans="1:7" x14ac:dyDescent="0.2">
      <c r="A4940" s="2" t="s">
        <v>74</v>
      </c>
      <c r="B4940" s="14">
        <v>39022</v>
      </c>
      <c r="C4940" s="2">
        <v>6.3663382670999996E-2</v>
      </c>
      <c r="D4940" s="2">
        <v>1.5274240000000001E-3</v>
      </c>
      <c r="E4940" s="2">
        <v>1</v>
      </c>
      <c r="F4940" s="2">
        <v>2.67101503447017E-2</v>
      </c>
      <c r="G4940" s="2">
        <v>1</v>
      </c>
    </row>
    <row r="4941" spans="1:7" x14ac:dyDescent="0.2">
      <c r="A4941" s="2" t="s">
        <v>74</v>
      </c>
      <c r="B4941" s="14">
        <v>39052</v>
      </c>
      <c r="C4941" s="2">
        <v>6.4955310699999999E-4</v>
      </c>
      <c r="D4941" s="2">
        <v>6.0798633999999997E-2</v>
      </c>
      <c r="E4941" s="2">
        <v>1</v>
      </c>
      <c r="F4941" s="2">
        <v>2.7384827041709199E-2</v>
      </c>
      <c r="G4941" s="2">
        <v>1</v>
      </c>
    </row>
    <row r="4942" spans="1:7" x14ac:dyDescent="0.2">
      <c r="A4942" s="2" t="s">
        <v>74</v>
      </c>
      <c r="B4942" s="14">
        <v>39083</v>
      </c>
      <c r="C4942" s="2">
        <v>0.24373588138999999</v>
      </c>
      <c r="D4942" s="2">
        <v>-1.9122652000000001E-3</v>
      </c>
      <c r="E4942" s="2">
        <v>1</v>
      </c>
      <c r="F4942" s="2">
        <v>2.94325171851464E-2</v>
      </c>
      <c r="G4942" s="2">
        <v>1</v>
      </c>
    </row>
    <row r="4943" spans="1:7" x14ac:dyDescent="0.2">
      <c r="A4943" s="2" t="s">
        <v>74</v>
      </c>
      <c r="B4943" s="14">
        <v>39114</v>
      </c>
      <c r="C4943" s="2">
        <v>2.0876826729E-3</v>
      </c>
      <c r="D4943" s="2">
        <v>1.3180522E-3</v>
      </c>
      <c r="E4943" s="2">
        <v>1</v>
      </c>
      <c r="F4943" s="2">
        <v>3.7016772646147098E-2</v>
      </c>
      <c r="G4943" s="2">
        <v>1</v>
      </c>
    </row>
    <row r="4944" spans="1:7" x14ac:dyDescent="0.2">
      <c r="A4944" s="2" t="s">
        <v>74</v>
      </c>
      <c r="B4944" s="14">
        <v>39142</v>
      </c>
      <c r="C4944" s="2">
        <v>3.125E-2</v>
      </c>
      <c r="D4944" s="2">
        <v>2.8631869000000001E-3</v>
      </c>
      <c r="E4944" s="2">
        <v>1</v>
      </c>
      <c r="F4944" s="2">
        <v>3.51321305852344E-2</v>
      </c>
      <c r="G4944" s="2">
        <v>1</v>
      </c>
    </row>
    <row r="4945" spans="1:7" x14ac:dyDescent="0.2">
      <c r="A4945" s="2" t="s">
        <v>74</v>
      </c>
      <c r="B4945" s="14">
        <v>39173</v>
      </c>
      <c r="C4945" s="2">
        <v>0.10707070707000001</v>
      </c>
      <c r="D4945" s="2">
        <v>-1.4634285999999999E-3</v>
      </c>
      <c r="E4945" s="2">
        <v>1</v>
      </c>
      <c r="F4945" s="2">
        <v>3.41495682752508E-2</v>
      </c>
      <c r="G4945" s="2">
        <v>1</v>
      </c>
    </row>
    <row r="4946" spans="1:7" x14ac:dyDescent="0.2">
      <c r="A4946" s="2" t="s">
        <v>74</v>
      </c>
      <c r="B4946" s="14">
        <v>39203</v>
      </c>
      <c r="C4946" s="2">
        <v>0.22078293995000001</v>
      </c>
      <c r="D4946" s="19">
        <v>-6.8812972000000005E-7</v>
      </c>
      <c r="E4946" s="2">
        <v>1</v>
      </c>
      <c r="F4946" s="2">
        <v>3.6213108915868597E-2</v>
      </c>
      <c r="G4946" s="2">
        <v>1</v>
      </c>
    </row>
    <row r="4947" spans="1:7" x14ac:dyDescent="0.2">
      <c r="A4947" s="2" t="s">
        <v>74</v>
      </c>
      <c r="B4947" s="14">
        <v>39234</v>
      </c>
      <c r="C4947" s="2">
        <v>0.14155251141</v>
      </c>
      <c r="D4947" s="2">
        <v>-5.2234337999999998E-4</v>
      </c>
      <c r="E4947" s="2">
        <v>1</v>
      </c>
      <c r="F4947" s="2">
        <v>4.0623441910024302E-2</v>
      </c>
      <c r="G4947" s="2">
        <v>1</v>
      </c>
    </row>
    <row r="4948" spans="1:7" x14ac:dyDescent="0.2">
      <c r="A4948" s="2" t="s">
        <v>74</v>
      </c>
      <c r="B4948" s="14">
        <v>39264</v>
      </c>
      <c r="C4948" s="2">
        <v>-6.6666666666000005E-2</v>
      </c>
      <c r="D4948" s="19">
        <v>-1.1198023E-5</v>
      </c>
      <c r="E4948" s="2">
        <v>1</v>
      </c>
      <c r="F4948" s="2">
        <v>4.4248583169304002E-2</v>
      </c>
      <c r="G4948" s="2">
        <v>1</v>
      </c>
    </row>
    <row r="4949" spans="1:7" x14ac:dyDescent="0.2">
      <c r="A4949" s="2" t="s">
        <v>74</v>
      </c>
      <c r="B4949" s="14">
        <v>39295</v>
      </c>
      <c r="C4949" s="2">
        <v>-8.9728571428000004E-2</v>
      </c>
      <c r="D4949" s="2">
        <v>-1.2122404E-3</v>
      </c>
      <c r="E4949" s="2">
        <v>1</v>
      </c>
      <c r="F4949" s="2">
        <v>4.07439531984417E-2</v>
      </c>
      <c r="G4949" s="2">
        <v>1</v>
      </c>
    </row>
    <row r="4950" spans="1:7" x14ac:dyDescent="0.2">
      <c r="A4950" s="2" t="s">
        <v>74</v>
      </c>
      <c r="B4950" s="14">
        <v>39326</v>
      </c>
      <c r="C4950" s="2">
        <v>-1.8973932424000001E-2</v>
      </c>
      <c r="D4950" s="2">
        <v>-1.6888399E-3</v>
      </c>
      <c r="E4950" s="2">
        <v>1</v>
      </c>
      <c r="F4950" s="2">
        <v>3.8519893774158501E-2</v>
      </c>
      <c r="G4950" s="2">
        <v>1</v>
      </c>
    </row>
    <row r="4951" spans="1:7" x14ac:dyDescent="0.2">
      <c r="A4951" s="2" t="s">
        <v>74</v>
      </c>
      <c r="B4951" s="14">
        <v>39356</v>
      </c>
      <c r="C4951" s="2">
        <v>1.5837466006000001E-2</v>
      </c>
      <c r="D4951" s="2">
        <v>-8.9628929E-3</v>
      </c>
      <c r="E4951" s="2">
        <v>1</v>
      </c>
      <c r="F4951" s="2">
        <v>3.7158314258342602E-2</v>
      </c>
      <c r="G4951" s="2">
        <v>1</v>
      </c>
    </row>
    <row r="4952" spans="1:7" x14ac:dyDescent="0.2">
      <c r="A4952" s="2" t="s">
        <v>74</v>
      </c>
      <c r="B4952" s="14">
        <v>39387</v>
      </c>
      <c r="C4952" s="2">
        <v>-5.5086614175E-2</v>
      </c>
      <c r="D4952" s="2">
        <v>-1.9826472000000001E-2</v>
      </c>
      <c r="E4952" s="2">
        <v>1</v>
      </c>
      <c r="F4952" s="2">
        <v>3.4493003407716501E-2</v>
      </c>
      <c r="G4952" s="2">
        <v>1</v>
      </c>
    </row>
    <row r="4953" spans="1:7" x14ac:dyDescent="0.2">
      <c r="A4953" s="2" t="s">
        <v>74</v>
      </c>
      <c r="B4953" s="14">
        <v>39417</v>
      </c>
      <c r="C4953" s="2">
        <v>-2.5165827804999999E-2</v>
      </c>
      <c r="D4953" s="2">
        <v>5.4973043000000003E-3</v>
      </c>
      <c r="E4953" s="2">
        <v>1</v>
      </c>
      <c r="F4953" s="2">
        <v>2.6736366807329898E-2</v>
      </c>
      <c r="G4953" s="2">
        <v>1</v>
      </c>
    </row>
    <row r="4954" spans="1:7" x14ac:dyDescent="0.2">
      <c r="A4954" s="2" t="s">
        <v>74</v>
      </c>
      <c r="B4954" s="14">
        <v>39448</v>
      </c>
      <c r="C4954" s="2">
        <v>-0.14518224714</v>
      </c>
      <c r="D4954" s="2">
        <v>-9.3158998000000002E-4</v>
      </c>
      <c r="E4954" s="2">
        <v>1</v>
      </c>
      <c r="F4954" s="2">
        <v>2.1999820461202399E-2</v>
      </c>
      <c r="G4954" s="2">
        <v>1</v>
      </c>
    </row>
    <row r="4955" spans="1:7" x14ac:dyDescent="0.2">
      <c r="A4955" s="2" t="s">
        <v>74</v>
      </c>
      <c r="B4955" s="14">
        <v>39479</v>
      </c>
      <c r="C4955" s="2">
        <v>1.2880000000000001E-2</v>
      </c>
      <c r="D4955" s="2">
        <v>-5.3822462999999999E-3</v>
      </c>
      <c r="E4955" s="2">
        <v>1</v>
      </c>
      <c r="F4955" s="2">
        <v>1.99448176271401E-2</v>
      </c>
      <c r="G4955" s="2">
        <v>1</v>
      </c>
    </row>
    <row r="4956" spans="1:7" x14ac:dyDescent="0.2">
      <c r="A4956" s="2" t="s">
        <v>74</v>
      </c>
      <c r="B4956" s="14">
        <v>39508</v>
      </c>
      <c r="C4956" s="2">
        <v>6.6266487639999996E-2</v>
      </c>
      <c r="D4956" s="2">
        <v>-5.9447506999999995E-4</v>
      </c>
      <c r="E4956" s="2">
        <v>1</v>
      </c>
      <c r="F4956" s="2">
        <v>2.28796493695393E-2</v>
      </c>
      <c r="G4956" s="2">
        <v>1</v>
      </c>
    </row>
    <row r="4957" spans="1:7" x14ac:dyDescent="0.2">
      <c r="A4957" s="2" t="s">
        <v>74</v>
      </c>
      <c r="B4957" s="14">
        <v>39539</v>
      </c>
      <c r="C4957" s="2">
        <v>9.5581213937999995E-2</v>
      </c>
      <c r="D4957" s="2">
        <v>-5.5811938000000004E-4</v>
      </c>
      <c r="E4957" s="2">
        <v>1</v>
      </c>
      <c r="F4957" s="2">
        <v>2.5217305107594901E-2</v>
      </c>
      <c r="G4957" s="2">
        <v>1</v>
      </c>
    </row>
    <row r="4958" spans="1:7" x14ac:dyDescent="0.2">
      <c r="A4958" s="2" t="s">
        <v>74</v>
      </c>
      <c r="B4958" s="14">
        <v>39569</v>
      </c>
      <c r="C4958" s="2">
        <v>-0.15622261549999999</v>
      </c>
      <c r="D4958" s="2">
        <v>-1.1415666E-2</v>
      </c>
      <c r="E4958" s="2">
        <v>1</v>
      </c>
      <c r="F4958" s="2">
        <v>2.7334234580232399E-2</v>
      </c>
      <c r="G4958" s="2">
        <v>1</v>
      </c>
    </row>
    <row r="4959" spans="1:7" x14ac:dyDescent="0.2">
      <c r="A4959" s="2" t="s">
        <v>74</v>
      </c>
      <c r="B4959" s="14">
        <v>39600</v>
      </c>
      <c r="C4959" s="2">
        <v>-5.3088154439000002E-2</v>
      </c>
      <c r="D4959" s="2">
        <v>-3.2588603999999998E-3</v>
      </c>
      <c r="E4959" s="2">
        <v>1</v>
      </c>
      <c r="F4959" s="2">
        <v>2.4566287197073301E-2</v>
      </c>
      <c r="G4959" s="2">
        <v>1</v>
      </c>
    </row>
    <row r="4960" spans="1:7" x14ac:dyDescent="0.2">
      <c r="A4960" s="2" t="s">
        <v>74</v>
      </c>
      <c r="B4960" s="14">
        <v>39630</v>
      </c>
      <c r="C4960" s="2">
        <v>-6.2365591397999999E-2</v>
      </c>
      <c r="D4960" s="2">
        <v>-1.4030875999999999E-3</v>
      </c>
      <c r="E4960" s="2">
        <v>1</v>
      </c>
      <c r="F4960" s="2">
        <v>2.36025628208851E-2</v>
      </c>
      <c r="G4960" s="2">
        <v>1</v>
      </c>
    </row>
    <row r="4961" spans="1:7" x14ac:dyDescent="0.2">
      <c r="A4961" s="2" t="s">
        <v>74</v>
      </c>
      <c r="B4961" s="14">
        <v>39661</v>
      </c>
      <c r="C4961" s="2">
        <v>5.5045871561E-2</v>
      </c>
      <c r="D4961" s="2">
        <v>-9.3033839999999998E-4</v>
      </c>
      <c r="E4961" s="2">
        <v>1</v>
      </c>
      <c r="F4961" s="2">
        <v>1.30393194317125E-2</v>
      </c>
      <c r="G4961" s="2">
        <v>1</v>
      </c>
    </row>
    <row r="4962" spans="1:7" x14ac:dyDescent="0.2">
      <c r="A4962" s="2" t="s">
        <v>74</v>
      </c>
      <c r="B4962" s="14">
        <v>39692</v>
      </c>
      <c r="C4962" s="2">
        <v>-0.11739130434</v>
      </c>
      <c r="D4962" s="2">
        <v>0</v>
      </c>
      <c r="E4962" s="2">
        <v>1</v>
      </c>
      <c r="F4962" s="2">
        <v>1.41715200798506E-2</v>
      </c>
      <c r="G4962" s="2">
        <v>1</v>
      </c>
    </row>
    <row r="4963" spans="1:7" x14ac:dyDescent="0.2">
      <c r="A4963" s="2" t="s">
        <v>74</v>
      </c>
      <c r="B4963" s="14">
        <v>39722</v>
      </c>
      <c r="C4963" s="2">
        <v>-0.13793103447999999</v>
      </c>
      <c r="D4963" s="2">
        <v>-4.7689420000000002E-4</v>
      </c>
      <c r="E4963" s="2">
        <v>1</v>
      </c>
      <c r="F4963" s="2">
        <v>9.2362116450391898E-3</v>
      </c>
      <c r="G4963" s="2">
        <v>1</v>
      </c>
    </row>
    <row r="4964" spans="1:7" x14ac:dyDescent="0.2">
      <c r="A4964" s="2" t="s">
        <v>74</v>
      </c>
      <c r="B4964" s="14">
        <v>39753</v>
      </c>
      <c r="C4964" s="2">
        <v>-7.1428571428999998E-2</v>
      </c>
      <c r="D4964" s="2">
        <v>0</v>
      </c>
      <c r="E4964" s="2">
        <v>1</v>
      </c>
      <c r="F4964" s="2">
        <v>2.9014399971318701E-3</v>
      </c>
      <c r="G4964" s="2">
        <v>1</v>
      </c>
    </row>
    <row r="4965" spans="1:7" x14ac:dyDescent="0.2">
      <c r="A4965" s="2" t="s">
        <v>74</v>
      </c>
      <c r="B4965" s="14">
        <v>39783</v>
      </c>
      <c r="C4965" s="2">
        <v>-0.10784615384</v>
      </c>
      <c r="D4965" s="2">
        <v>3.1429361999999999E-3</v>
      </c>
      <c r="E4965" s="2">
        <v>1</v>
      </c>
      <c r="F4965" s="2">
        <v>5.5259042684872401E-3</v>
      </c>
      <c r="G4965" s="2">
        <v>1</v>
      </c>
    </row>
    <row r="4966" spans="1:7" x14ac:dyDescent="0.2">
      <c r="A4966" s="2" t="s">
        <v>75</v>
      </c>
      <c r="B4966" s="14">
        <v>37591</v>
      </c>
      <c r="C4966" s="2">
        <v>-1.7857142858E-2</v>
      </c>
      <c r="E4966" s="2">
        <v>1</v>
      </c>
      <c r="G4966" s="2">
        <v>2</v>
      </c>
    </row>
    <row r="4967" spans="1:7" x14ac:dyDescent="0.2">
      <c r="A4967" s="2" t="s">
        <v>75</v>
      </c>
      <c r="B4967" s="14">
        <v>37622</v>
      </c>
      <c r="C4967" s="2">
        <v>9.9155343377999999E-3</v>
      </c>
      <c r="E4967" s="2">
        <v>1</v>
      </c>
      <c r="G4967" s="2">
        <v>2</v>
      </c>
    </row>
    <row r="4968" spans="1:7" x14ac:dyDescent="0.2">
      <c r="A4968" s="2" t="s">
        <v>75</v>
      </c>
      <c r="B4968" s="14">
        <v>37653</v>
      </c>
      <c r="C4968" s="2">
        <v>-7.2727272727000003E-3</v>
      </c>
      <c r="E4968" s="2">
        <v>1</v>
      </c>
      <c r="G4968" s="2">
        <v>2</v>
      </c>
    </row>
    <row r="4969" spans="1:7" x14ac:dyDescent="0.2">
      <c r="A4969" s="2" t="s">
        <v>75</v>
      </c>
      <c r="B4969" s="14">
        <v>37681</v>
      </c>
      <c r="C4969" s="2">
        <v>2.5641025641000001E-2</v>
      </c>
      <c r="E4969" s="2">
        <v>1</v>
      </c>
      <c r="G4969" s="2">
        <v>2</v>
      </c>
    </row>
    <row r="4970" spans="1:7" x14ac:dyDescent="0.2">
      <c r="A4970" s="2" t="s">
        <v>75</v>
      </c>
      <c r="B4970" s="14">
        <v>37712</v>
      </c>
      <c r="C4970" s="2">
        <v>7.1428571428999998E-2</v>
      </c>
      <c r="E4970" s="2">
        <v>1</v>
      </c>
      <c r="G4970" s="2">
        <v>2</v>
      </c>
    </row>
    <row r="4971" spans="1:7" x14ac:dyDescent="0.2">
      <c r="A4971" s="2" t="s">
        <v>75</v>
      </c>
      <c r="B4971" s="14">
        <v>37742</v>
      </c>
      <c r="C4971" s="2">
        <v>0.16835016835</v>
      </c>
      <c r="E4971" s="2">
        <v>1</v>
      </c>
      <c r="G4971" s="2">
        <v>2</v>
      </c>
    </row>
    <row r="4972" spans="1:7" x14ac:dyDescent="0.2">
      <c r="A4972" s="2" t="s">
        <v>75</v>
      </c>
      <c r="B4972" s="14">
        <v>37773</v>
      </c>
      <c r="C4972" s="2">
        <v>-2.0172910663000001E-2</v>
      </c>
      <c r="E4972" s="2">
        <v>1</v>
      </c>
      <c r="G4972" s="2">
        <v>2</v>
      </c>
    </row>
    <row r="4973" spans="1:7" x14ac:dyDescent="0.2">
      <c r="A4973" s="2" t="s">
        <v>75</v>
      </c>
      <c r="B4973" s="14">
        <v>37803</v>
      </c>
      <c r="C4973" s="2">
        <v>-5.4411764706000003E-2</v>
      </c>
      <c r="E4973" s="2">
        <v>1</v>
      </c>
      <c r="G4973" s="2">
        <v>2</v>
      </c>
    </row>
    <row r="4974" spans="1:7" x14ac:dyDescent="0.2">
      <c r="A4974" s="2" t="s">
        <v>75</v>
      </c>
      <c r="B4974" s="14">
        <v>37834</v>
      </c>
      <c r="C4974" s="2">
        <v>0.16640746501000001</v>
      </c>
      <c r="E4974" s="2">
        <v>1</v>
      </c>
      <c r="F4974" s="2">
        <v>3.7812450708123703E-2</v>
      </c>
      <c r="G4974" s="2">
        <v>2</v>
      </c>
    </row>
    <row r="4975" spans="1:7" x14ac:dyDescent="0.2">
      <c r="A4975" s="2" t="s">
        <v>75</v>
      </c>
      <c r="B4975" s="14">
        <v>37865</v>
      </c>
      <c r="C4975" s="2">
        <v>7.2000000002000006E-2</v>
      </c>
      <c r="E4975" s="2">
        <v>1</v>
      </c>
      <c r="F4975" s="2">
        <v>4.2675453074862001E-2</v>
      </c>
      <c r="G4975" s="2">
        <v>2</v>
      </c>
    </row>
    <row r="4976" spans="1:7" x14ac:dyDescent="0.2">
      <c r="A4976" s="2" t="s">
        <v>75</v>
      </c>
      <c r="B4976" s="14">
        <v>37895</v>
      </c>
      <c r="C4976" s="2">
        <v>8.2089552236999999E-2</v>
      </c>
      <c r="E4976" s="2">
        <v>1</v>
      </c>
      <c r="F4976" s="2">
        <v>4.37649061426367E-2</v>
      </c>
      <c r="G4976" s="2">
        <v>2</v>
      </c>
    </row>
    <row r="4977" spans="1:7" x14ac:dyDescent="0.2">
      <c r="A4977" s="2" t="s">
        <v>75</v>
      </c>
      <c r="B4977" s="14">
        <v>37926</v>
      </c>
      <c r="C4977" s="2">
        <v>-2.5287356321000001E-2</v>
      </c>
      <c r="E4977" s="2">
        <v>1</v>
      </c>
      <c r="F4977" s="2">
        <v>4.3823469638807802E-2</v>
      </c>
      <c r="G4977" s="2">
        <v>2</v>
      </c>
    </row>
    <row r="4978" spans="1:7" x14ac:dyDescent="0.2">
      <c r="A4978" s="2" t="s">
        <v>75</v>
      </c>
      <c r="B4978" s="14">
        <v>37956</v>
      </c>
      <c r="C4978" s="2">
        <v>2.3584905648000002E-3</v>
      </c>
      <c r="E4978" s="2">
        <v>1</v>
      </c>
      <c r="F4978" s="2">
        <v>3.8283651123193499E-2</v>
      </c>
      <c r="G4978" s="2">
        <v>2</v>
      </c>
    </row>
    <row r="4979" spans="1:7" x14ac:dyDescent="0.2">
      <c r="A4979" s="2" t="s">
        <v>75</v>
      </c>
      <c r="B4979" s="14">
        <v>37987</v>
      </c>
      <c r="C4979" s="2">
        <v>-5.1649082237000002E-2</v>
      </c>
      <c r="E4979" s="2">
        <v>1</v>
      </c>
      <c r="F4979" s="2">
        <v>3.8883088446991898E-2</v>
      </c>
      <c r="G4979" s="2">
        <v>2</v>
      </c>
    </row>
    <row r="4980" spans="1:7" x14ac:dyDescent="0.2">
      <c r="A4980" s="2" t="s">
        <v>75</v>
      </c>
      <c r="B4980" s="14">
        <v>38018</v>
      </c>
      <c r="C4980" s="2">
        <v>2.4743814047000001E-2</v>
      </c>
      <c r="E4980" s="2">
        <v>1</v>
      </c>
      <c r="F4980" s="2">
        <v>3.9183407618082998E-2</v>
      </c>
      <c r="G4980" s="2">
        <v>2</v>
      </c>
    </row>
    <row r="4981" spans="1:7" x14ac:dyDescent="0.2">
      <c r="A4981" s="2" t="s">
        <v>75</v>
      </c>
      <c r="B4981" s="14">
        <v>38047</v>
      </c>
      <c r="C4981" s="2">
        <v>3.6585365852999999E-2</v>
      </c>
      <c r="E4981" s="2">
        <v>1</v>
      </c>
      <c r="F4981" s="2">
        <v>3.5014754018406702E-2</v>
      </c>
      <c r="G4981" s="2">
        <v>2</v>
      </c>
    </row>
    <row r="4982" spans="1:7" x14ac:dyDescent="0.2">
      <c r="A4982" s="2" t="s">
        <v>75</v>
      </c>
      <c r="B4982" s="14">
        <v>38078</v>
      </c>
      <c r="C4982" s="2">
        <v>-2.3529411763999999E-2</v>
      </c>
      <c r="E4982" s="2">
        <v>1</v>
      </c>
      <c r="F4982" s="2">
        <v>3.3907931167652602E-2</v>
      </c>
      <c r="G4982" s="2">
        <v>2</v>
      </c>
    </row>
    <row r="4983" spans="1:7" x14ac:dyDescent="0.2">
      <c r="A4983" s="2" t="s">
        <v>75</v>
      </c>
      <c r="B4983" s="14">
        <v>38108</v>
      </c>
      <c r="C4983" s="2">
        <v>-1.7552413457E-2</v>
      </c>
      <c r="E4983" s="2">
        <v>1</v>
      </c>
      <c r="F4983" s="2">
        <v>3.0934966974751E-2</v>
      </c>
      <c r="G4983" s="2">
        <v>2</v>
      </c>
    </row>
    <row r="4984" spans="1:7" x14ac:dyDescent="0.2">
      <c r="A4984" s="2" t="s">
        <v>75</v>
      </c>
      <c r="B4984" s="14">
        <v>38139</v>
      </c>
      <c r="C4984" s="2">
        <v>4.2183622828999998E-2</v>
      </c>
      <c r="E4984" s="2">
        <v>1</v>
      </c>
      <c r="F4984" s="2">
        <v>3.0994204068042899E-2</v>
      </c>
      <c r="G4984" s="2">
        <v>2</v>
      </c>
    </row>
    <row r="4985" spans="1:7" x14ac:dyDescent="0.2">
      <c r="A4985" s="2" t="s">
        <v>75</v>
      </c>
      <c r="B4985" s="14">
        <v>38169</v>
      </c>
      <c r="C4985" s="2">
        <v>7.1428571428E-3</v>
      </c>
      <c r="E4985" s="2">
        <v>1</v>
      </c>
      <c r="F4985" s="2">
        <v>3.2038309156643498E-2</v>
      </c>
      <c r="G4985" s="2">
        <v>2</v>
      </c>
    </row>
    <row r="4986" spans="1:7" x14ac:dyDescent="0.2">
      <c r="A4986" s="2" t="s">
        <v>75</v>
      </c>
      <c r="B4986" s="14">
        <v>38200</v>
      </c>
      <c r="C4986" s="2">
        <v>2.8368794326999999E-2</v>
      </c>
      <c r="E4986" s="2">
        <v>1</v>
      </c>
      <c r="G4986" s="2">
        <v>2</v>
      </c>
    </row>
    <row r="4987" spans="1:7" x14ac:dyDescent="0.2">
      <c r="A4987" s="2" t="s">
        <v>75</v>
      </c>
      <c r="B4987" s="14">
        <v>38231</v>
      </c>
      <c r="C4987" s="2">
        <v>2.2988505751999999E-3</v>
      </c>
      <c r="E4987" s="2">
        <v>1</v>
      </c>
      <c r="G4987" s="2">
        <v>2</v>
      </c>
    </row>
    <row r="4988" spans="1:7" x14ac:dyDescent="0.2">
      <c r="A4988" s="2" t="s">
        <v>75</v>
      </c>
      <c r="B4988" s="14">
        <v>38261</v>
      </c>
      <c r="C4988" s="2">
        <v>-2.0642201834999999E-2</v>
      </c>
      <c r="E4988" s="2">
        <v>1</v>
      </c>
      <c r="G4988" s="2">
        <v>2</v>
      </c>
    </row>
    <row r="4989" spans="1:7" x14ac:dyDescent="0.2">
      <c r="A4989" s="2" t="s">
        <v>75</v>
      </c>
      <c r="B4989" s="14">
        <v>38292</v>
      </c>
      <c r="C4989" s="2">
        <v>3.0444964872000001E-2</v>
      </c>
      <c r="E4989" s="2">
        <v>1</v>
      </c>
      <c r="G4989" s="2">
        <v>2</v>
      </c>
    </row>
    <row r="4990" spans="1:7" x14ac:dyDescent="0.2">
      <c r="A4990" s="2" t="s">
        <v>75</v>
      </c>
      <c r="B4990" s="14">
        <v>38322</v>
      </c>
      <c r="C4990" s="2">
        <v>2.2727272699000001E-4</v>
      </c>
      <c r="E4990" s="2">
        <v>1</v>
      </c>
      <c r="G4990" s="2">
        <v>2</v>
      </c>
    </row>
    <row r="4991" spans="1:7" x14ac:dyDescent="0.2">
      <c r="A4991" s="2" t="s">
        <v>75</v>
      </c>
      <c r="B4991" s="14">
        <v>38353</v>
      </c>
      <c r="C4991" s="2">
        <v>1.6988062442999999E-2</v>
      </c>
      <c r="D4991" s="2">
        <v>0</v>
      </c>
      <c r="E4991" s="2">
        <v>1</v>
      </c>
      <c r="G4991" s="2">
        <v>2</v>
      </c>
    </row>
    <row r="4992" spans="1:7" x14ac:dyDescent="0.2">
      <c r="A4992" s="2" t="s">
        <v>75</v>
      </c>
      <c r="B4992" s="14">
        <v>38384</v>
      </c>
      <c r="C4992" s="2">
        <v>0</v>
      </c>
      <c r="D4992" s="2">
        <v>0</v>
      </c>
      <c r="E4992" s="2">
        <v>1</v>
      </c>
      <c r="G4992" s="2">
        <v>2</v>
      </c>
    </row>
    <row r="4993" spans="1:7" x14ac:dyDescent="0.2">
      <c r="A4993" s="2" t="s">
        <v>75</v>
      </c>
      <c r="B4993" s="14">
        <v>38412</v>
      </c>
      <c r="C4993" s="2">
        <v>0.12866817154999999</v>
      </c>
      <c r="D4993" s="2">
        <v>0</v>
      </c>
      <c r="E4993" s="2">
        <v>1</v>
      </c>
      <c r="G4993" s="2">
        <v>2</v>
      </c>
    </row>
    <row r="4994" spans="1:7" x14ac:dyDescent="0.2">
      <c r="A4994" s="2" t="s">
        <v>75</v>
      </c>
      <c r="B4994" s="14">
        <v>38443</v>
      </c>
      <c r="C4994" s="2">
        <v>3.3112582779999997E-2</v>
      </c>
      <c r="D4994" s="2">
        <v>0</v>
      </c>
      <c r="E4994" s="2">
        <v>1</v>
      </c>
      <c r="G4994" s="2">
        <v>2</v>
      </c>
    </row>
    <row r="4995" spans="1:7" x14ac:dyDescent="0.2">
      <c r="A4995" s="2" t="s">
        <v>75</v>
      </c>
      <c r="B4995" s="14">
        <v>38473</v>
      </c>
      <c r="C4995" s="2">
        <v>-1.9411764706E-2</v>
      </c>
      <c r="D4995" s="2">
        <v>0</v>
      </c>
      <c r="E4995" s="2">
        <v>1</v>
      </c>
      <c r="G4995" s="2">
        <v>2</v>
      </c>
    </row>
    <row r="4996" spans="1:7" x14ac:dyDescent="0.2">
      <c r="A4996" s="2" t="s">
        <v>75</v>
      </c>
      <c r="B4996" s="14">
        <v>38504</v>
      </c>
      <c r="C4996" s="2">
        <v>5.9788042392000001E-2</v>
      </c>
      <c r="D4996" s="2">
        <v>0</v>
      </c>
      <c r="E4996" s="2">
        <v>1</v>
      </c>
      <c r="G4996" s="2">
        <v>2</v>
      </c>
    </row>
    <row r="4997" spans="1:7" x14ac:dyDescent="0.2">
      <c r="A4997" s="2" t="s">
        <v>75</v>
      </c>
      <c r="B4997" s="14">
        <v>38534</v>
      </c>
      <c r="C4997" s="2">
        <v>-1.8867924527999999E-2</v>
      </c>
      <c r="D4997" s="2">
        <v>0</v>
      </c>
      <c r="E4997" s="2">
        <v>1</v>
      </c>
      <c r="G4997" s="2">
        <v>2</v>
      </c>
    </row>
    <row r="4998" spans="1:7" x14ac:dyDescent="0.2">
      <c r="A4998" s="2" t="s">
        <v>75</v>
      </c>
      <c r="B4998" s="14">
        <v>38565</v>
      </c>
      <c r="C4998" s="19">
        <v>1.9230768885000001E-5</v>
      </c>
      <c r="D4998" s="2">
        <v>0</v>
      </c>
      <c r="E4998" s="2">
        <v>1</v>
      </c>
      <c r="G4998" s="2">
        <v>2</v>
      </c>
    </row>
    <row r="4999" spans="1:7" x14ac:dyDescent="0.2">
      <c r="A4999" s="2" t="s">
        <v>75</v>
      </c>
      <c r="B4999" s="14">
        <v>38596</v>
      </c>
      <c r="C4999" s="2">
        <v>1.9230399448000001E-4</v>
      </c>
      <c r="D4999" s="2">
        <v>0</v>
      </c>
      <c r="E4999" s="2">
        <v>1</v>
      </c>
      <c r="G4999" s="2">
        <v>2</v>
      </c>
    </row>
    <row r="5000" spans="1:7" x14ac:dyDescent="0.2">
      <c r="A5000" s="2" t="s">
        <v>75</v>
      </c>
      <c r="B5000" s="14">
        <v>38626</v>
      </c>
      <c r="C5000" s="2">
        <v>1.9015208321E-2</v>
      </c>
      <c r="D5000" s="2">
        <v>0</v>
      </c>
      <c r="E5000" s="2">
        <v>1</v>
      </c>
      <c r="G5000" s="2">
        <v>2</v>
      </c>
    </row>
    <row r="5001" spans="1:7" x14ac:dyDescent="0.2">
      <c r="A5001" s="2" t="s">
        <v>75</v>
      </c>
      <c r="B5001" s="14">
        <v>38657</v>
      </c>
      <c r="C5001" s="2">
        <v>-5.6415094339999999E-2</v>
      </c>
      <c r="D5001" s="2">
        <v>0</v>
      </c>
      <c r="E5001" s="2">
        <v>1</v>
      </c>
      <c r="G5001" s="2">
        <v>2</v>
      </c>
    </row>
    <row r="5002" spans="1:7" x14ac:dyDescent="0.2">
      <c r="A5002" s="2" t="s">
        <v>75</v>
      </c>
      <c r="B5002" s="14">
        <v>38687</v>
      </c>
      <c r="C5002" s="2">
        <v>1.1326860839999999E-2</v>
      </c>
      <c r="D5002" s="2">
        <v>0</v>
      </c>
      <c r="E5002" s="2">
        <v>1</v>
      </c>
      <c r="G5002" s="2">
        <v>2</v>
      </c>
    </row>
    <row r="5003" spans="1:7" x14ac:dyDescent="0.2">
      <c r="A5003" s="2" t="s">
        <v>75</v>
      </c>
      <c r="B5003" s="14">
        <v>38718</v>
      </c>
      <c r="C5003" s="2">
        <v>0.02</v>
      </c>
      <c r="D5003" s="2">
        <v>0</v>
      </c>
      <c r="E5003" s="2">
        <v>1</v>
      </c>
      <c r="G5003" s="2">
        <v>2</v>
      </c>
    </row>
    <row r="5004" spans="1:7" x14ac:dyDescent="0.2">
      <c r="A5004" s="2" t="s">
        <v>75</v>
      </c>
      <c r="B5004" s="14">
        <v>38749</v>
      </c>
      <c r="C5004" s="2">
        <v>0</v>
      </c>
      <c r="D5004" s="2">
        <v>0</v>
      </c>
      <c r="E5004" s="2">
        <v>1</v>
      </c>
      <c r="G5004" s="2">
        <v>2</v>
      </c>
    </row>
    <row r="5005" spans="1:7" x14ac:dyDescent="0.2">
      <c r="A5005" s="2" t="s">
        <v>75</v>
      </c>
      <c r="B5005" s="14">
        <v>38777</v>
      </c>
      <c r="C5005" s="2">
        <v>-9.8039215690999999E-3</v>
      </c>
      <c r="D5005" s="2">
        <v>0</v>
      </c>
      <c r="E5005" s="2">
        <v>1</v>
      </c>
      <c r="G5005" s="2">
        <v>2</v>
      </c>
    </row>
    <row r="5006" spans="1:7" x14ac:dyDescent="0.2">
      <c r="A5006" s="2" t="s">
        <v>75</v>
      </c>
      <c r="B5006" s="14">
        <v>38808</v>
      </c>
      <c r="C5006" s="2">
        <v>0</v>
      </c>
      <c r="D5006" s="2">
        <v>0</v>
      </c>
      <c r="E5006" s="2">
        <v>1</v>
      </c>
      <c r="G5006" s="2">
        <v>2</v>
      </c>
    </row>
    <row r="5007" spans="1:7" x14ac:dyDescent="0.2">
      <c r="A5007" s="2" t="s">
        <v>75</v>
      </c>
      <c r="B5007" s="14">
        <v>38838</v>
      </c>
      <c r="C5007" s="2">
        <v>1.0101010103E-2</v>
      </c>
      <c r="D5007" s="2">
        <v>0</v>
      </c>
      <c r="E5007" s="2">
        <v>1</v>
      </c>
      <c r="G5007" s="2">
        <v>2</v>
      </c>
    </row>
    <row r="5008" spans="1:7" x14ac:dyDescent="0.2">
      <c r="A5008" s="2" t="s">
        <v>75</v>
      </c>
      <c r="B5008" s="14">
        <v>38869</v>
      </c>
      <c r="C5008" s="2">
        <v>-0.02</v>
      </c>
      <c r="D5008" s="2">
        <v>0</v>
      </c>
      <c r="E5008" s="2">
        <v>1</v>
      </c>
      <c r="G5008" s="2">
        <v>2</v>
      </c>
    </row>
    <row r="5009" spans="1:7" x14ac:dyDescent="0.2">
      <c r="A5009" s="2" t="s">
        <v>75</v>
      </c>
      <c r="B5009" s="14">
        <v>38899</v>
      </c>
      <c r="C5009" s="2">
        <v>0</v>
      </c>
      <c r="D5009" s="2">
        <v>0</v>
      </c>
      <c r="E5009" s="2">
        <v>1</v>
      </c>
      <c r="G5009" s="2">
        <v>2</v>
      </c>
    </row>
    <row r="5010" spans="1:7" x14ac:dyDescent="0.2">
      <c r="A5010" s="2" t="s">
        <v>75</v>
      </c>
      <c r="B5010" s="14">
        <v>38930</v>
      </c>
      <c r="C5010" s="2">
        <v>4.0816326531000001E-2</v>
      </c>
      <c r="D5010" s="2">
        <v>0</v>
      </c>
      <c r="E5010" s="2">
        <v>1</v>
      </c>
      <c r="G5010" s="2">
        <v>2</v>
      </c>
    </row>
    <row r="5011" spans="1:7" x14ac:dyDescent="0.2">
      <c r="A5011" s="2" t="s">
        <v>75</v>
      </c>
      <c r="B5011" s="14">
        <v>38961</v>
      </c>
      <c r="C5011" s="2">
        <v>2.0588235295E-2</v>
      </c>
      <c r="D5011" s="2">
        <v>0</v>
      </c>
      <c r="E5011" s="2">
        <v>1</v>
      </c>
      <c r="G5011" s="2">
        <v>2</v>
      </c>
    </row>
    <row r="5012" spans="1:7" x14ac:dyDescent="0.2">
      <c r="A5012" s="2" t="s">
        <v>75</v>
      </c>
      <c r="B5012" s="14">
        <v>38991</v>
      </c>
      <c r="C5012" s="2">
        <v>7.5888568685000005E-2</v>
      </c>
      <c r="D5012" s="2">
        <v>0</v>
      </c>
      <c r="E5012" s="2">
        <v>1</v>
      </c>
      <c r="G5012" s="2">
        <v>2</v>
      </c>
    </row>
    <row r="5013" spans="1:7" x14ac:dyDescent="0.2">
      <c r="A5013" s="2" t="s">
        <v>75</v>
      </c>
      <c r="B5013" s="14">
        <v>39022</v>
      </c>
      <c r="C5013" s="2">
        <v>8.9285714275000004E-3</v>
      </c>
      <c r="D5013" s="2">
        <v>0</v>
      </c>
      <c r="E5013" s="2">
        <v>1</v>
      </c>
      <c r="G5013" s="2">
        <v>2</v>
      </c>
    </row>
    <row r="5014" spans="1:7" x14ac:dyDescent="0.2">
      <c r="A5014" s="2" t="s">
        <v>75</v>
      </c>
      <c r="B5014" s="14">
        <v>39052</v>
      </c>
      <c r="C5014" s="2">
        <v>1.7699115051000001E-4</v>
      </c>
      <c r="D5014" s="2">
        <v>0</v>
      </c>
      <c r="E5014" s="2">
        <v>1</v>
      </c>
      <c r="G5014" s="2">
        <v>2</v>
      </c>
    </row>
    <row r="5015" spans="1:7" x14ac:dyDescent="0.2">
      <c r="A5015" s="2" t="s">
        <v>75</v>
      </c>
      <c r="B5015" s="14">
        <v>39083</v>
      </c>
      <c r="C5015" s="2">
        <v>1.6949152543000001E-2</v>
      </c>
      <c r="D5015" s="2">
        <v>0</v>
      </c>
      <c r="E5015" s="2">
        <v>1</v>
      </c>
      <c r="G5015" s="2">
        <v>2</v>
      </c>
    </row>
    <row r="5016" spans="1:7" x14ac:dyDescent="0.2">
      <c r="A5016" s="2" t="s">
        <v>75</v>
      </c>
      <c r="B5016" s="14">
        <v>39114</v>
      </c>
      <c r="C5016" s="2">
        <v>2.6315789475E-2</v>
      </c>
      <c r="D5016" s="2">
        <v>0</v>
      </c>
      <c r="E5016" s="2">
        <v>1</v>
      </c>
      <c r="G5016" s="2">
        <v>2</v>
      </c>
    </row>
    <row r="5017" spans="1:7" x14ac:dyDescent="0.2">
      <c r="A5017" s="2" t="s">
        <v>75</v>
      </c>
      <c r="B5017" s="14">
        <v>39142</v>
      </c>
      <c r="C5017" s="2">
        <v>-8.5470085477999998E-3</v>
      </c>
      <c r="D5017" s="2">
        <v>0</v>
      </c>
      <c r="E5017" s="2">
        <v>1</v>
      </c>
      <c r="G5017" s="2">
        <v>2</v>
      </c>
    </row>
    <row r="5018" spans="1:7" x14ac:dyDescent="0.2">
      <c r="A5018" s="2" t="s">
        <v>75</v>
      </c>
      <c r="B5018" s="14">
        <v>39173</v>
      </c>
      <c r="C5018" s="2">
        <v>5.1724137931000003E-2</v>
      </c>
      <c r="D5018" s="2">
        <v>0</v>
      </c>
      <c r="E5018" s="2">
        <v>1</v>
      </c>
      <c r="G5018" s="2">
        <v>2</v>
      </c>
    </row>
    <row r="5019" spans="1:7" x14ac:dyDescent="0.2">
      <c r="A5019" s="2" t="s">
        <v>75</v>
      </c>
      <c r="B5019" s="14">
        <v>39203</v>
      </c>
      <c r="C5019" s="2">
        <v>-2.7107932812999998E-2</v>
      </c>
      <c r="D5019" s="2">
        <v>0</v>
      </c>
      <c r="E5019" s="2">
        <v>1</v>
      </c>
      <c r="G5019" s="2">
        <v>2</v>
      </c>
    </row>
    <row r="5020" spans="1:7" x14ac:dyDescent="0.2">
      <c r="A5020" s="2" t="s">
        <v>75</v>
      </c>
      <c r="B5020" s="14">
        <v>39234</v>
      </c>
      <c r="C5020" s="2">
        <v>2.5641025641000001E-2</v>
      </c>
      <c r="D5020" s="2">
        <v>0</v>
      </c>
      <c r="E5020" s="2">
        <v>1</v>
      </c>
      <c r="G5020" s="2">
        <v>2</v>
      </c>
    </row>
    <row r="5021" spans="1:7" x14ac:dyDescent="0.2">
      <c r="A5021" s="2" t="s">
        <v>75</v>
      </c>
      <c r="B5021" s="14">
        <v>39264</v>
      </c>
      <c r="C5021" s="2">
        <v>2.9999999999E-2</v>
      </c>
      <c r="D5021" s="2">
        <v>0</v>
      </c>
      <c r="E5021" s="2">
        <v>1</v>
      </c>
      <c r="G5021" s="2">
        <v>2</v>
      </c>
    </row>
    <row r="5022" spans="1:7" x14ac:dyDescent="0.2">
      <c r="A5022" s="2" t="s">
        <v>75</v>
      </c>
      <c r="B5022" s="14">
        <v>39295</v>
      </c>
      <c r="C5022" s="2">
        <v>-4.8543689327000001E-3</v>
      </c>
      <c r="D5022" s="2">
        <v>0</v>
      </c>
      <c r="E5022" s="2">
        <v>1</v>
      </c>
      <c r="G5022" s="2">
        <v>2</v>
      </c>
    </row>
    <row r="5023" spans="1:7" x14ac:dyDescent="0.2">
      <c r="A5023" s="2" t="s">
        <v>75</v>
      </c>
      <c r="B5023" s="14">
        <v>39326</v>
      </c>
      <c r="C5023" s="2">
        <v>1.6617886179999999E-2</v>
      </c>
      <c r="D5023" s="2">
        <v>0</v>
      </c>
      <c r="E5023" s="2">
        <v>1</v>
      </c>
      <c r="G5023" s="2">
        <v>2</v>
      </c>
    </row>
    <row r="5024" spans="1:7" x14ac:dyDescent="0.2">
      <c r="A5024" s="2" t="s">
        <v>75</v>
      </c>
      <c r="B5024" s="14">
        <v>39356</v>
      </c>
      <c r="C5024" s="2">
        <v>8.7617158759000002E-2</v>
      </c>
      <c r="D5024" s="2">
        <v>0</v>
      </c>
      <c r="E5024" s="2">
        <v>1</v>
      </c>
      <c r="G5024" s="2">
        <v>2</v>
      </c>
    </row>
    <row r="5025" spans="1:7" x14ac:dyDescent="0.2">
      <c r="A5025" s="2" t="s">
        <v>75</v>
      </c>
      <c r="B5025" s="14">
        <v>39387</v>
      </c>
      <c r="C5025" s="2">
        <v>0</v>
      </c>
      <c r="D5025" s="2">
        <v>0</v>
      </c>
      <c r="E5025" s="2">
        <v>1</v>
      </c>
      <c r="G5025" s="2">
        <v>2</v>
      </c>
    </row>
    <row r="5026" spans="1:7" x14ac:dyDescent="0.2">
      <c r="A5026" s="2" t="s">
        <v>75</v>
      </c>
      <c r="B5026" s="14">
        <v>39417</v>
      </c>
      <c r="C5026" s="2">
        <v>7.3529411766000002E-3</v>
      </c>
      <c r="D5026" s="2">
        <v>0</v>
      </c>
      <c r="E5026" s="2">
        <v>1</v>
      </c>
      <c r="G5026" s="2">
        <v>2</v>
      </c>
    </row>
    <row r="5027" spans="1:7" x14ac:dyDescent="0.2">
      <c r="A5027" s="2" t="s">
        <v>75</v>
      </c>
      <c r="B5027" s="14">
        <v>39448</v>
      </c>
      <c r="C5027" s="2">
        <v>-7.0940386066999997E-2</v>
      </c>
      <c r="D5027" s="2">
        <v>0</v>
      </c>
      <c r="E5027" s="2">
        <v>1</v>
      </c>
      <c r="G5027" s="2">
        <v>2</v>
      </c>
    </row>
    <row r="5028" spans="1:7" x14ac:dyDescent="0.2">
      <c r="A5028" s="2" t="s">
        <v>75</v>
      </c>
      <c r="B5028" s="14">
        <v>39479</v>
      </c>
      <c r="C5028" s="2">
        <v>6.3492063491000002E-3</v>
      </c>
      <c r="D5028" s="2">
        <v>0</v>
      </c>
      <c r="E5028" s="2">
        <v>1</v>
      </c>
      <c r="G5028" s="2">
        <v>2</v>
      </c>
    </row>
    <row r="5029" spans="1:7" x14ac:dyDescent="0.2">
      <c r="A5029" s="2" t="s">
        <v>75</v>
      </c>
      <c r="B5029" s="14">
        <v>39508</v>
      </c>
      <c r="C5029" s="2">
        <v>-4.7318611977999999E-3</v>
      </c>
      <c r="D5029" s="2">
        <v>0</v>
      </c>
      <c r="E5029" s="2">
        <v>1</v>
      </c>
      <c r="G5029" s="2">
        <v>2</v>
      </c>
    </row>
    <row r="5030" spans="1:7" x14ac:dyDescent="0.2">
      <c r="A5030" s="2" t="s">
        <v>75</v>
      </c>
      <c r="B5030" s="14">
        <v>39539</v>
      </c>
      <c r="C5030" s="2">
        <v>1.7432646590999998E-2</v>
      </c>
      <c r="D5030" s="2">
        <v>0</v>
      </c>
      <c r="E5030" s="2">
        <v>1</v>
      </c>
      <c r="G5030" s="2">
        <v>2</v>
      </c>
    </row>
    <row r="5031" spans="1:7" x14ac:dyDescent="0.2">
      <c r="A5031" s="2" t="s">
        <v>75</v>
      </c>
      <c r="B5031" s="14">
        <v>39569</v>
      </c>
      <c r="C5031" s="2">
        <v>1.1218201927E-2</v>
      </c>
      <c r="D5031" s="2">
        <v>0</v>
      </c>
      <c r="E5031" s="2">
        <v>1</v>
      </c>
      <c r="G5031" s="2">
        <v>2</v>
      </c>
    </row>
    <row r="5032" spans="1:7" x14ac:dyDescent="0.2">
      <c r="A5032" s="2" t="s">
        <v>75</v>
      </c>
      <c r="B5032" s="14">
        <v>39600</v>
      </c>
      <c r="C5032" s="2">
        <v>-1.5624999999E-2</v>
      </c>
      <c r="D5032" s="2">
        <v>0</v>
      </c>
      <c r="E5032" s="2">
        <v>1</v>
      </c>
      <c r="G5032" s="2">
        <v>2</v>
      </c>
    </row>
    <row r="5033" spans="1:7" x14ac:dyDescent="0.2">
      <c r="A5033" s="2" t="s">
        <v>75</v>
      </c>
      <c r="B5033" s="14">
        <v>39630</v>
      </c>
      <c r="C5033" s="2">
        <v>1.5873015872999999E-2</v>
      </c>
      <c r="D5033" s="2">
        <v>0</v>
      </c>
      <c r="E5033" s="2">
        <v>1</v>
      </c>
      <c r="G5033" s="2">
        <v>2</v>
      </c>
    </row>
    <row r="5034" spans="1:7" x14ac:dyDescent="0.2">
      <c r="A5034" s="2" t="s">
        <v>75</v>
      </c>
      <c r="B5034" s="14">
        <v>39661</v>
      </c>
      <c r="C5034" s="2">
        <v>-2.0312500000000001E-2</v>
      </c>
      <c r="D5034" s="2">
        <v>0</v>
      </c>
      <c r="E5034" s="2">
        <v>1</v>
      </c>
      <c r="G5034" s="2">
        <v>2</v>
      </c>
    </row>
    <row r="5035" spans="1:7" x14ac:dyDescent="0.2">
      <c r="A5035" s="2" t="s">
        <v>75</v>
      </c>
      <c r="B5035" s="14">
        <v>39692</v>
      </c>
      <c r="C5035" s="2">
        <v>2.0733652312999999E-2</v>
      </c>
      <c r="D5035" s="2">
        <v>0</v>
      </c>
      <c r="E5035" s="2">
        <v>1</v>
      </c>
      <c r="G5035" s="2">
        <v>2</v>
      </c>
    </row>
    <row r="5036" spans="1:7" x14ac:dyDescent="0.2">
      <c r="A5036" s="2" t="s">
        <v>75</v>
      </c>
      <c r="B5036" s="14">
        <v>39722</v>
      </c>
      <c r="C5036" s="2">
        <v>-3.125E-2</v>
      </c>
      <c r="D5036" s="2">
        <v>0</v>
      </c>
      <c r="E5036" s="2">
        <v>1</v>
      </c>
      <c r="G5036" s="2">
        <v>2</v>
      </c>
    </row>
    <row r="5037" spans="1:7" x14ac:dyDescent="0.2">
      <c r="A5037" s="2" t="s">
        <v>75</v>
      </c>
      <c r="B5037" s="14">
        <v>39753</v>
      </c>
      <c r="C5037" s="2">
        <v>0</v>
      </c>
      <c r="D5037" s="2">
        <v>0</v>
      </c>
      <c r="E5037" s="2">
        <v>1</v>
      </c>
      <c r="G5037" s="2">
        <v>2</v>
      </c>
    </row>
    <row r="5038" spans="1:7" x14ac:dyDescent="0.2">
      <c r="A5038" s="2" t="s">
        <v>75</v>
      </c>
      <c r="B5038" s="14">
        <v>39783</v>
      </c>
      <c r="C5038" s="2">
        <v>-7.0967741934999995E-2</v>
      </c>
      <c r="D5038" s="2">
        <v>0</v>
      </c>
      <c r="E5038" s="2">
        <v>1</v>
      </c>
      <c r="G5038" s="2">
        <v>2</v>
      </c>
    </row>
    <row r="5039" spans="1:7" x14ac:dyDescent="0.2">
      <c r="A5039" s="2" t="s">
        <v>76</v>
      </c>
      <c r="B5039" s="14">
        <v>37591</v>
      </c>
      <c r="E5039" s="2">
        <v>1</v>
      </c>
      <c r="G5039" s="2">
        <v>2</v>
      </c>
    </row>
    <row r="5040" spans="1:7" x14ac:dyDescent="0.2">
      <c r="A5040" s="2" t="s">
        <v>76</v>
      </c>
      <c r="B5040" s="14">
        <v>37622</v>
      </c>
      <c r="E5040" s="2">
        <v>1</v>
      </c>
      <c r="G5040" s="2">
        <v>2</v>
      </c>
    </row>
    <row r="5041" spans="1:7" x14ac:dyDescent="0.2">
      <c r="A5041" s="2" t="s">
        <v>76</v>
      </c>
      <c r="B5041" s="14">
        <v>37653</v>
      </c>
      <c r="E5041" s="2">
        <v>1</v>
      </c>
      <c r="G5041" s="2">
        <v>2</v>
      </c>
    </row>
    <row r="5042" spans="1:7" x14ac:dyDescent="0.2">
      <c r="A5042" s="2" t="s">
        <v>76</v>
      </c>
      <c r="B5042" s="14">
        <v>37681</v>
      </c>
      <c r="E5042" s="2">
        <v>1</v>
      </c>
      <c r="G5042" s="2">
        <v>2</v>
      </c>
    </row>
    <row r="5043" spans="1:7" x14ac:dyDescent="0.2">
      <c r="A5043" s="2" t="s">
        <v>76</v>
      </c>
      <c r="B5043" s="14">
        <v>37712</v>
      </c>
      <c r="E5043" s="2">
        <v>1</v>
      </c>
      <c r="G5043" s="2">
        <v>2</v>
      </c>
    </row>
    <row r="5044" spans="1:7" x14ac:dyDescent="0.2">
      <c r="A5044" s="2" t="s">
        <v>76</v>
      </c>
      <c r="B5044" s="14">
        <v>37742</v>
      </c>
      <c r="E5044" s="2">
        <v>1</v>
      </c>
      <c r="G5044" s="2">
        <v>2</v>
      </c>
    </row>
    <row r="5045" spans="1:7" x14ac:dyDescent="0.2">
      <c r="A5045" s="2" t="s">
        <v>76</v>
      </c>
      <c r="B5045" s="14">
        <v>37773</v>
      </c>
      <c r="E5045" s="2">
        <v>1</v>
      </c>
      <c r="G5045" s="2">
        <v>2</v>
      </c>
    </row>
    <row r="5046" spans="1:7" x14ac:dyDescent="0.2">
      <c r="A5046" s="2" t="s">
        <v>76</v>
      </c>
      <c r="B5046" s="14">
        <v>37803</v>
      </c>
      <c r="E5046" s="2">
        <v>1</v>
      </c>
      <c r="G5046" s="2">
        <v>2</v>
      </c>
    </row>
    <row r="5047" spans="1:7" x14ac:dyDescent="0.2">
      <c r="A5047" s="2" t="s">
        <v>76</v>
      </c>
      <c r="B5047" s="14">
        <v>37834</v>
      </c>
      <c r="E5047" s="2">
        <v>1</v>
      </c>
      <c r="G5047" s="2">
        <v>2</v>
      </c>
    </row>
    <row r="5048" spans="1:7" x14ac:dyDescent="0.2">
      <c r="A5048" s="2" t="s">
        <v>76</v>
      </c>
      <c r="B5048" s="14">
        <v>37865</v>
      </c>
      <c r="E5048" s="2">
        <v>1</v>
      </c>
      <c r="G5048" s="2">
        <v>2</v>
      </c>
    </row>
    <row r="5049" spans="1:7" x14ac:dyDescent="0.2">
      <c r="A5049" s="2" t="s">
        <v>76</v>
      </c>
      <c r="B5049" s="14">
        <v>37895</v>
      </c>
      <c r="E5049" s="2">
        <v>1</v>
      </c>
      <c r="G5049" s="2">
        <v>2</v>
      </c>
    </row>
    <row r="5050" spans="1:7" x14ac:dyDescent="0.2">
      <c r="A5050" s="2" t="s">
        <v>76</v>
      </c>
      <c r="B5050" s="14">
        <v>37926</v>
      </c>
      <c r="E5050" s="2">
        <v>1</v>
      </c>
      <c r="G5050" s="2">
        <v>2</v>
      </c>
    </row>
    <row r="5051" spans="1:7" x14ac:dyDescent="0.2">
      <c r="A5051" s="2" t="s">
        <v>76</v>
      </c>
      <c r="B5051" s="14">
        <v>37956</v>
      </c>
      <c r="E5051" s="2">
        <v>1</v>
      </c>
      <c r="G5051" s="2">
        <v>2</v>
      </c>
    </row>
    <row r="5052" spans="1:7" x14ac:dyDescent="0.2">
      <c r="A5052" s="2" t="s">
        <v>76</v>
      </c>
      <c r="B5052" s="14">
        <v>37987</v>
      </c>
      <c r="E5052" s="2">
        <v>1</v>
      </c>
      <c r="G5052" s="2">
        <v>2</v>
      </c>
    </row>
    <row r="5053" spans="1:7" x14ac:dyDescent="0.2">
      <c r="A5053" s="2" t="s">
        <v>76</v>
      </c>
      <c r="B5053" s="14">
        <v>38018</v>
      </c>
      <c r="E5053" s="2">
        <v>1</v>
      </c>
      <c r="G5053" s="2">
        <v>2</v>
      </c>
    </row>
    <row r="5054" spans="1:7" x14ac:dyDescent="0.2">
      <c r="A5054" s="2" t="s">
        <v>76</v>
      </c>
      <c r="B5054" s="14">
        <v>38047</v>
      </c>
      <c r="E5054" s="2">
        <v>1</v>
      </c>
      <c r="G5054" s="2">
        <v>2</v>
      </c>
    </row>
    <row r="5055" spans="1:7" x14ac:dyDescent="0.2">
      <c r="A5055" s="2" t="s">
        <v>76</v>
      </c>
      <c r="B5055" s="14">
        <v>38078</v>
      </c>
      <c r="E5055" s="2">
        <v>1</v>
      </c>
      <c r="G5055" s="2">
        <v>2</v>
      </c>
    </row>
    <row r="5056" spans="1:7" x14ac:dyDescent="0.2">
      <c r="A5056" s="2" t="s">
        <v>76</v>
      </c>
      <c r="B5056" s="14">
        <v>38108</v>
      </c>
      <c r="E5056" s="2">
        <v>1</v>
      </c>
      <c r="G5056" s="2">
        <v>2</v>
      </c>
    </row>
    <row r="5057" spans="1:7" x14ac:dyDescent="0.2">
      <c r="A5057" s="2" t="s">
        <v>76</v>
      </c>
      <c r="B5057" s="14">
        <v>38139</v>
      </c>
      <c r="E5057" s="2">
        <v>1</v>
      </c>
      <c r="G5057" s="2">
        <v>2</v>
      </c>
    </row>
    <row r="5058" spans="1:7" x14ac:dyDescent="0.2">
      <c r="A5058" s="2" t="s">
        <v>76</v>
      </c>
      <c r="B5058" s="14">
        <v>38169</v>
      </c>
      <c r="E5058" s="2">
        <v>1</v>
      </c>
      <c r="G5058" s="2">
        <v>2</v>
      </c>
    </row>
    <row r="5059" spans="1:7" x14ac:dyDescent="0.2">
      <c r="A5059" s="2" t="s">
        <v>76</v>
      </c>
      <c r="B5059" s="14">
        <v>38200</v>
      </c>
      <c r="E5059" s="2">
        <v>1</v>
      </c>
      <c r="G5059" s="2">
        <v>2</v>
      </c>
    </row>
    <row r="5060" spans="1:7" x14ac:dyDescent="0.2">
      <c r="A5060" s="2" t="s">
        <v>76</v>
      </c>
      <c r="B5060" s="14">
        <v>38231</v>
      </c>
      <c r="E5060" s="2">
        <v>1</v>
      </c>
      <c r="G5060" s="2">
        <v>2</v>
      </c>
    </row>
    <row r="5061" spans="1:7" x14ac:dyDescent="0.2">
      <c r="A5061" s="2" t="s">
        <v>76</v>
      </c>
      <c r="B5061" s="14">
        <v>38261</v>
      </c>
      <c r="E5061" s="2">
        <v>1</v>
      </c>
      <c r="G5061" s="2">
        <v>2</v>
      </c>
    </row>
    <row r="5062" spans="1:7" x14ac:dyDescent="0.2">
      <c r="A5062" s="2" t="s">
        <v>76</v>
      </c>
      <c r="B5062" s="14">
        <v>38292</v>
      </c>
      <c r="E5062" s="2">
        <v>1</v>
      </c>
      <c r="G5062" s="2">
        <v>2</v>
      </c>
    </row>
    <row r="5063" spans="1:7" x14ac:dyDescent="0.2">
      <c r="A5063" s="2" t="s">
        <v>76</v>
      </c>
      <c r="B5063" s="14">
        <v>38322</v>
      </c>
      <c r="E5063" s="2">
        <v>1</v>
      </c>
      <c r="G5063" s="2">
        <v>2</v>
      </c>
    </row>
    <row r="5064" spans="1:7" x14ac:dyDescent="0.2">
      <c r="A5064" s="2" t="s">
        <v>76</v>
      </c>
      <c r="B5064" s="14">
        <v>38353</v>
      </c>
      <c r="E5064" s="2">
        <v>1</v>
      </c>
      <c r="G5064" s="2">
        <v>2</v>
      </c>
    </row>
    <row r="5065" spans="1:7" x14ac:dyDescent="0.2">
      <c r="A5065" s="2" t="s">
        <v>76</v>
      </c>
      <c r="B5065" s="14">
        <v>38384</v>
      </c>
      <c r="E5065" s="2">
        <v>1</v>
      </c>
      <c r="G5065" s="2">
        <v>2</v>
      </c>
    </row>
    <row r="5066" spans="1:7" x14ac:dyDescent="0.2">
      <c r="A5066" s="2" t="s">
        <v>76</v>
      </c>
      <c r="B5066" s="14">
        <v>38412</v>
      </c>
      <c r="E5066" s="2">
        <v>1</v>
      </c>
      <c r="G5066" s="2">
        <v>2</v>
      </c>
    </row>
    <row r="5067" spans="1:7" x14ac:dyDescent="0.2">
      <c r="A5067" s="2" t="s">
        <v>76</v>
      </c>
      <c r="B5067" s="14">
        <v>38443</v>
      </c>
      <c r="E5067" s="2">
        <v>1</v>
      </c>
      <c r="G5067" s="2">
        <v>2</v>
      </c>
    </row>
    <row r="5068" spans="1:7" x14ac:dyDescent="0.2">
      <c r="A5068" s="2" t="s">
        <v>76</v>
      </c>
      <c r="B5068" s="14">
        <v>38473</v>
      </c>
      <c r="E5068" s="2">
        <v>1</v>
      </c>
      <c r="G5068" s="2">
        <v>2</v>
      </c>
    </row>
    <row r="5069" spans="1:7" x14ac:dyDescent="0.2">
      <c r="A5069" s="2" t="s">
        <v>76</v>
      </c>
      <c r="B5069" s="14">
        <v>38504</v>
      </c>
      <c r="E5069" s="2">
        <v>1</v>
      </c>
      <c r="G5069" s="2">
        <v>2</v>
      </c>
    </row>
    <row r="5070" spans="1:7" x14ac:dyDescent="0.2">
      <c r="A5070" s="2" t="s">
        <v>76</v>
      </c>
      <c r="B5070" s="14">
        <v>38534</v>
      </c>
      <c r="E5070" s="2">
        <v>1</v>
      </c>
      <c r="G5070" s="2">
        <v>2</v>
      </c>
    </row>
    <row r="5071" spans="1:7" x14ac:dyDescent="0.2">
      <c r="A5071" s="2" t="s">
        <v>76</v>
      </c>
      <c r="B5071" s="14">
        <v>38565</v>
      </c>
      <c r="E5071" s="2">
        <v>1</v>
      </c>
      <c r="G5071" s="2">
        <v>2</v>
      </c>
    </row>
    <row r="5072" spans="1:7" x14ac:dyDescent="0.2">
      <c r="A5072" s="2" t="s">
        <v>76</v>
      </c>
      <c r="B5072" s="14">
        <v>38596</v>
      </c>
      <c r="E5072" s="2">
        <v>1</v>
      </c>
      <c r="G5072" s="2">
        <v>2</v>
      </c>
    </row>
    <row r="5073" spans="1:7" x14ac:dyDescent="0.2">
      <c r="A5073" s="2" t="s">
        <v>76</v>
      </c>
      <c r="B5073" s="14">
        <v>38626</v>
      </c>
      <c r="E5073" s="2">
        <v>1</v>
      </c>
      <c r="G5073" s="2">
        <v>2</v>
      </c>
    </row>
    <row r="5074" spans="1:7" x14ac:dyDescent="0.2">
      <c r="A5074" s="2" t="s">
        <v>76</v>
      </c>
      <c r="B5074" s="14">
        <v>38657</v>
      </c>
      <c r="E5074" s="2">
        <v>1</v>
      </c>
      <c r="G5074" s="2">
        <v>2</v>
      </c>
    </row>
    <row r="5075" spans="1:7" x14ac:dyDescent="0.2">
      <c r="A5075" s="2" t="s">
        <v>76</v>
      </c>
      <c r="B5075" s="14">
        <v>38687</v>
      </c>
      <c r="E5075" s="2">
        <v>1</v>
      </c>
      <c r="G5075" s="2">
        <v>2</v>
      </c>
    </row>
    <row r="5076" spans="1:7" x14ac:dyDescent="0.2">
      <c r="A5076" s="2" t="s">
        <v>76</v>
      </c>
      <c r="B5076" s="14">
        <v>38718</v>
      </c>
      <c r="E5076" s="2">
        <v>1</v>
      </c>
      <c r="G5076" s="2">
        <v>2</v>
      </c>
    </row>
    <row r="5077" spans="1:7" x14ac:dyDescent="0.2">
      <c r="A5077" s="2" t="s">
        <v>76</v>
      </c>
      <c r="B5077" s="14">
        <v>38749</v>
      </c>
      <c r="E5077" s="2">
        <v>1</v>
      </c>
      <c r="G5077" s="2">
        <v>2</v>
      </c>
    </row>
    <row r="5078" spans="1:7" x14ac:dyDescent="0.2">
      <c r="A5078" s="2" t="s">
        <v>76</v>
      </c>
      <c r="B5078" s="14">
        <v>38777</v>
      </c>
      <c r="E5078" s="2">
        <v>1</v>
      </c>
      <c r="G5078" s="2">
        <v>2</v>
      </c>
    </row>
    <row r="5079" spans="1:7" x14ac:dyDescent="0.2">
      <c r="A5079" s="2" t="s">
        <v>76</v>
      </c>
      <c r="B5079" s="14">
        <v>38808</v>
      </c>
      <c r="E5079" s="2">
        <v>1</v>
      </c>
      <c r="G5079" s="2">
        <v>2</v>
      </c>
    </row>
    <row r="5080" spans="1:7" x14ac:dyDescent="0.2">
      <c r="A5080" s="2" t="s">
        <v>76</v>
      </c>
      <c r="B5080" s="14">
        <v>38838</v>
      </c>
      <c r="E5080" s="2">
        <v>1</v>
      </c>
      <c r="G5080" s="2">
        <v>2</v>
      </c>
    </row>
    <row r="5081" spans="1:7" x14ac:dyDescent="0.2">
      <c r="A5081" s="2" t="s">
        <v>76</v>
      </c>
      <c r="B5081" s="14">
        <v>38869</v>
      </c>
      <c r="E5081" s="2">
        <v>1</v>
      </c>
      <c r="G5081" s="2">
        <v>2</v>
      </c>
    </row>
    <row r="5082" spans="1:7" x14ac:dyDescent="0.2">
      <c r="A5082" s="2" t="s">
        <v>76</v>
      </c>
      <c r="B5082" s="14">
        <v>38899</v>
      </c>
      <c r="E5082" s="2">
        <v>1</v>
      </c>
      <c r="G5082" s="2">
        <v>2</v>
      </c>
    </row>
    <row r="5083" spans="1:7" x14ac:dyDescent="0.2">
      <c r="A5083" s="2" t="s">
        <v>76</v>
      </c>
      <c r="B5083" s="14">
        <v>38930</v>
      </c>
      <c r="E5083" s="2">
        <v>1</v>
      </c>
      <c r="G5083" s="2">
        <v>2</v>
      </c>
    </row>
    <row r="5084" spans="1:7" x14ac:dyDescent="0.2">
      <c r="A5084" s="2" t="s">
        <v>76</v>
      </c>
      <c r="B5084" s="14">
        <v>38961</v>
      </c>
      <c r="E5084" s="2">
        <v>1</v>
      </c>
      <c r="G5084" s="2">
        <v>2</v>
      </c>
    </row>
    <row r="5085" spans="1:7" x14ac:dyDescent="0.2">
      <c r="A5085" s="2" t="s">
        <v>76</v>
      </c>
      <c r="B5085" s="14">
        <v>38991</v>
      </c>
      <c r="E5085" s="2">
        <v>1</v>
      </c>
      <c r="G5085" s="2">
        <v>2</v>
      </c>
    </row>
    <row r="5086" spans="1:7" x14ac:dyDescent="0.2">
      <c r="A5086" s="2" t="s">
        <v>76</v>
      </c>
      <c r="B5086" s="14">
        <v>39022</v>
      </c>
      <c r="C5086" s="2">
        <v>5.0632911389000002E-3</v>
      </c>
      <c r="E5086" s="2">
        <v>1</v>
      </c>
      <c r="G5086" s="2">
        <v>2</v>
      </c>
    </row>
    <row r="5087" spans="1:7" x14ac:dyDescent="0.2">
      <c r="A5087" s="2" t="s">
        <v>76</v>
      </c>
      <c r="B5087" s="14">
        <v>39052</v>
      </c>
      <c r="C5087" s="2">
        <v>3.2745591939999999E-2</v>
      </c>
      <c r="E5087" s="2">
        <v>1</v>
      </c>
      <c r="G5087" s="2">
        <v>2</v>
      </c>
    </row>
    <row r="5088" spans="1:7" x14ac:dyDescent="0.2">
      <c r="A5088" s="2" t="s">
        <v>76</v>
      </c>
      <c r="B5088" s="14">
        <v>39083</v>
      </c>
      <c r="C5088" s="2">
        <v>0.25609756098000003</v>
      </c>
      <c r="E5088" s="2">
        <v>1</v>
      </c>
      <c r="G5088" s="2">
        <v>2</v>
      </c>
    </row>
    <row r="5089" spans="1:7" x14ac:dyDescent="0.2">
      <c r="A5089" s="2" t="s">
        <v>76</v>
      </c>
      <c r="B5089" s="14">
        <v>39114</v>
      </c>
      <c r="C5089" s="2">
        <v>7.7669902912000002E-2</v>
      </c>
      <c r="E5089" s="2">
        <v>1</v>
      </c>
      <c r="G5089" s="2">
        <v>2</v>
      </c>
    </row>
    <row r="5090" spans="1:7" x14ac:dyDescent="0.2">
      <c r="A5090" s="2" t="s">
        <v>76</v>
      </c>
      <c r="B5090" s="14">
        <v>39142</v>
      </c>
      <c r="C5090" s="2">
        <v>0.18918918919</v>
      </c>
      <c r="E5090" s="2">
        <v>1</v>
      </c>
      <c r="G5090" s="2">
        <v>2</v>
      </c>
    </row>
    <row r="5091" spans="1:7" x14ac:dyDescent="0.2">
      <c r="A5091" s="2" t="s">
        <v>76</v>
      </c>
      <c r="B5091" s="14">
        <v>39173</v>
      </c>
      <c r="C5091" s="2">
        <v>8.3333333334000004E-2</v>
      </c>
      <c r="E5091" s="2">
        <v>1</v>
      </c>
      <c r="G5091" s="2">
        <v>2</v>
      </c>
    </row>
    <row r="5092" spans="1:7" x14ac:dyDescent="0.2">
      <c r="A5092" s="2" t="s">
        <v>76</v>
      </c>
      <c r="B5092" s="14">
        <v>39203</v>
      </c>
      <c r="C5092" s="2">
        <v>-3.1929727029000002E-2</v>
      </c>
      <c r="E5092" s="2">
        <v>1</v>
      </c>
      <c r="G5092" s="2">
        <v>2</v>
      </c>
    </row>
    <row r="5093" spans="1:7" x14ac:dyDescent="0.2">
      <c r="A5093" s="2" t="s">
        <v>76</v>
      </c>
      <c r="B5093" s="14">
        <v>39234</v>
      </c>
      <c r="C5093" s="2">
        <v>-8.8220588234999994E-2</v>
      </c>
      <c r="E5093" s="2">
        <v>1</v>
      </c>
      <c r="G5093" s="2">
        <v>2</v>
      </c>
    </row>
    <row r="5094" spans="1:7" x14ac:dyDescent="0.2">
      <c r="A5094" s="2" t="s">
        <v>76</v>
      </c>
      <c r="B5094" s="14">
        <v>39264</v>
      </c>
      <c r="C5094" s="2">
        <v>0.19272269802</v>
      </c>
      <c r="E5094" s="2">
        <v>1</v>
      </c>
      <c r="G5094" s="2">
        <v>2</v>
      </c>
    </row>
    <row r="5095" spans="1:7" x14ac:dyDescent="0.2">
      <c r="A5095" s="2" t="s">
        <v>76</v>
      </c>
      <c r="B5095" s="14">
        <v>39295</v>
      </c>
      <c r="C5095" s="2">
        <v>-0.14807302231</v>
      </c>
      <c r="E5095" s="2">
        <v>1</v>
      </c>
      <c r="F5095" s="2">
        <v>2.9582192600044299E-2</v>
      </c>
      <c r="G5095" s="2">
        <v>2</v>
      </c>
    </row>
    <row r="5096" spans="1:7" x14ac:dyDescent="0.2">
      <c r="A5096" s="2" t="s">
        <v>76</v>
      </c>
      <c r="B5096" s="14">
        <v>39326</v>
      </c>
      <c r="C5096" s="2">
        <v>0.11111111110999999</v>
      </c>
      <c r="E5096" s="2">
        <v>1</v>
      </c>
      <c r="F5096" s="2">
        <v>2.3712119321317799E-2</v>
      </c>
      <c r="G5096" s="2">
        <v>2</v>
      </c>
    </row>
    <row r="5097" spans="1:7" x14ac:dyDescent="0.2">
      <c r="A5097" s="2" t="s">
        <v>76</v>
      </c>
      <c r="B5097" s="14">
        <v>39356</v>
      </c>
      <c r="C5097" s="2">
        <v>5.4428481474999998E-2</v>
      </c>
      <c r="E5097" s="2">
        <v>1</v>
      </c>
      <c r="F5097" s="2">
        <v>2.1112441613133599E-2</v>
      </c>
      <c r="G5097" s="2">
        <v>2</v>
      </c>
    </row>
    <row r="5098" spans="1:7" x14ac:dyDescent="0.2">
      <c r="A5098" s="2" t="s">
        <v>76</v>
      </c>
      <c r="B5098" s="14">
        <v>39387</v>
      </c>
      <c r="C5098" s="2">
        <v>-9.5890410959E-2</v>
      </c>
      <c r="D5098" s="2">
        <v>2.7057522000000001E-3</v>
      </c>
      <c r="E5098" s="2">
        <v>1</v>
      </c>
      <c r="F5098" s="2">
        <v>1.9694650098800399E-2</v>
      </c>
      <c r="G5098" s="2">
        <v>2</v>
      </c>
    </row>
    <row r="5099" spans="1:7" x14ac:dyDescent="0.2">
      <c r="A5099" s="2" t="s">
        <v>76</v>
      </c>
      <c r="B5099" s="14">
        <v>39417</v>
      </c>
      <c r="C5099" s="2">
        <v>-0.12121212121</v>
      </c>
      <c r="D5099" s="2">
        <v>0</v>
      </c>
      <c r="E5099" s="2">
        <v>1</v>
      </c>
      <c r="F5099" s="2">
        <v>1.8220363689299201E-2</v>
      </c>
      <c r="G5099" s="2">
        <v>2</v>
      </c>
    </row>
    <row r="5100" spans="1:7" x14ac:dyDescent="0.2">
      <c r="A5100" s="2" t="s">
        <v>76</v>
      </c>
      <c r="B5100" s="14">
        <v>39448</v>
      </c>
      <c r="C5100" s="2">
        <v>-0.22413793103999999</v>
      </c>
      <c r="D5100" s="2">
        <v>3.9890189999999999E-3</v>
      </c>
      <c r="E5100" s="2">
        <v>1</v>
      </c>
      <c r="F5100" s="2">
        <v>1.7742861851336101E-2</v>
      </c>
      <c r="G5100" s="2">
        <v>2</v>
      </c>
    </row>
    <row r="5101" spans="1:7" x14ac:dyDescent="0.2">
      <c r="A5101" s="2" t="s">
        <v>76</v>
      </c>
      <c r="B5101" s="14">
        <v>39479</v>
      </c>
      <c r="C5101" s="2">
        <v>4.4444444444000003E-2</v>
      </c>
      <c r="D5101" s="2">
        <v>0</v>
      </c>
      <c r="E5101" s="2">
        <v>1</v>
      </c>
      <c r="F5101" s="2">
        <v>6.3004948120685203E-3</v>
      </c>
      <c r="G5101" s="2">
        <v>2</v>
      </c>
    </row>
    <row r="5102" spans="1:7" x14ac:dyDescent="0.2">
      <c r="A5102" s="2" t="s">
        <v>76</v>
      </c>
      <c r="B5102" s="14">
        <v>39508</v>
      </c>
      <c r="C5102" s="2">
        <v>-0.12765957446000001</v>
      </c>
      <c r="D5102" s="2">
        <v>0</v>
      </c>
      <c r="E5102" s="2">
        <v>1</v>
      </c>
      <c r="F5102" s="2">
        <v>1.1737555211964699E-2</v>
      </c>
      <c r="G5102" s="2">
        <v>2</v>
      </c>
    </row>
    <row r="5103" spans="1:7" x14ac:dyDescent="0.2">
      <c r="A5103" s="2" t="s">
        <v>76</v>
      </c>
      <c r="B5103" s="14">
        <v>39539</v>
      </c>
      <c r="C5103" s="2">
        <v>0.10975609756</v>
      </c>
      <c r="D5103" s="2">
        <v>0</v>
      </c>
      <c r="E5103" s="2">
        <v>1</v>
      </c>
      <c r="F5103" s="2">
        <v>4.9560738539502101E-3</v>
      </c>
      <c r="G5103" s="2">
        <v>2</v>
      </c>
    </row>
    <row r="5104" spans="1:7" x14ac:dyDescent="0.2">
      <c r="A5104" s="2" t="s">
        <v>76</v>
      </c>
      <c r="B5104" s="14">
        <v>39569</v>
      </c>
      <c r="C5104" s="2">
        <v>-9.5215645244000002E-2</v>
      </c>
      <c r="D5104" s="2">
        <v>0</v>
      </c>
      <c r="E5104" s="2">
        <v>1</v>
      </c>
      <c r="F5104" s="2">
        <v>6.3620397564711903E-3</v>
      </c>
      <c r="G5104" s="2">
        <v>2</v>
      </c>
    </row>
    <row r="5105" spans="1:7" x14ac:dyDescent="0.2">
      <c r="A5105" s="2" t="s">
        <v>76</v>
      </c>
      <c r="B5105" s="14">
        <v>39600</v>
      </c>
      <c r="C5105" s="2">
        <v>-0.25925925925999999</v>
      </c>
      <c r="D5105" s="2">
        <v>0</v>
      </c>
      <c r="E5105" s="2">
        <v>1</v>
      </c>
      <c r="F5105" s="2">
        <v>6.67485119725278E-3</v>
      </c>
      <c r="G5105" s="2">
        <v>2</v>
      </c>
    </row>
    <row r="5106" spans="1:7" x14ac:dyDescent="0.2">
      <c r="A5106" s="2" t="s">
        <v>76</v>
      </c>
      <c r="B5106" s="14">
        <v>39630</v>
      </c>
      <c r="C5106" s="2">
        <v>-1.6666666665999998E-2</v>
      </c>
      <c r="D5106" s="2">
        <v>0</v>
      </c>
      <c r="E5106" s="2">
        <v>1</v>
      </c>
      <c r="F5106" s="2">
        <v>3.65560445872946E-3</v>
      </c>
      <c r="G5106" s="2">
        <v>2</v>
      </c>
    </row>
    <row r="5107" spans="1:7" x14ac:dyDescent="0.2">
      <c r="A5107" s="2" t="s">
        <v>76</v>
      </c>
      <c r="B5107" s="14">
        <v>39661</v>
      </c>
      <c r="C5107" s="2">
        <v>-0.1186779661</v>
      </c>
      <c r="D5107" s="2">
        <v>0</v>
      </c>
      <c r="E5107" s="2">
        <v>1</v>
      </c>
      <c r="F5107" s="2">
        <v>5.8259336322675102E-3</v>
      </c>
      <c r="G5107" s="2">
        <v>2</v>
      </c>
    </row>
    <row r="5108" spans="1:7" x14ac:dyDescent="0.2">
      <c r="A5108" s="2" t="s">
        <v>76</v>
      </c>
      <c r="B5108" s="14">
        <v>39692</v>
      </c>
      <c r="C5108" s="2">
        <v>-0.27304896342000001</v>
      </c>
      <c r="D5108" s="2">
        <v>0</v>
      </c>
      <c r="E5108" s="2">
        <v>1</v>
      </c>
      <c r="F5108" s="2">
        <v>1.37193100262599E-3</v>
      </c>
      <c r="G5108" s="2">
        <v>2</v>
      </c>
    </row>
    <row r="5109" spans="1:7" x14ac:dyDescent="0.2">
      <c r="A5109" s="2" t="s">
        <v>76</v>
      </c>
      <c r="B5109" s="14">
        <v>39722</v>
      </c>
      <c r="C5109" s="2">
        <v>-0.28571428571000002</v>
      </c>
      <c r="D5109" s="2">
        <v>0</v>
      </c>
      <c r="E5109" s="2">
        <v>1</v>
      </c>
      <c r="F5109" s="2">
        <v>-2.08497422376717E-3</v>
      </c>
      <c r="G5109" s="2">
        <v>2</v>
      </c>
    </row>
    <row r="5110" spans="1:7" x14ac:dyDescent="0.2">
      <c r="A5110" s="2" t="s">
        <v>76</v>
      </c>
      <c r="B5110" s="14">
        <v>39753</v>
      </c>
      <c r="C5110" s="2">
        <v>0</v>
      </c>
      <c r="D5110" s="2">
        <v>0</v>
      </c>
      <c r="E5110" s="2">
        <v>1</v>
      </c>
      <c r="F5110" s="2">
        <v>-1.2708236022701601E-2</v>
      </c>
      <c r="G5110" s="2">
        <v>2</v>
      </c>
    </row>
    <row r="5111" spans="1:7" x14ac:dyDescent="0.2">
      <c r="A5111" s="2" t="s">
        <v>76</v>
      </c>
      <c r="B5111" s="14">
        <v>39783</v>
      </c>
      <c r="C5111" s="2">
        <v>-0.11111111110999999</v>
      </c>
      <c r="D5111" s="2">
        <v>0</v>
      </c>
      <c r="E5111" s="2">
        <v>1</v>
      </c>
      <c r="F5111" s="2">
        <v>-9.8678697053239204E-3</v>
      </c>
      <c r="G5111" s="2">
        <v>2</v>
      </c>
    </row>
    <row r="5112" spans="1:7" x14ac:dyDescent="0.2">
      <c r="A5112" s="2" t="s">
        <v>77</v>
      </c>
      <c r="B5112" s="14">
        <v>37591</v>
      </c>
      <c r="D5112" s="2">
        <v>0</v>
      </c>
      <c r="E5112" s="2">
        <v>1</v>
      </c>
      <c r="G5112" s="2">
        <v>2</v>
      </c>
    </row>
    <row r="5113" spans="1:7" x14ac:dyDescent="0.2">
      <c r="A5113" s="2" t="s">
        <v>77</v>
      </c>
      <c r="B5113" s="14">
        <v>37622</v>
      </c>
      <c r="C5113" s="2">
        <v>-5.5333333334E-2</v>
      </c>
      <c r="D5113" s="2">
        <v>0</v>
      </c>
      <c r="E5113" s="2">
        <v>1</v>
      </c>
      <c r="G5113" s="2">
        <v>2</v>
      </c>
    </row>
    <row r="5114" spans="1:7" x14ac:dyDescent="0.2">
      <c r="A5114" s="2" t="s">
        <v>77</v>
      </c>
      <c r="B5114" s="14">
        <v>37653</v>
      </c>
      <c r="C5114" s="2">
        <v>9.4095506937999995E-4</v>
      </c>
      <c r="D5114" s="2">
        <v>0</v>
      </c>
      <c r="E5114" s="2">
        <v>1</v>
      </c>
      <c r="G5114" s="2">
        <v>2</v>
      </c>
    </row>
    <row r="5115" spans="1:7" x14ac:dyDescent="0.2">
      <c r="A5115" s="2" t="s">
        <v>77</v>
      </c>
      <c r="B5115" s="14">
        <v>37681</v>
      </c>
      <c r="C5115" s="2">
        <v>1.1750881294E-3</v>
      </c>
      <c r="D5115" s="2">
        <v>0</v>
      </c>
      <c r="E5115" s="2">
        <v>1</v>
      </c>
      <c r="G5115" s="2">
        <v>2</v>
      </c>
    </row>
    <row r="5116" spans="1:7" x14ac:dyDescent="0.2">
      <c r="A5116" s="2" t="s">
        <v>77</v>
      </c>
      <c r="B5116" s="14">
        <v>37712</v>
      </c>
      <c r="C5116" s="2">
        <v>7.9812206573000005E-2</v>
      </c>
      <c r="D5116" s="2">
        <v>0</v>
      </c>
      <c r="E5116" s="2">
        <v>1</v>
      </c>
      <c r="G5116" s="2">
        <v>2</v>
      </c>
    </row>
    <row r="5117" spans="1:7" x14ac:dyDescent="0.2">
      <c r="A5117" s="2" t="s">
        <v>77</v>
      </c>
      <c r="B5117" s="14">
        <v>37742</v>
      </c>
      <c r="C5117" s="2">
        <v>0.20652173912999999</v>
      </c>
      <c r="D5117" s="2">
        <v>0</v>
      </c>
      <c r="E5117" s="2">
        <v>1</v>
      </c>
      <c r="G5117" s="2">
        <v>2</v>
      </c>
    </row>
    <row r="5118" spans="1:7" x14ac:dyDescent="0.2">
      <c r="A5118" s="2" t="s">
        <v>77</v>
      </c>
      <c r="B5118" s="14">
        <v>37773</v>
      </c>
      <c r="C5118" s="2">
        <v>0.10056925996</v>
      </c>
      <c r="D5118" s="2">
        <v>0</v>
      </c>
      <c r="E5118" s="2">
        <v>1</v>
      </c>
      <c r="G5118" s="2">
        <v>2</v>
      </c>
    </row>
    <row r="5119" spans="1:7" x14ac:dyDescent="0.2">
      <c r="A5119" s="2" t="s">
        <v>77</v>
      </c>
      <c r="B5119" s="14">
        <v>37803</v>
      </c>
      <c r="C5119" s="2">
        <v>0</v>
      </c>
      <c r="D5119" s="2">
        <v>0</v>
      </c>
      <c r="E5119" s="2">
        <v>1</v>
      </c>
      <c r="G5119" s="2">
        <v>2</v>
      </c>
    </row>
    <row r="5120" spans="1:7" x14ac:dyDescent="0.2">
      <c r="A5120" s="2" t="s">
        <v>77</v>
      </c>
      <c r="B5120" s="14">
        <v>37834</v>
      </c>
      <c r="C5120" s="2">
        <v>6.8965517242999999E-2</v>
      </c>
      <c r="D5120" s="2">
        <v>0</v>
      </c>
      <c r="E5120" s="2">
        <v>1</v>
      </c>
      <c r="G5120" s="2">
        <v>2</v>
      </c>
    </row>
    <row r="5121" spans="1:7" x14ac:dyDescent="0.2">
      <c r="A5121" s="2" t="s">
        <v>77</v>
      </c>
      <c r="B5121" s="14">
        <v>37865</v>
      </c>
      <c r="C5121" s="2">
        <v>0.29032258065</v>
      </c>
      <c r="D5121" s="2">
        <v>0</v>
      </c>
      <c r="E5121" s="2">
        <v>1</v>
      </c>
      <c r="G5121" s="2">
        <v>2</v>
      </c>
    </row>
    <row r="5122" spans="1:7" x14ac:dyDescent="0.2">
      <c r="A5122" s="2" t="s">
        <v>77</v>
      </c>
      <c r="B5122" s="14">
        <v>37895</v>
      </c>
      <c r="C5122" s="2">
        <v>6.3471502590000006E-2</v>
      </c>
      <c r="D5122" s="2">
        <v>0</v>
      </c>
      <c r="E5122" s="2">
        <v>1</v>
      </c>
      <c r="G5122" s="2">
        <v>2</v>
      </c>
    </row>
    <row r="5123" spans="1:7" x14ac:dyDescent="0.2">
      <c r="A5123" s="2" t="s">
        <v>77</v>
      </c>
      <c r="B5123" s="14">
        <v>37926</v>
      </c>
      <c r="C5123" s="2">
        <v>1.0962241171E-2</v>
      </c>
      <c r="D5123" s="2">
        <v>0</v>
      </c>
      <c r="E5123" s="2">
        <v>1</v>
      </c>
      <c r="G5123" s="2">
        <v>2</v>
      </c>
    </row>
    <row r="5124" spans="1:7" x14ac:dyDescent="0.2">
      <c r="A5124" s="2" t="s">
        <v>77</v>
      </c>
      <c r="B5124" s="14">
        <v>37956</v>
      </c>
      <c r="C5124" s="2">
        <v>-6.0240963866999998E-3</v>
      </c>
      <c r="D5124" s="2">
        <v>0</v>
      </c>
      <c r="E5124" s="2">
        <v>1</v>
      </c>
      <c r="G5124" s="2">
        <v>2</v>
      </c>
    </row>
    <row r="5125" spans="1:7" x14ac:dyDescent="0.2">
      <c r="A5125" s="2" t="s">
        <v>77</v>
      </c>
      <c r="B5125" s="14">
        <v>37987</v>
      </c>
      <c r="C5125" s="2">
        <v>7.8914919851999998E-2</v>
      </c>
      <c r="E5125" s="2">
        <v>1</v>
      </c>
      <c r="G5125" s="2">
        <v>2</v>
      </c>
    </row>
    <row r="5126" spans="1:7" x14ac:dyDescent="0.2">
      <c r="A5126" s="2" t="s">
        <v>77</v>
      </c>
      <c r="B5126" s="14">
        <v>38018</v>
      </c>
      <c r="C5126" s="2">
        <v>0</v>
      </c>
      <c r="E5126" s="2">
        <v>1</v>
      </c>
      <c r="G5126" s="2">
        <v>2</v>
      </c>
    </row>
    <row r="5127" spans="1:7" x14ac:dyDescent="0.2">
      <c r="A5127" s="2" t="s">
        <v>77</v>
      </c>
      <c r="B5127" s="14">
        <v>38047</v>
      </c>
      <c r="C5127" s="2">
        <v>0</v>
      </c>
      <c r="D5127" s="2">
        <v>0</v>
      </c>
      <c r="E5127" s="2">
        <v>1</v>
      </c>
      <c r="G5127" s="2">
        <v>2</v>
      </c>
    </row>
    <row r="5128" spans="1:7" x14ac:dyDescent="0.2">
      <c r="A5128" s="2" t="s">
        <v>77</v>
      </c>
      <c r="B5128" s="14">
        <v>38078</v>
      </c>
      <c r="C5128" s="2">
        <v>0</v>
      </c>
      <c r="D5128" s="2">
        <v>0</v>
      </c>
      <c r="E5128" s="2">
        <v>1</v>
      </c>
      <c r="G5128" s="2">
        <v>2</v>
      </c>
    </row>
    <row r="5129" spans="1:7" x14ac:dyDescent="0.2">
      <c r="A5129" s="2" t="s">
        <v>77</v>
      </c>
      <c r="B5129" s="14">
        <v>38108</v>
      </c>
      <c r="C5129" s="2">
        <v>1.9184652278000001E-2</v>
      </c>
      <c r="D5129" s="2">
        <v>0</v>
      </c>
      <c r="E5129" s="2">
        <v>1</v>
      </c>
      <c r="G5129" s="2">
        <v>2</v>
      </c>
    </row>
    <row r="5130" spans="1:7" x14ac:dyDescent="0.2">
      <c r="A5130" s="2" t="s">
        <v>77</v>
      </c>
      <c r="B5130" s="14">
        <v>38139</v>
      </c>
      <c r="D5130" s="2">
        <v>0</v>
      </c>
      <c r="E5130" s="2">
        <v>1</v>
      </c>
      <c r="G5130" s="2">
        <v>2</v>
      </c>
    </row>
    <row r="5131" spans="1:7" x14ac:dyDescent="0.2">
      <c r="A5131" s="2" t="s">
        <v>77</v>
      </c>
      <c r="B5131" s="14">
        <v>38169</v>
      </c>
      <c r="C5131" s="2">
        <v>2.3529411765000001E-2</v>
      </c>
      <c r="D5131" s="2">
        <v>0</v>
      </c>
      <c r="E5131" s="2">
        <v>1</v>
      </c>
      <c r="G5131" s="2">
        <v>2</v>
      </c>
    </row>
    <row r="5132" spans="1:7" x14ac:dyDescent="0.2">
      <c r="A5132" s="2" t="s">
        <v>77</v>
      </c>
      <c r="B5132" s="14">
        <v>38200</v>
      </c>
      <c r="D5132" s="2">
        <v>0</v>
      </c>
      <c r="E5132" s="2">
        <v>1</v>
      </c>
      <c r="F5132" s="2">
        <v>2.0237219937332199E-2</v>
      </c>
      <c r="G5132" s="2">
        <v>2</v>
      </c>
    </row>
    <row r="5133" spans="1:7" x14ac:dyDescent="0.2">
      <c r="A5133" s="2" t="s">
        <v>77</v>
      </c>
      <c r="B5133" s="14">
        <v>38231</v>
      </c>
      <c r="C5133" s="2">
        <v>9.8230628431E-2</v>
      </c>
      <c r="D5133" s="2">
        <v>0</v>
      </c>
      <c r="E5133" s="2">
        <v>1</v>
      </c>
      <c r="F5133" s="2">
        <v>2.0319179037587499E-2</v>
      </c>
      <c r="G5133" s="2">
        <v>2</v>
      </c>
    </row>
    <row r="5134" spans="1:7" x14ac:dyDescent="0.2">
      <c r="A5134" s="2" t="s">
        <v>77</v>
      </c>
      <c r="B5134" s="14">
        <v>38261</v>
      </c>
      <c r="C5134" s="2">
        <v>0</v>
      </c>
      <c r="D5134" s="2">
        <v>0</v>
      </c>
      <c r="E5134" s="2">
        <v>1</v>
      </c>
      <c r="F5134" s="2">
        <v>2.2100817260949399E-2</v>
      </c>
      <c r="G5134" s="2">
        <v>2</v>
      </c>
    </row>
    <row r="5135" spans="1:7" x14ac:dyDescent="0.2">
      <c r="A5135" s="2" t="s">
        <v>77</v>
      </c>
      <c r="B5135" s="14">
        <v>38292</v>
      </c>
      <c r="C5135" s="2">
        <v>3.3444444443000002E-2</v>
      </c>
      <c r="D5135" s="2">
        <v>0</v>
      </c>
      <c r="E5135" s="2">
        <v>1</v>
      </c>
      <c r="F5135" s="2">
        <v>2.2079060970319898E-2</v>
      </c>
      <c r="G5135" s="2">
        <v>2</v>
      </c>
    </row>
    <row r="5136" spans="1:7" x14ac:dyDescent="0.2">
      <c r="A5136" s="2" t="s">
        <v>77</v>
      </c>
      <c r="B5136" s="14">
        <v>38322</v>
      </c>
      <c r="C5136" s="2">
        <v>3.5551605378999998E-2</v>
      </c>
      <c r="D5136" s="2">
        <v>0</v>
      </c>
      <c r="E5136" s="2">
        <v>1</v>
      </c>
      <c r="F5136" s="2">
        <v>2.2414388820631001E-2</v>
      </c>
      <c r="G5136" s="2">
        <v>2</v>
      </c>
    </row>
    <row r="5137" spans="1:7" x14ac:dyDescent="0.2">
      <c r="A5137" s="2" t="s">
        <v>77</v>
      </c>
      <c r="B5137" s="14">
        <v>38353</v>
      </c>
      <c r="D5137" s="2">
        <v>0</v>
      </c>
      <c r="E5137" s="2">
        <v>1</v>
      </c>
      <c r="F5137" s="2">
        <v>2.3407237164168201E-2</v>
      </c>
      <c r="G5137" s="2">
        <v>2</v>
      </c>
    </row>
    <row r="5138" spans="1:7" x14ac:dyDescent="0.2">
      <c r="A5138" s="2" t="s">
        <v>77</v>
      </c>
      <c r="B5138" s="14">
        <v>38384</v>
      </c>
      <c r="D5138" s="2">
        <v>0</v>
      </c>
      <c r="E5138" s="2">
        <v>1</v>
      </c>
      <c r="G5138" s="2">
        <v>2</v>
      </c>
    </row>
    <row r="5139" spans="1:7" x14ac:dyDescent="0.2">
      <c r="A5139" s="2" t="s">
        <v>77</v>
      </c>
      <c r="B5139" s="14">
        <v>38412</v>
      </c>
      <c r="C5139" s="2">
        <v>3.0039695312E-2</v>
      </c>
      <c r="D5139" s="2">
        <v>0</v>
      </c>
      <c r="E5139" s="2">
        <v>1</v>
      </c>
      <c r="G5139" s="2">
        <v>2</v>
      </c>
    </row>
    <row r="5140" spans="1:7" x14ac:dyDescent="0.2">
      <c r="A5140" s="2" t="s">
        <v>77</v>
      </c>
      <c r="B5140" s="14">
        <v>38443</v>
      </c>
      <c r="C5140" s="2">
        <v>0</v>
      </c>
      <c r="D5140" s="2">
        <v>0</v>
      </c>
      <c r="E5140" s="2">
        <v>1</v>
      </c>
      <c r="F5140" s="2">
        <v>2.0617653338226901E-2</v>
      </c>
      <c r="G5140" s="2">
        <v>2</v>
      </c>
    </row>
    <row r="5141" spans="1:7" x14ac:dyDescent="0.2">
      <c r="A5141" s="2" t="s">
        <v>77</v>
      </c>
      <c r="B5141" s="14">
        <v>38473</v>
      </c>
      <c r="C5141" s="2">
        <v>7.5153209331000004E-2</v>
      </c>
      <c r="D5141" s="2">
        <v>0</v>
      </c>
      <c r="E5141" s="2">
        <v>1</v>
      </c>
      <c r="F5141" s="2">
        <v>2.0617653338226901E-2</v>
      </c>
      <c r="G5141" s="2">
        <v>2</v>
      </c>
    </row>
    <row r="5142" spans="1:7" x14ac:dyDescent="0.2">
      <c r="A5142" s="2" t="s">
        <v>77</v>
      </c>
      <c r="B5142" s="14">
        <v>38504</v>
      </c>
      <c r="C5142" s="2">
        <v>6.0000000012000003E-3</v>
      </c>
      <c r="D5142" s="2">
        <v>0</v>
      </c>
      <c r="E5142" s="2">
        <v>1</v>
      </c>
      <c r="F5142" s="2">
        <v>2.1793012664580402E-2</v>
      </c>
      <c r="G5142" s="2">
        <v>2</v>
      </c>
    </row>
    <row r="5143" spans="1:7" x14ac:dyDescent="0.2">
      <c r="A5143" s="2" t="s">
        <v>77</v>
      </c>
      <c r="B5143" s="14">
        <v>38534</v>
      </c>
      <c r="C5143" s="2">
        <v>6.3394683026000001E-2</v>
      </c>
      <c r="D5143" s="2">
        <v>0</v>
      </c>
      <c r="E5143" s="2">
        <v>1</v>
      </c>
      <c r="F5143" s="2">
        <v>2.0978947826723601E-2</v>
      </c>
      <c r="G5143" s="2">
        <v>2</v>
      </c>
    </row>
    <row r="5144" spans="1:7" x14ac:dyDescent="0.2">
      <c r="A5144" s="2" t="s">
        <v>77</v>
      </c>
      <c r="B5144" s="14">
        <v>38565</v>
      </c>
      <c r="C5144" s="2">
        <v>0</v>
      </c>
      <c r="D5144" s="2">
        <v>0</v>
      </c>
      <c r="E5144" s="2">
        <v>1</v>
      </c>
      <c r="F5144" s="2">
        <v>1.8763793635862398E-2</v>
      </c>
      <c r="G5144" s="2">
        <v>2</v>
      </c>
    </row>
    <row r="5145" spans="1:7" x14ac:dyDescent="0.2">
      <c r="A5145" s="2" t="s">
        <v>77</v>
      </c>
      <c r="B5145" s="14">
        <v>38596</v>
      </c>
      <c r="C5145" s="2">
        <v>7.5181627048999999E-2</v>
      </c>
      <c r="D5145" s="2">
        <v>0</v>
      </c>
      <c r="E5145" s="2">
        <v>1</v>
      </c>
      <c r="F5145" s="2">
        <v>1.8766523871953301E-2</v>
      </c>
      <c r="G5145" s="2">
        <v>2</v>
      </c>
    </row>
    <row r="5146" spans="1:7" x14ac:dyDescent="0.2">
      <c r="A5146" s="2" t="s">
        <v>77</v>
      </c>
      <c r="B5146" s="14">
        <v>38626</v>
      </c>
      <c r="D5146" s="2">
        <v>0</v>
      </c>
      <c r="E5146" s="2">
        <v>1</v>
      </c>
      <c r="F5146" s="2">
        <v>1.9864544028374599E-2</v>
      </c>
      <c r="G5146" s="2">
        <v>2</v>
      </c>
    </row>
    <row r="5147" spans="1:7" x14ac:dyDescent="0.2">
      <c r="A5147" s="2" t="s">
        <v>77</v>
      </c>
      <c r="B5147" s="14">
        <v>38657</v>
      </c>
      <c r="C5147" s="2">
        <v>0</v>
      </c>
      <c r="D5147" s="2">
        <v>0</v>
      </c>
      <c r="E5147" s="2">
        <v>1</v>
      </c>
      <c r="F5147" s="2">
        <v>1.9857367181260899E-2</v>
      </c>
      <c r="G5147" s="2">
        <v>2</v>
      </c>
    </row>
    <row r="5148" spans="1:7" x14ac:dyDescent="0.2">
      <c r="A5148" s="2" t="s">
        <v>77</v>
      </c>
      <c r="B5148" s="14">
        <v>38687</v>
      </c>
      <c r="C5148" s="2">
        <v>0</v>
      </c>
      <c r="D5148" s="2">
        <v>0</v>
      </c>
      <c r="E5148" s="2">
        <v>1</v>
      </c>
      <c r="F5148" s="2">
        <v>1.7728099889726401E-2</v>
      </c>
      <c r="G5148" s="2">
        <v>2</v>
      </c>
    </row>
    <row r="5149" spans="1:7" x14ac:dyDescent="0.2">
      <c r="A5149" s="2" t="s">
        <v>77</v>
      </c>
      <c r="B5149" s="14">
        <v>38718</v>
      </c>
      <c r="C5149" s="2">
        <v>6.2788550324000006E-2</v>
      </c>
      <c r="D5149" s="2">
        <v>0</v>
      </c>
      <c r="E5149" s="2">
        <v>1</v>
      </c>
      <c r="F5149" s="2">
        <v>1.7620034671693902E-2</v>
      </c>
      <c r="G5149" s="2">
        <v>2</v>
      </c>
    </row>
    <row r="5150" spans="1:7" x14ac:dyDescent="0.2">
      <c r="A5150" s="2" t="s">
        <v>77</v>
      </c>
      <c r="B5150" s="14">
        <v>38749</v>
      </c>
      <c r="C5150" s="2">
        <v>0</v>
      </c>
      <c r="D5150" s="2">
        <v>0</v>
      </c>
      <c r="E5150" s="2">
        <v>1</v>
      </c>
      <c r="F5150" s="2">
        <v>1.7462119693901101E-2</v>
      </c>
      <c r="G5150" s="2">
        <v>2</v>
      </c>
    </row>
    <row r="5151" spans="1:7" x14ac:dyDescent="0.2">
      <c r="A5151" s="2" t="s">
        <v>77</v>
      </c>
      <c r="B5151" s="14">
        <v>38777</v>
      </c>
      <c r="C5151" s="2">
        <v>-2.6933101651000001E-2</v>
      </c>
      <c r="D5151" s="2">
        <v>0</v>
      </c>
      <c r="E5151" s="2">
        <v>1</v>
      </c>
      <c r="F5151" s="2">
        <v>1.74546213451604E-2</v>
      </c>
      <c r="G5151" s="2">
        <v>2</v>
      </c>
    </row>
    <row r="5152" spans="1:7" x14ac:dyDescent="0.2">
      <c r="A5152" s="2" t="s">
        <v>77</v>
      </c>
      <c r="B5152" s="14">
        <v>38808</v>
      </c>
      <c r="C5152" s="2">
        <v>9.5535714281000002E-3</v>
      </c>
      <c r="D5152" s="2">
        <v>0</v>
      </c>
      <c r="E5152" s="2">
        <v>1</v>
      </c>
      <c r="F5152" s="2">
        <v>1.4639375672550701E-2</v>
      </c>
      <c r="G5152" s="2">
        <v>2</v>
      </c>
    </row>
    <row r="5153" spans="1:7" x14ac:dyDescent="0.2">
      <c r="A5153" s="2" t="s">
        <v>77</v>
      </c>
      <c r="B5153" s="14">
        <v>38838</v>
      </c>
      <c r="C5153" s="2">
        <v>9.9753582186E-2</v>
      </c>
      <c r="D5153" s="2">
        <v>0</v>
      </c>
      <c r="E5153" s="2">
        <v>1</v>
      </c>
      <c r="F5153" s="2">
        <v>1.48846835695376E-2</v>
      </c>
      <c r="G5153" s="2">
        <v>2</v>
      </c>
    </row>
    <row r="5154" spans="1:7" x14ac:dyDescent="0.2">
      <c r="A5154" s="2" t="s">
        <v>77</v>
      </c>
      <c r="B5154" s="14">
        <v>38869</v>
      </c>
      <c r="C5154" s="2">
        <v>0</v>
      </c>
      <c r="D5154" s="2">
        <v>0</v>
      </c>
      <c r="E5154" s="2">
        <v>1</v>
      </c>
      <c r="F5154" s="2">
        <v>1.76953934019877E-2</v>
      </c>
      <c r="G5154" s="2">
        <v>2</v>
      </c>
    </row>
    <row r="5155" spans="1:7" x14ac:dyDescent="0.2">
      <c r="A5155" s="2" t="s">
        <v>77</v>
      </c>
      <c r="B5155" s="14">
        <v>38899</v>
      </c>
      <c r="C5155" s="2">
        <v>0</v>
      </c>
      <c r="D5155" s="2">
        <v>0</v>
      </c>
      <c r="E5155" s="2">
        <v>1</v>
      </c>
      <c r="F5155" s="2">
        <v>1.7701697661147799E-2</v>
      </c>
      <c r="G5155" s="2">
        <v>2</v>
      </c>
    </row>
    <row r="5156" spans="1:7" x14ac:dyDescent="0.2">
      <c r="A5156" s="2" t="s">
        <v>77</v>
      </c>
      <c r="B5156" s="14">
        <v>38930</v>
      </c>
      <c r="C5156" s="2">
        <v>1.8596787826000001E-2</v>
      </c>
      <c r="D5156" s="2">
        <v>0</v>
      </c>
      <c r="E5156" s="2">
        <v>1</v>
      </c>
      <c r="F5156" s="2">
        <v>1.28240118784396E-2</v>
      </c>
      <c r="G5156" s="2">
        <v>2</v>
      </c>
    </row>
    <row r="5157" spans="1:7" x14ac:dyDescent="0.2">
      <c r="A5157" s="2" t="s">
        <v>77</v>
      </c>
      <c r="B5157" s="14">
        <v>38961</v>
      </c>
      <c r="D5157" s="2">
        <v>0</v>
      </c>
      <c r="E5157" s="2">
        <v>1</v>
      </c>
      <c r="F5157" s="2">
        <v>1.3309195063975101E-2</v>
      </c>
      <c r="G5157" s="2">
        <v>2</v>
      </c>
    </row>
    <row r="5158" spans="1:7" x14ac:dyDescent="0.2">
      <c r="A5158" s="2" t="s">
        <v>77</v>
      </c>
      <c r="B5158" s="14">
        <v>38991</v>
      </c>
      <c r="D5158" s="2">
        <v>0</v>
      </c>
      <c r="E5158" s="2">
        <v>1</v>
      </c>
      <c r="G5158" s="2">
        <v>2</v>
      </c>
    </row>
    <row r="5159" spans="1:7" x14ac:dyDescent="0.2">
      <c r="A5159" s="2" t="s">
        <v>77</v>
      </c>
      <c r="B5159" s="14">
        <v>39022</v>
      </c>
      <c r="C5159" s="2">
        <v>2.1097046413999999E-2</v>
      </c>
      <c r="D5159" s="2">
        <v>0</v>
      </c>
      <c r="E5159" s="2">
        <v>1</v>
      </c>
      <c r="G5159" s="2">
        <v>2</v>
      </c>
    </row>
    <row r="5160" spans="1:7" x14ac:dyDescent="0.2">
      <c r="A5160" s="2" t="s">
        <v>77</v>
      </c>
      <c r="B5160" s="14">
        <v>39052</v>
      </c>
      <c r="C5160" s="2">
        <v>2.3475764228E-2</v>
      </c>
      <c r="D5160" s="2">
        <v>0</v>
      </c>
      <c r="E5160" s="2">
        <v>1</v>
      </c>
      <c r="F5160" s="2">
        <v>1.14778897949743E-2</v>
      </c>
      <c r="G5160" s="2">
        <v>2</v>
      </c>
    </row>
    <row r="5161" spans="1:7" x14ac:dyDescent="0.2">
      <c r="A5161" s="2" t="s">
        <v>77</v>
      </c>
      <c r="B5161" s="14">
        <v>39083</v>
      </c>
      <c r="C5161" s="2">
        <v>1.8976897691E-2</v>
      </c>
      <c r="D5161" s="2">
        <v>0</v>
      </c>
      <c r="E5161" s="2">
        <v>1</v>
      </c>
      <c r="F5161" s="2">
        <v>1.2141716117884701E-2</v>
      </c>
      <c r="G5161" s="2">
        <v>2</v>
      </c>
    </row>
    <row r="5162" spans="1:7" x14ac:dyDescent="0.2">
      <c r="A5162" s="2" t="s">
        <v>77</v>
      </c>
      <c r="B5162" s="14">
        <v>39114</v>
      </c>
      <c r="C5162" s="2">
        <v>0</v>
      </c>
      <c r="D5162" s="2">
        <v>0</v>
      </c>
      <c r="E5162" s="2">
        <v>1</v>
      </c>
      <c r="F5162" s="2">
        <v>1.25884095747442E-2</v>
      </c>
      <c r="G5162" s="2">
        <v>2</v>
      </c>
    </row>
    <row r="5163" spans="1:7" x14ac:dyDescent="0.2">
      <c r="A5163" s="2" t="s">
        <v>77</v>
      </c>
      <c r="B5163" s="14">
        <v>39142</v>
      </c>
      <c r="D5163" s="2">
        <v>0</v>
      </c>
      <c r="E5163" s="2">
        <v>1</v>
      </c>
      <c r="F5163" s="2">
        <v>1.20511339520353E-2</v>
      </c>
      <c r="G5163" s="2">
        <v>2</v>
      </c>
    </row>
    <row r="5164" spans="1:7" x14ac:dyDescent="0.2">
      <c r="A5164" s="2" t="s">
        <v>77</v>
      </c>
      <c r="B5164" s="14">
        <v>39173</v>
      </c>
      <c r="C5164" s="2">
        <v>0</v>
      </c>
      <c r="D5164" s="2">
        <v>0</v>
      </c>
      <c r="E5164" s="2">
        <v>1</v>
      </c>
      <c r="G5164" s="2">
        <v>2</v>
      </c>
    </row>
    <row r="5165" spans="1:7" x14ac:dyDescent="0.2">
      <c r="A5165" s="2" t="s">
        <v>77</v>
      </c>
      <c r="B5165" s="14">
        <v>39203</v>
      </c>
      <c r="C5165" s="2">
        <v>0</v>
      </c>
      <c r="D5165" s="2">
        <v>0</v>
      </c>
      <c r="E5165" s="2">
        <v>1</v>
      </c>
      <c r="F5165" s="2">
        <v>1.20256603556845E-2</v>
      </c>
      <c r="G5165" s="2">
        <v>2</v>
      </c>
    </row>
    <row r="5166" spans="1:7" x14ac:dyDescent="0.2">
      <c r="A5166" s="2" t="s">
        <v>77</v>
      </c>
      <c r="B5166" s="14">
        <v>39234</v>
      </c>
      <c r="C5166" s="2">
        <v>1.8136850784E-2</v>
      </c>
      <c r="D5166" s="2">
        <v>0</v>
      </c>
      <c r="E5166" s="2">
        <v>1</v>
      </c>
      <c r="F5166" s="2">
        <v>1.1069804711708301E-2</v>
      </c>
      <c r="G5166" s="2">
        <v>2</v>
      </c>
    </row>
    <row r="5167" spans="1:7" x14ac:dyDescent="0.2">
      <c r="A5167" s="2" t="s">
        <v>77</v>
      </c>
      <c r="B5167" s="14">
        <v>39264</v>
      </c>
      <c r="C5167" s="2">
        <v>8.9869281036999999E-3</v>
      </c>
      <c r="D5167" s="2">
        <v>0</v>
      </c>
      <c r="E5167" s="2">
        <v>1</v>
      </c>
      <c r="F5167" s="2">
        <v>1.08908253625785E-2</v>
      </c>
      <c r="G5167" s="2">
        <v>2</v>
      </c>
    </row>
    <row r="5168" spans="1:7" x14ac:dyDescent="0.2">
      <c r="A5168" s="2" t="s">
        <v>77</v>
      </c>
      <c r="B5168" s="14">
        <v>39295</v>
      </c>
      <c r="D5168" s="2">
        <v>0</v>
      </c>
      <c r="E5168" s="2">
        <v>1</v>
      </c>
      <c r="F5168" s="2">
        <v>8.2417026362271804E-3</v>
      </c>
      <c r="G5168" s="2">
        <v>2</v>
      </c>
    </row>
    <row r="5169" spans="1:7" x14ac:dyDescent="0.2">
      <c r="A5169" s="2" t="s">
        <v>77</v>
      </c>
      <c r="B5169" s="14">
        <v>39326</v>
      </c>
      <c r="C5169" s="2">
        <v>1.2145748987999999E-2</v>
      </c>
      <c r="D5169" s="2">
        <v>0</v>
      </c>
      <c r="E5169" s="2">
        <v>1</v>
      </c>
      <c r="G5169" s="2">
        <v>2</v>
      </c>
    </row>
    <row r="5170" spans="1:7" x14ac:dyDescent="0.2">
      <c r="A5170" s="2" t="s">
        <v>77</v>
      </c>
      <c r="B5170" s="14">
        <v>39356</v>
      </c>
      <c r="C5170" s="2">
        <v>7.4013157899999998E-3</v>
      </c>
      <c r="D5170" s="2">
        <v>0</v>
      </c>
      <c r="E5170" s="2">
        <v>1</v>
      </c>
      <c r="F5170" s="2">
        <v>8.6223193477056505E-3</v>
      </c>
      <c r="G5170" s="2">
        <v>2</v>
      </c>
    </row>
    <row r="5171" spans="1:7" x14ac:dyDescent="0.2">
      <c r="A5171" s="2" t="s">
        <v>77</v>
      </c>
      <c r="B5171" s="14">
        <v>39387</v>
      </c>
      <c r="D5171" s="2">
        <v>0</v>
      </c>
      <c r="E5171" s="2">
        <v>1</v>
      </c>
      <c r="F5171" s="2">
        <v>8.8107387180724004E-3</v>
      </c>
      <c r="G5171" s="2">
        <v>2</v>
      </c>
    </row>
    <row r="5172" spans="1:7" x14ac:dyDescent="0.2">
      <c r="A5172" s="2" t="s">
        <v>77</v>
      </c>
      <c r="B5172" s="14">
        <v>39417</v>
      </c>
      <c r="C5172" s="2">
        <v>0</v>
      </c>
      <c r="D5172" s="2">
        <v>0</v>
      </c>
      <c r="E5172" s="2">
        <v>1</v>
      </c>
      <c r="G5172" s="2">
        <v>2</v>
      </c>
    </row>
    <row r="5173" spans="1:7" x14ac:dyDescent="0.2">
      <c r="A5173" s="2" t="s">
        <v>77</v>
      </c>
      <c r="B5173" s="14">
        <v>39448</v>
      </c>
      <c r="D5173" s="2">
        <v>0</v>
      </c>
      <c r="E5173" s="2">
        <v>1</v>
      </c>
      <c r="F5173" s="2">
        <v>8.2624400245311092E-3</v>
      </c>
      <c r="G5173" s="2">
        <v>2</v>
      </c>
    </row>
    <row r="5174" spans="1:7" x14ac:dyDescent="0.2">
      <c r="A5174" s="2" t="s">
        <v>77</v>
      </c>
      <c r="B5174" s="14">
        <v>39479</v>
      </c>
      <c r="C5174" s="2">
        <v>-0.11690496215</v>
      </c>
      <c r="D5174" s="2">
        <v>0</v>
      </c>
      <c r="E5174" s="2">
        <v>1</v>
      </c>
      <c r="G5174" s="2">
        <v>2</v>
      </c>
    </row>
    <row r="5175" spans="1:7" x14ac:dyDescent="0.2">
      <c r="A5175" s="2" t="s">
        <v>77</v>
      </c>
      <c r="B5175" s="14">
        <v>39508</v>
      </c>
      <c r="D5175" s="2">
        <v>0</v>
      </c>
      <c r="E5175" s="2">
        <v>1</v>
      </c>
      <c r="F5175" s="2">
        <v>5.6567203419477397E-3</v>
      </c>
      <c r="G5175" s="2">
        <v>2</v>
      </c>
    </row>
    <row r="5176" spans="1:7" x14ac:dyDescent="0.2">
      <c r="A5176" s="2" t="s">
        <v>77</v>
      </c>
      <c r="B5176" s="14">
        <v>39539</v>
      </c>
      <c r="D5176" s="2">
        <v>0</v>
      </c>
      <c r="E5176" s="2">
        <v>1</v>
      </c>
      <c r="G5176" s="2">
        <v>2</v>
      </c>
    </row>
    <row r="5177" spans="1:7" x14ac:dyDescent="0.2">
      <c r="A5177" s="2" t="s">
        <v>77</v>
      </c>
      <c r="B5177" s="14">
        <v>39569</v>
      </c>
      <c r="D5177" s="2">
        <v>0</v>
      </c>
      <c r="E5177" s="2">
        <v>1</v>
      </c>
      <c r="G5177" s="2">
        <v>2</v>
      </c>
    </row>
    <row r="5178" spans="1:7" x14ac:dyDescent="0.2">
      <c r="A5178" s="2" t="s">
        <v>77</v>
      </c>
      <c r="B5178" s="14">
        <v>39600</v>
      </c>
      <c r="D5178" s="2">
        <v>0</v>
      </c>
      <c r="E5178" s="2">
        <v>1</v>
      </c>
      <c r="G5178" s="2">
        <v>2</v>
      </c>
    </row>
    <row r="5179" spans="1:7" x14ac:dyDescent="0.2">
      <c r="A5179" s="2" t="s">
        <v>77</v>
      </c>
      <c r="B5179" s="14">
        <v>39630</v>
      </c>
      <c r="C5179" s="2">
        <v>-7.0450097848000007E-2</v>
      </c>
      <c r="D5179" s="2">
        <v>0</v>
      </c>
      <c r="E5179" s="2">
        <v>1</v>
      </c>
      <c r="G5179" s="2">
        <v>2</v>
      </c>
    </row>
    <row r="5180" spans="1:7" x14ac:dyDescent="0.2">
      <c r="A5180" s="2" t="s">
        <v>77</v>
      </c>
      <c r="B5180" s="14">
        <v>39661</v>
      </c>
      <c r="C5180" s="2">
        <v>-0.15789473683999999</v>
      </c>
      <c r="D5180" s="2">
        <v>0</v>
      </c>
      <c r="E5180" s="2">
        <v>1</v>
      </c>
      <c r="F5180" s="2">
        <v>2.8341100788042001E-3</v>
      </c>
      <c r="G5180" s="2">
        <v>2</v>
      </c>
    </row>
    <row r="5181" spans="1:7" x14ac:dyDescent="0.2">
      <c r="A5181" s="2" t="s">
        <v>77</v>
      </c>
      <c r="B5181" s="14">
        <v>39692</v>
      </c>
      <c r="C5181" s="2">
        <v>-0.11392405063</v>
      </c>
      <c r="D5181" s="19">
        <v>1.5384911999999998E-5</v>
      </c>
      <c r="E5181" s="2">
        <v>1</v>
      </c>
      <c r="F5181" s="2">
        <v>2.3177901043320999E-3</v>
      </c>
      <c r="G5181" s="2">
        <v>2</v>
      </c>
    </row>
    <row r="5182" spans="1:7" x14ac:dyDescent="0.2">
      <c r="A5182" s="2" t="s">
        <v>77</v>
      </c>
      <c r="B5182" s="14">
        <v>39722</v>
      </c>
      <c r="D5182" s="2">
        <v>0</v>
      </c>
      <c r="E5182" s="2">
        <v>1</v>
      </c>
      <c r="F5182" s="2">
        <v>-7.6398211743126498E-4</v>
      </c>
      <c r="G5182" s="2">
        <v>2</v>
      </c>
    </row>
    <row r="5183" spans="1:7" x14ac:dyDescent="0.2">
      <c r="A5183" s="2" t="s">
        <v>77</v>
      </c>
      <c r="B5183" s="14">
        <v>39753</v>
      </c>
      <c r="D5183" s="2">
        <v>0</v>
      </c>
      <c r="E5183" s="2">
        <v>1</v>
      </c>
      <c r="G5183" s="2">
        <v>2</v>
      </c>
    </row>
    <row r="5184" spans="1:7" x14ac:dyDescent="0.2">
      <c r="A5184" s="2" t="s">
        <v>77</v>
      </c>
      <c r="B5184" s="14">
        <v>39783</v>
      </c>
      <c r="D5184" s="2">
        <v>0</v>
      </c>
      <c r="E5184" s="2">
        <v>1</v>
      </c>
      <c r="G5184" s="2">
        <v>2</v>
      </c>
    </row>
    <row r="5185" spans="1:7" x14ac:dyDescent="0.2">
      <c r="A5185" s="2" t="s">
        <v>78</v>
      </c>
      <c r="B5185" s="14">
        <v>37591</v>
      </c>
      <c r="C5185" s="2">
        <v>1.1764705883E-2</v>
      </c>
      <c r="D5185" s="2">
        <v>0</v>
      </c>
      <c r="E5185" s="2">
        <v>1</v>
      </c>
      <c r="G5185" s="2">
        <v>2</v>
      </c>
    </row>
    <row r="5186" spans="1:7" x14ac:dyDescent="0.2">
      <c r="A5186" s="2" t="s">
        <v>78</v>
      </c>
      <c r="B5186" s="14">
        <v>37622</v>
      </c>
      <c r="C5186" s="2">
        <v>4.6511627907000003E-2</v>
      </c>
      <c r="D5186" s="2">
        <v>0</v>
      </c>
      <c r="E5186" s="2">
        <v>1</v>
      </c>
      <c r="G5186" s="2">
        <v>2</v>
      </c>
    </row>
    <row r="5187" spans="1:7" x14ac:dyDescent="0.2">
      <c r="A5187" s="2" t="s">
        <v>78</v>
      </c>
      <c r="B5187" s="14">
        <v>37653</v>
      </c>
      <c r="C5187" s="2">
        <v>5.5555555554999997E-2</v>
      </c>
      <c r="D5187" s="2">
        <v>0</v>
      </c>
      <c r="E5187" s="2">
        <v>1</v>
      </c>
      <c r="G5187" s="2">
        <v>2</v>
      </c>
    </row>
    <row r="5188" spans="1:7" x14ac:dyDescent="0.2">
      <c r="A5188" s="2" t="s">
        <v>78</v>
      </c>
      <c r="B5188" s="14">
        <v>37681</v>
      </c>
      <c r="C5188" s="2">
        <v>-5.2631578946999999E-3</v>
      </c>
      <c r="D5188" s="2">
        <v>0</v>
      </c>
      <c r="E5188" s="2">
        <v>1</v>
      </c>
      <c r="G5188" s="2">
        <v>2</v>
      </c>
    </row>
    <row r="5189" spans="1:7" x14ac:dyDescent="0.2">
      <c r="A5189" s="2" t="s">
        <v>78</v>
      </c>
      <c r="B5189" s="14">
        <v>37712</v>
      </c>
      <c r="C5189" s="2">
        <v>3.1351647976000001E-3</v>
      </c>
      <c r="D5189" s="2">
        <v>0</v>
      </c>
      <c r="E5189" s="2">
        <v>1</v>
      </c>
      <c r="G5189" s="2">
        <v>2</v>
      </c>
    </row>
    <row r="5190" spans="1:7" x14ac:dyDescent="0.2">
      <c r="A5190" s="2" t="s">
        <v>78</v>
      </c>
      <c r="B5190" s="14">
        <v>37742</v>
      </c>
      <c r="C5190" s="2">
        <v>3.7837837837000003E-2</v>
      </c>
      <c r="E5190" s="2">
        <v>1</v>
      </c>
      <c r="G5190" s="2">
        <v>2</v>
      </c>
    </row>
    <row r="5191" spans="1:7" x14ac:dyDescent="0.2">
      <c r="A5191" s="2" t="s">
        <v>78</v>
      </c>
      <c r="B5191" s="14">
        <v>37773</v>
      </c>
      <c r="C5191" s="2">
        <v>9.375E-2</v>
      </c>
      <c r="E5191" s="2">
        <v>1</v>
      </c>
      <c r="G5191" s="2">
        <v>2</v>
      </c>
    </row>
    <row r="5192" spans="1:7" x14ac:dyDescent="0.2">
      <c r="A5192" s="2" t="s">
        <v>78</v>
      </c>
      <c r="B5192" s="14">
        <v>37803</v>
      </c>
      <c r="C5192" s="2">
        <v>7.1428571428000007E-2</v>
      </c>
      <c r="E5192" s="2">
        <v>1</v>
      </c>
      <c r="G5192" s="2">
        <v>2</v>
      </c>
    </row>
    <row r="5193" spans="1:7" x14ac:dyDescent="0.2">
      <c r="A5193" s="2" t="s">
        <v>78</v>
      </c>
      <c r="B5193" s="14">
        <v>37834</v>
      </c>
      <c r="C5193" s="2">
        <v>0.15555555555</v>
      </c>
      <c r="E5193" s="2">
        <v>1</v>
      </c>
      <c r="G5193" s="2">
        <v>2</v>
      </c>
    </row>
    <row r="5194" spans="1:7" x14ac:dyDescent="0.2">
      <c r="A5194" s="2" t="s">
        <v>78</v>
      </c>
      <c r="B5194" s="14">
        <v>37865</v>
      </c>
      <c r="C5194" s="2">
        <v>1.5384615383999999E-2</v>
      </c>
      <c r="E5194" s="2">
        <v>1</v>
      </c>
      <c r="G5194" s="2">
        <v>2</v>
      </c>
    </row>
    <row r="5195" spans="1:7" x14ac:dyDescent="0.2">
      <c r="A5195" s="2" t="s">
        <v>78</v>
      </c>
      <c r="B5195" s="14">
        <v>37895</v>
      </c>
      <c r="C5195" s="2">
        <v>3.0303030304E-2</v>
      </c>
      <c r="E5195" s="2">
        <v>1</v>
      </c>
      <c r="G5195" s="2">
        <v>2</v>
      </c>
    </row>
    <row r="5196" spans="1:7" x14ac:dyDescent="0.2">
      <c r="A5196" s="2" t="s">
        <v>78</v>
      </c>
      <c r="B5196" s="14">
        <v>37926</v>
      </c>
      <c r="C5196" s="2">
        <v>-7.3529411766000002E-3</v>
      </c>
      <c r="E5196" s="2">
        <v>1</v>
      </c>
      <c r="G5196" s="2">
        <v>2</v>
      </c>
    </row>
    <row r="5197" spans="1:7" x14ac:dyDescent="0.2">
      <c r="A5197" s="2" t="s">
        <v>78</v>
      </c>
      <c r="B5197" s="14">
        <v>37956</v>
      </c>
      <c r="C5197" s="2">
        <v>3.8441612685000001E-2</v>
      </c>
      <c r="E5197" s="2">
        <v>1</v>
      </c>
      <c r="G5197" s="2">
        <v>2</v>
      </c>
    </row>
    <row r="5198" spans="1:7" x14ac:dyDescent="0.2">
      <c r="A5198" s="2" t="s">
        <v>78</v>
      </c>
      <c r="B5198" s="14">
        <v>37987</v>
      </c>
      <c r="C5198" s="2">
        <v>5.5555555554999997E-2</v>
      </c>
      <c r="E5198" s="2">
        <v>1</v>
      </c>
      <c r="G5198" s="2">
        <v>2</v>
      </c>
    </row>
    <row r="5199" spans="1:7" x14ac:dyDescent="0.2">
      <c r="A5199" s="2" t="s">
        <v>78</v>
      </c>
      <c r="B5199" s="14">
        <v>38018</v>
      </c>
      <c r="C5199" s="2">
        <v>0.10877192982</v>
      </c>
      <c r="E5199" s="2">
        <v>1</v>
      </c>
      <c r="G5199" s="2">
        <v>2</v>
      </c>
    </row>
    <row r="5200" spans="1:7" x14ac:dyDescent="0.2">
      <c r="A5200" s="2" t="s">
        <v>78</v>
      </c>
      <c r="B5200" s="14">
        <v>38047</v>
      </c>
      <c r="C5200" s="2">
        <v>4.4303797467E-2</v>
      </c>
      <c r="D5200" s="2">
        <v>0</v>
      </c>
      <c r="E5200" s="2">
        <v>1</v>
      </c>
      <c r="G5200" s="2">
        <v>2</v>
      </c>
    </row>
    <row r="5201" spans="1:7" x14ac:dyDescent="0.2">
      <c r="A5201" s="2" t="s">
        <v>78</v>
      </c>
      <c r="B5201" s="14">
        <v>38078</v>
      </c>
      <c r="C5201" s="2">
        <v>3.0303030304E-2</v>
      </c>
      <c r="D5201" s="2">
        <v>0</v>
      </c>
      <c r="E5201" s="2">
        <v>1</v>
      </c>
      <c r="G5201" s="2">
        <v>2</v>
      </c>
    </row>
    <row r="5202" spans="1:7" x14ac:dyDescent="0.2">
      <c r="A5202" s="2" t="s">
        <v>78</v>
      </c>
      <c r="B5202" s="14">
        <v>38108</v>
      </c>
      <c r="C5202" s="2">
        <v>-4.1812890013000002E-2</v>
      </c>
      <c r="D5202" s="2">
        <v>0</v>
      </c>
      <c r="E5202" s="2">
        <v>1</v>
      </c>
      <c r="G5202" s="2">
        <v>2</v>
      </c>
    </row>
    <row r="5203" spans="1:7" x14ac:dyDescent="0.2">
      <c r="A5203" s="2" t="s">
        <v>78</v>
      </c>
      <c r="B5203" s="14">
        <v>38139</v>
      </c>
      <c r="C5203" s="2">
        <v>-1.2500000000000001E-2</v>
      </c>
      <c r="D5203" s="2">
        <v>0</v>
      </c>
      <c r="E5203" s="2">
        <v>1</v>
      </c>
      <c r="G5203" s="2">
        <v>2</v>
      </c>
    </row>
    <row r="5204" spans="1:7" x14ac:dyDescent="0.2">
      <c r="A5204" s="2" t="s">
        <v>78</v>
      </c>
      <c r="B5204" s="14">
        <v>38169</v>
      </c>
      <c r="C5204" s="2">
        <v>0.13924050632000001</v>
      </c>
      <c r="D5204" s="2">
        <v>0</v>
      </c>
      <c r="E5204" s="2">
        <v>1</v>
      </c>
      <c r="G5204" s="2">
        <v>2</v>
      </c>
    </row>
    <row r="5205" spans="1:7" x14ac:dyDescent="0.2">
      <c r="A5205" s="2" t="s">
        <v>78</v>
      </c>
      <c r="B5205" s="14">
        <v>38200</v>
      </c>
      <c r="C5205" s="2">
        <v>6.6666666668000002E-2</v>
      </c>
      <c r="D5205" s="2">
        <v>0</v>
      </c>
      <c r="E5205" s="2">
        <v>1</v>
      </c>
      <c r="G5205" s="2">
        <v>2</v>
      </c>
    </row>
    <row r="5206" spans="1:7" x14ac:dyDescent="0.2">
      <c r="A5206" s="2" t="s">
        <v>78</v>
      </c>
      <c r="B5206" s="14">
        <v>38231</v>
      </c>
      <c r="C5206" s="2">
        <v>0.20200918163000001</v>
      </c>
      <c r="D5206" s="19">
        <v>4.4776920000000003E-5</v>
      </c>
      <c r="E5206" s="2">
        <v>1</v>
      </c>
      <c r="G5206" s="2">
        <v>2</v>
      </c>
    </row>
    <row r="5207" spans="1:7" x14ac:dyDescent="0.2">
      <c r="A5207" s="2" t="s">
        <v>78</v>
      </c>
      <c r="B5207" s="14">
        <v>38261</v>
      </c>
      <c r="C5207" s="2">
        <v>-4.5454545461000003E-3</v>
      </c>
      <c r="D5207" s="19">
        <v>9.5897238000000005E-5</v>
      </c>
      <c r="E5207" s="2">
        <v>1</v>
      </c>
      <c r="G5207" s="2">
        <v>2</v>
      </c>
    </row>
    <row r="5208" spans="1:7" x14ac:dyDescent="0.2">
      <c r="A5208" s="2" t="s">
        <v>78</v>
      </c>
      <c r="B5208" s="14">
        <v>38292</v>
      </c>
      <c r="C5208" s="2">
        <v>5.0228310503000001E-2</v>
      </c>
      <c r="D5208" s="2">
        <v>1.1903197999999999E-4</v>
      </c>
      <c r="E5208" s="2">
        <v>1</v>
      </c>
      <c r="G5208" s="2">
        <v>2</v>
      </c>
    </row>
    <row r="5209" spans="1:7" x14ac:dyDescent="0.2">
      <c r="A5209" s="2" t="s">
        <v>78</v>
      </c>
      <c r="B5209" s="14">
        <v>38322</v>
      </c>
      <c r="C5209" s="2">
        <v>-4.347826087E-2</v>
      </c>
      <c r="D5209" s="2">
        <v>0</v>
      </c>
      <c r="E5209" s="2">
        <v>1</v>
      </c>
      <c r="G5209" s="2">
        <v>2</v>
      </c>
    </row>
    <row r="5210" spans="1:7" x14ac:dyDescent="0.2">
      <c r="A5210" s="2" t="s">
        <v>78</v>
      </c>
      <c r="B5210" s="14">
        <v>38353</v>
      </c>
      <c r="C5210" s="2">
        <v>-1.6407126445999998E-2</v>
      </c>
      <c r="D5210" s="19">
        <v>-2.8582600999999999E-6</v>
      </c>
      <c r="E5210" s="2">
        <v>1</v>
      </c>
      <c r="G5210" s="2">
        <v>2</v>
      </c>
    </row>
    <row r="5211" spans="1:7" x14ac:dyDescent="0.2">
      <c r="A5211" s="2" t="s">
        <v>78</v>
      </c>
      <c r="B5211" s="14">
        <v>38384</v>
      </c>
      <c r="C5211" s="2">
        <v>-3.7636969984999998E-2</v>
      </c>
      <c r="D5211" s="2">
        <v>0</v>
      </c>
      <c r="E5211" s="2">
        <v>1</v>
      </c>
      <c r="G5211" s="2">
        <v>2</v>
      </c>
    </row>
    <row r="5212" spans="1:7" x14ac:dyDescent="0.2">
      <c r="A5212" s="2" t="s">
        <v>78</v>
      </c>
      <c r="B5212" s="14">
        <v>38412</v>
      </c>
      <c r="C5212" s="2">
        <v>-9.9009900986999997E-3</v>
      </c>
      <c r="D5212" s="2">
        <v>0</v>
      </c>
      <c r="E5212" s="2">
        <v>1</v>
      </c>
      <c r="G5212" s="2">
        <v>2</v>
      </c>
    </row>
    <row r="5213" spans="1:7" x14ac:dyDescent="0.2">
      <c r="A5213" s="2" t="s">
        <v>78</v>
      </c>
      <c r="B5213" s="14">
        <v>38443</v>
      </c>
      <c r="C5213" s="2">
        <v>1.0089564212E-2</v>
      </c>
      <c r="D5213" s="2">
        <v>0</v>
      </c>
      <c r="E5213" s="2">
        <v>1</v>
      </c>
      <c r="G5213" s="2">
        <v>2</v>
      </c>
    </row>
    <row r="5214" spans="1:7" x14ac:dyDescent="0.2">
      <c r="A5214" s="2" t="s">
        <v>78</v>
      </c>
      <c r="B5214" s="14">
        <v>38473</v>
      </c>
      <c r="C5214" s="2">
        <v>-3.0303030303000002E-2</v>
      </c>
      <c r="D5214" s="19">
        <v>5.9351809000000001E-5</v>
      </c>
      <c r="E5214" s="2">
        <v>1</v>
      </c>
      <c r="G5214" s="2">
        <v>2</v>
      </c>
    </row>
    <row r="5215" spans="1:7" x14ac:dyDescent="0.2">
      <c r="A5215" s="2" t="s">
        <v>78</v>
      </c>
      <c r="B5215" s="14">
        <v>38504</v>
      </c>
      <c r="C5215" s="2">
        <v>-3.6458333333999997E-2</v>
      </c>
      <c r="D5215" s="2">
        <v>0</v>
      </c>
      <c r="E5215" s="2">
        <v>1</v>
      </c>
      <c r="G5215" s="2">
        <v>2</v>
      </c>
    </row>
    <row r="5216" spans="1:7" x14ac:dyDescent="0.2">
      <c r="A5216" s="2" t="s">
        <v>78</v>
      </c>
      <c r="B5216" s="14">
        <v>38534</v>
      </c>
      <c r="C5216" s="2">
        <v>0.1081081081</v>
      </c>
      <c r="D5216" s="2">
        <v>0</v>
      </c>
      <c r="E5216" s="2">
        <v>1</v>
      </c>
      <c r="G5216" s="2">
        <v>2</v>
      </c>
    </row>
    <row r="5217" spans="1:7" x14ac:dyDescent="0.2">
      <c r="A5217" s="2" t="s">
        <v>78</v>
      </c>
      <c r="B5217" s="14">
        <v>38565</v>
      </c>
      <c r="C5217" s="2">
        <v>0</v>
      </c>
      <c r="D5217" s="2">
        <v>0</v>
      </c>
      <c r="E5217" s="2">
        <v>1</v>
      </c>
      <c r="G5217" s="2">
        <v>2</v>
      </c>
    </row>
    <row r="5218" spans="1:7" x14ac:dyDescent="0.2">
      <c r="A5218" s="2" t="s">
        <v>78</v>
      </c>
      <c r="B5218" s="14">
        <v>38596</v>
      </c>
      <c r="C5218" s="2">
        <v>-2.533660662E-2</v>
      </c>
      <c r="D5218" s="2">
        <v>0</v>
      </c>
      <c r="E5218" s="2">
        <v>1</v>
      </c>
      <c r="G5218" s="2">
        <v>2</v>
      </c>
    </row>
    <row r="5219" spans="1:7" x14ac:dyDescent="0.2">
      <c r="A5219" s="2" t="s">
        <v>78</v>
      </c>
      <c r="B5219" s="14">
        <v>38626</v>
      </c>
      <c r="C5219" s="2">
        <v>3.9473684209999998E-2</v>
      </c>
      <c r="D5219" s="2">
        <v>0</v>
      </c>
      <c r="E5219" s="2">
        <v>1</v>
      </c>
      <c r="G5219" s="2">
        <v>2</v>
      </c>
    </row>
    <row r="5220" spans="1:7" x14ac:dyDescent="0.2">
      <c r="A5220" s="2" t="s">
        <v>78</v>
      </c>
      <c r="B5220" s="14">
        <v>38657</v>
      </c>
      <c r="C5220" s="2">
        <v>-3.7974683544E-2</v>
      </c>
      <c r="D5220" s="2">
        <v>0</v>
      </c>
      <c r="E5220" s="2">
        <v>1</v>
      </c>
      <c r="G5220" s="2">
        <v>2</v>
      </c>
    </row>
    <row r="5221" spans="1:7" x14ac:dyDescent="0.2">
      <c r="A5221" s="2" t="s">
        <v>78</v>
      </c>
      <c r="B5221" s="14">
        <v>38687</v>
      </c>
      <c r="C5221" s="2">
        <v>5.1842105261999998E-2</v>
      </c>
      <c r="D5221" s="2">
        <v>0</v>
      </c>
      <c r="E5221" s="2">
        <v>1</v>
      </c>
      <c r="G5221" s="2">
        <v>2</v>
      </c>
    </row>
    <row r="5222" spans="1:7" x14ac:dyDescent="0.2">
      <c r="A5222" s="2" t="s">
        <v>78</v>
      </c>
      <c r="B5222" s="14">
        <v>38718</v>
      </c>
      <c r="C5222" s="2">
        <v>1.0758068551E-2</v>
      </c>
      <c r="D5222" s="2">
        <v>0</v>
      </c>
      <c r="E5222" s="2">
        <v>1</v>
      </c>
      <c r="G5222" s="2">
        <v>2</v>
      </c>
    </row>
    <row r="5223" spans="1:7" x14ac:dyDescent="0.2">
      <c r="A5223" s="2" t="s">
        <v>78</v>
      </c>
      <c r="B5223" s="14">
        <v>38749</v>
      </c>
      <c r="C5223" s="2">
        <v>-1.1306643611999999E-2</v>
      </c>
      <c r="D5223" s="19">
        <v>3.3582691999999998E-5</v>
      </c>
      <c r="E5223" s="2">
        <v>1</v>
      </c>
      <c r="G5223" s="2">
        <v>2</v>
      </c>
    </row>
    <row r="5224" spans="1:7" x14ac:dyDescent="0.2">
      <c r="A5224" s="2" t="s">
        <v>78</v>
      </c>
      <c r="B5224" s="14">
        <v>38777</v>
      </c>
      <c r="C5224" s="2">
        <v>-9.6988259311000004E-3</v>
      </c>
      <c r="D5224" s="2">
        <v>0</v>
      </c>
      <c r="E5224" s="2">
        <v>1</v>
      </c>
      <c r="G5224" s="2">
        <v>2</v>
      </c>
    </row>
    <row r="5225" spans="1:7" x14ac:dyDescent="0.2">
      <c r="A5225" s="2" t="s">
        <v>78</v>
      </c>
      <c r="B5225" s="14">
        <v>38808</v>
      </c>
      <c r="C5225" s="2">
        <v>0.39103092782999999</v>
      </c>
      <c r="D5225" s="2">
        <v>0</v>
      </c>
      <c r="E5225" s="2">
        <v>1</v>
      </c>
      <c r="G5225" s="2">
        <v>2</v>
      </c>
    </row>
    <row r="5226" spans="1:7" x14ac:dyDescent="0.2">
      <c r="A5226" s="2" t="s">
        <v>78</v>
      </c>
      <c r="B5226" s="14">
        <v>38838</v>
      </c>
      <c r="C5226" s="2">
        <v>5.1878751947000005E-4</v>
      </c>
      <c r="D5226" s="2">
        <v>0</v>
      </c>
      <c r="E5226" s="2">
        <v>1</v>
      </c>
      <c r="G5226" s="2">
        <v>2</v>
      </c>
    </row>
    <row r="5227" spans="1:7" x14ac:dyDescent="0.2">
      <c r="A5227" s="2" t="s">
        <v>78</v>
      </c>
      <c r="B5227" s="14">
        <v>38869</v>
      </c>
      <c r="C5227" s="2">
        <v>-3.7037037037000002E-2</v>
      </c>
      <c r="D5227" s="2">
        <v>0</v>
      </c>
      <c r="E5227" s="2">
        <v>1</v>
      </c>
      <c r="G5227" s="2">
        <v>2</v>
      </c>
    </row>
    <row r="5228" spans="1:7" x14ac:dyDescent="0.2">
      <c r="A5228" s="2" t="s">
        <v>78</v>
      </c>
      <c r="B5228" s="14">
        <v>38899</v>
      </c>
      <c r="C5228" s="2">
        <v>-1.5384615383000001E-2</v>
      </c>
      <c r="D5228" s="2">
        <v>0</v>
      </c>
      <c r="E5228" s="2">
        <v>1</v>
      </c>
      <c r="G5228" s="2">
        <v>2</v>
      </c>
    </row>
    <row r="5229" spans="1:7" x14ac:dyDescent="0.2">
      <c r="A5229" s="2" t="s">
        <v>78</v>
      </c>
      <c r="B5229" s="14">
        <v>38930</v>
      </c>
      <c r="C5229" s="2">
        <v>9.3359374999999994E-2</v>
      </c>
      <c r="D5229" s="2">
        <v>0</v>
      </c>
      <c r="E5229" s="2">
        <v>1</v>
      </c>
      <c r="G5229" s="2">
        <v>2</v>
      </c>
    </row>
    <row r="5230" spans="1:7" x14ac:dyDescent="0.2">
      <c r="A5230" s="2" t="s">
        <v>78</v>
      </c>
      <c r="B5230" s="14">
        <v>38961</v>
      </c>
      <c r="C5230" s="2">
        <v>2.4866023579000002E-2</v>
      </c>
      <c r="D5230" s="2">
        <v>0</v>
      </c>
      <c r="E5230" s="2">
        <v>1</v>
      </c>
      <c r="G5230" s="2">
        <v>2</v>
      </c>
    </row>
    <row r="5231" spans="1:7" x14ac:dyDescent="0.2">
      <c r="A5231" s="2" t="s">
        <v>78</v>
      </c>
      <c r="B5231" s="14">
        <v>38991</v>
      </c>
      <c r="C5231" s="2">
        <v>6.8230664038999994E-2</v>
      </c>
      <c r="D5231" s="2">
        <v>0</v>
      </c>
      <c r="E5231" s="2">
        <v>1</v>
      </c>
      <c r="G5231" s="2">
        <v>2</v>
      </c>
    </row>
    <row r="5232" spans="1:7" x14ac:dyDescent="0.2">
      <c r="A5232" s="2" t="s">
        <v>78</v>
      </c>
      <c r="B5232" s="14">
        <v>39022</v>
      </c>
      <c r="C5232" s="2">
        <v>-8.4192439861999993E-2</v>
      </c>
      <c r="D5232" s="2">
        <v>0</v>
      </c>
      <c r="E5232" s="2">
        <v>1</v>
      </c>
      <c r="G5232" s="2">
        <v>2</v>
      </c>
    </row>
    <row r="5233" spans="1:7" x14ac:dyDescent="0.2">
      <c r="A5233" s="2" t="s">
        <v>78</v>
      </c>
      <c r="B5233" s="14">
        <v>39052</v>
      </c>
      <c r="C5233" s="2">
        <v>-2.0637898687999999E-2</v>
      </c>
      <c r="D5233" s="2">
        <v>0</v>
      </c>
      <c r="E5233" s="2">
        <v>1</v>
      </c>
      <c r="G5233" s="2">
        <v>2</v>
      </c>
    </row>
    <row r="5234" spans="1:7" x14ac:dyDescent="0.2">
      <c r="A5234" s="2" t="s">
        <v>78</v>
      </c>
      <c r="B5234" s="14">
        <v>39083</v>
      </c>
      <c r="C5234" s="2">
        <v>1.101993219E-2</v>
      </c>
      <c r="D5234" s="2">
        <v>0</v>
      </c>
      <c r="E5234" s="2">
        <v>1</v>
      </c>
      <c r="G5234" s="2">
        <v>2</v>
      </c>
    </row>
    <row r="5235" spans="1:7" x14ac:dyDescent="0.2">
      <c r="A5235" s="2" t="s">
        <v>78</v>
      </c>
      <c r="B5235" s="14">
        <v>39114</v>
      </c>
      <c r="C5235" s="2">
        <v>0.16370808679000001</v>
      </c>
      <c r="D5235" s="2">
        <v>0</v>
      </c>
      <c r="E5235" s="2">
        <v>1</v>
      </c>
      <c r="G5235" s="2">
        <v>2</v>
      </c>
    </row>
    <row r="5236" spans="1:7" x14ac:dyDescent="0.2">
      <c r="A5236" s="2" t="s">
        <v>78</v>
      </c>
      <c r="B5236" s="14">
        <v>39142</v>
      </c>
      <c r="C5236" s="2">
        <v>6.7796610169999993E-2</v>
      </c>
      <c r="D5236" s="2">
        <v>0</v>
      </c>
      <c r="E5236" s="2">
        <v>1</v>
      </c>
      <c r="G5236" s="2">
        <v>2</v>
      </c>
    </row>
    <row r="5237" spans="1:7" x14ac:dyDescent="0.2">
      <c r="A5237" s="2" t="s">
        <v>78</v>
      </c>
      <c r="B5237" s="14">
        <v>39173</v>
      </c>
      <c r="C5237" s="2">
        <v>0.17041685777000001</v>
      </c>
      <c r="D5237" s="2">
        <v>0</v>
      </c>
      <c r="E5237" s="2">
        <v>1</v>
      </c>
      <c r="G5237" s="2">
        <v>2</v>
      </c>
    </row>
    <row r="5238" spans="1:7" x14ac:dyDescent="0.2">
      <c r="A5238" s="2" t="s">
        <v>78</v>
      </c>
      <c r="B5238" s="14">
        <v>39203</v>
      </c>
      <c r="C5238" s="2">
        <v>-2.7472222221000001E-2</v>
      </c>
      <c r="D5238" s="19">
        <v>-7.9240228000000004E-5</v>
      </c>
      <c r="E5238" s="2">
        <v>1</v>
      </c>
      <c r="G5238" s="2">
        <v>2</v>
      </c>
    </row>
    <row r="5239" spans="1:7" x14ac:dyDescent="0.2">
      <c r="A5239" s="2" t="s">
        <v>78</v>
      </c>
      <c r="B5239" s="14">
        <v>39234</v>
      </c>
      <c r="C5239" s="2">
        <v>6.9663819941000002E-2</v>
      </c>
      <c r="D5239" s="2">
        <v>0</v>
      </c>
      <c r="E5239" s="2">
        <v>1</v>
      </c>
      <c r="G5239" s="2">
        <v>2</v>
      </c>
    </row>
    <row r="5240" spans="1:7" x14ac:dyDescent="0.2">
      <c r="A5240" s="2" t="s">
        <v>78</v>
      </c>
      <c r="B5240" s="14">
        <v>39264</v>
      </c>
      <c r="C5240" s="2">
        <v>3.6180782483000003E-2</v>
      </c>
      <c r="D5240" s="2">
        <v>0</v>
      </c>
      <c r="E5240" s="2">
        <v>1</v>
      </c>
      <c r="G5240" s="2">
        <v>2</v>
      </c>
    </row>
    <row r="5241" spans="1:7" x14ac:dyDescent="0.2">
      <c r="A5241" s="2" t="s">
        <v>78</v>
      </c>
      <c r="B5241" s="14">
        <v>39295</v>
      </c>
      <c r="C5241" s="2">
        <v>-2.7027027027000002E-2</v>
      </c>
      <c r="D5241" s="2">
        <v>0</v>
      </c>
      <c r="E5241" s="2">
        <v>1</v>
      </c>
      <c r="G5241" s="2">
        <v>2</v>
      </c>
    </row>
    <row r="5242" spans="1:7" x14ac:dyDescent="0.2">
      <c r="A5242" s="2" t="s">
        <v>78</v>
      </c>
      <c r="B5242" s="14">
        <v>39326</v>
      </c>
      <c r="C5242" s="2">
        <v>6.1111111112000002E-2</v>
      </c>
      <c r="D5242" s="2">
        <v>0</v>
      </c>
      <c r="E5242" s="2">
        <v>1</v>
      </c>
      <c r="G5242" s="2">
        <v>2</v>
      </c>
    </row>
    <row r="5243" spans="1:7" x14ac:dyDescent="0.2">
      <c r="A5243" s="2" t="s">
        <v>78</v>
      </c>
      <c r="B5243" s="14">
        <v>39356</v>
      </c>
      <c r="C5243" s="2">
        <v>7.5619008427999998E-2</v>
      </c>
      <c r="D5243" s="2">
        <v>0</v>
      </c>
      <c r="E5243" s="2">
        <v>1</v>
      </c>
      <c r="G5243" s="2">
        <v>2</v>
      </c>
    </row>
    <row r="5244" spans="1:7" x14ac:dyDescent="0.2">
      <c r="A5244" s="2" t="s">
        <v>78</v>
      </c>
      <c r="B5244" s="14">
        <v>39387</v>
      </c>
      <c r="C5244" s="2">
        <v>-6.3291139240000002E-2</v>
      </c>
      <c r="D5244" s="2">
        <v>0</v>
      </c>
      <c r="E5244" s="2">
        <v>1</v>
      </c>
      <c r="G5244" s="2">
        <v>2</v>
      </c>
    </row>
    <row r="5245" spans="1:7" x14ac:dyDescent="0.2">
      <c r="A5245" s="2" t="s">
        <v>78</v>
      </c>
      <c r="B5245" s="14">
        <v>39417</v>
      </c>
      <c r="C5245" s="2">
        <v>-6.2162162161999997E-2</v>
      </c>
      <c r="D5245" s="2">
        <v>0</v>
      </c>
      <c r="E5245" s="2">
        <v>1</v>
      </c>
      <c r="G5245" s="2">
        <v>2</v>
      </c>
    </row>
    <row r="5246" spans="1:7" x14ac:dyDescent="0.2">
      <c r="A5246" s="2" t="s">
        <v>78</v>
      </c>
      <c r="B5246" s="14">
        <v>39448</v>
      </c>
      <c r="C5246" s="2">
        <v>-7.6870662155999997E-2</v>
      </c>
      <c r="D5246" s="2">
        <v>0</v>
      </c>
      <c r="E5246" s="2">
        <v>1</v>
      </c>
      <c r="G5246" s="2">
        <v>2</v>
      </c>
    </row>
    <row r="5247" spans="1:7" x14ac:dyDescent="0.2">
      <c r="A5247" s="2" t="s">
        <v>78</v>
      </c>
      <c r="B5247" s="14">
        <v>39479</v>
      </c>
      <c r="C5247" s="2">
        <v>0.1935483871</v>
      </c>
      <c r="D5247" s="2">
        <v>0</v>
      </c>
      <c r="E5247" s="2">
        <v>1</v>
      </c>
      <c r="G5247" s="2">
        <v>2</v>
      </c>
    </row>
    <row r="5248" spans="1:7" x14ac:dyDescent="0.2">
      <c r="A5248" s="2" t="s">
        <v>78</v>
      </c>
      <c r="B5248" s="14">
        <v>39508</v>
      </c>
      <c r="C5248" s="2">
        <v>6.7837837832000003E-3</v>
      </c>
      <c r="D5248" s="2">
        <v>0</v>
      </c>
      <c r="E5248" s="2">
        <v>1</v>
      </c>
      <c r="G5248" s="2">
        <v>2</v>
      </c>
    </row>
    <row r="5249" spans="1:7" x14ac:dyDescent="0.2">
      <c r="A5249" s="2" t="s">
        <v>78</v>
      </c>
      <c r="B5249" s="14">
        <v>39539</v>
      </c>
      <c r="C5249" s="2">
        <v>5.5373138183999998E-2</v>
      </c>
      <c r="D5249" s="2">
        <v>0</v>
      </c>
      <c r="E5249" s="2">
        <v>1</v>
      </c>
      <c r="G5249" s="2">
        <v>2</v>
      </c>
    </row>
    <row r="5250" spans="1:7" x14ac:dyDescent="0.2">
      <c r="A5250" s="2" t="s">
        <v>78</v>
      </c>
      <c r="B5250" s="14">
        <v>39569</v>
      </c>
      <c r="C5250" s="2">
        <v>-5.4430051813999999E-2</v>
      </c>
      <c r="D5250" s="2">
        <v>0</v>
      </c>
      <c r="E5250" s="2">
        <v>1</v>
      </c>
      <c r="G5250" s="2">
        <v>2</v>
      </c>
    </row>
    <row r="5251" spans="1:7" x14ac:dyDescent="0.2">
      <c r="A5251" s="2" t="s">
        <v>78</v>
      </c>
      <c r="B5251" s="14">
        <v>39600</v>
      </c>
      <c r="C5251" s="19">
        <v>2.7398011297999999E-5</v>
      </c>
      <c r="D5251" s="2">
        <v>0</v>
      </c>
      <c r="E5251" s="2">
        <v>1</v>
      </c>
      <c r="G5251" s="2">
        <v>2</v>
      </c>
    </row>
    <row r="5252" spans="1:7" x14ac:dyDescent="0.2">
      <c r="A5252" s="2" t="s">
        <v>78</v>
      </c>
      <c r="B5252" s="14">
        <v>39630</v>
      </c>
      <c r="C5252" s="2">
        <v>2.7768647290999999E-2</v>
      </c>
      <c r="D5252" s="2">
        <v>0</v>
      </c>
      <c r="E5252" s="2">
        <v>1</v>
      </c>
      <c r="G5252" s="2">
        <v>2</v>
      </c>
    </row>
    <row r="5253" spans="1:7" x14ac:dyDescent="0.2">
      <c r="A5253" s="2" t="s">
        <v>78</v>
      </c>
      <c r="B5253" s="14">
        <v>39661</v>
      </c>
      <c r="C5253" s="2">
        <v>-4.1095890411000001E-2</v>
      </c>
      <c r="D5253" s="2">
        <v>0</v>
      </c>
      <c r="E5253" s="2">
        <v>1</v>
      </c>
      <c r="G5253" s="2">
        <v>2</v>
      </c>
    </row>
    <row r="5254" spans="1:7" x14ac:dyDescent="0.2">
      <c r="A5254" s="2" t="s">
        <v>78</v>
      </c>
      <c r="B5254" s="14">
        <v>39692</v>
      </c>
      <c r="C5254" s="2">
        <v>-0.14257142856999999</v>
      </c>
      <c r="D5254" s="2">
        <v>0</v>
      </c>
      <c r="E5254" s="2">
        <v>1</v>
      </c>
      <c r="G5254" s="2">
        <v>2</v>
      </c>
    </row>
    <row r="5255" spans="1:7" x14ac:dyDescent="0.2">
      <c r="A5255" s="2" t="s">
        <v>78</v>
      </c>
      <c r="B5255" s="14">
        <v>39722</v>
      </c>
      <c r="C5255" s="2">
        <v>-0.25278308453999998</v>
      </c>
      <c r="D5255" s="2">
        <v>0</v>
      </c>
      <c r="E5255" s="2">
        <v>1</v>
      </c>
      <c r="G5255" s="2">
        <v>2</v>
      </c>
    </row>
    <row r="5256" spans="1:7" x14ac:dyDescent="0.2">
      <c r="A5256" s="2" t="s">
        <v>78</v>
      </c>
      <c r="B5256" s="14">
        <v>39753</v>
      </c>
      <c r="C5256" s="2">
        <v>-6.4983637213999995E-2</v>
      </c>
      <c r="D5256" s="2">
        <v>0</v>
      </c>
      <c r="E5256" s="2">
        <v>1</v>
      </c>
      <c r="G5256" s="2">
        <v>2</v>
      </c>
    </row>
    <row r="5257" spans="1:7" x14ac:dyDescent="0.2">
      <c r="A5257" s="2" t="s">
        <v>78</v>
      </c>
      <c r="B5257" s="14">
        <v>39783</v>
      </c>
      <c r="C5257" s="2">
        <v>-0.11</v>
      </c>
      <c r="D5257" s="2">
        <v>0</v>
      </c>
      <c r="E5257" s="2">
        <v>1</v>
      </c>
      <c r="G5257" s="2">
        <v>2</v>
      </c>
    </row>
    <row r="5258" spans="1:7" x14ac:dyDescent="0.2">
      <c r="A5258" s="2" t="s">
        <v>79</v>
      </c>
      <c r="B5258" s="14">
        <v>37591</v>
      </c>
      <c r="C5258" s="2">
        <v>0</v>
      </c>
      <c r="D5258" s="2">
        <v>0</v>
      </c>
      <c r="E5258" s="2">
        <v>1</v>
      </c>
      <c r="G5258" s="2">
        <v>2</v>
      </c>
    </row>
    <row r="5259" spans="1:7" x14ac:dyDescent="0.2">
      <c r="A5259" s="2" t="s">
        <v>79</v>
      </c>
      <c r="B5259" s="14">
        <v>37622</v>
      </c>
      <c r="C5259" s="2">
        <v>0</v>
      </c>
      <c r="D5259" s="2">
        <v>0</v>
      </c>
      <c r="E5259" s="2">
        <v>1</v>
      </c>
      <c r="G5259" s="2">
        <v>2</v>
      </c>
    </row>
    <row r="5260" spans="1:7" x14ac:dyDescent="0.2">
      <c r="A5260" s="2" t="s">
        <v>79</v>
      </c>
      <c r="B5260" s="14">
        <v>37653</v>
      </c>
      <c r="C5260" s="2">
        <v>0</v>
      </c>
      <c r="D5260" s="2">
        <v>0</v>
      </c>
      <c r="E5260" s="2">
        <v>1</v>
      </c>
      <c r="G5260" s="2">
        <v>2</v>
      </c>
    </row>
    <row r="5261" spans="1:7" x14ac:dyDescent="0.2">
      <c r="A5261" s="2" t="s">
        <v>79</v>
      </c>
      <c r="B5261" s="14">
        <v>37681</v>
      </c>
      <c r="C5261" s="2">
        <v>1.6210913657999999E-2</v>
      </c>
      <c r="D5261" s="2">
        <v>0</v>
      </c>
      <c r="E5261" s="2">
        <v>1</v>
      </c>
      <c r="G5261" s="2">
        <v>2</v>
      </c>
    </row>
    <row r="5262" spans="1:7" x14ac:dyDescent="0.2">
      <c r="A5262" s="2" t="s">
        <v>79</v>
      </c>
      <c r="B5262" s="14">
        <v>37712</v>
      </c>
      <c r="C5262" s="2">
        <v>9.5521840041000006E-2</v>
      </c>
      <c r="D5262" s="2">
        <v>0</v>
      </c>
      <c r="E5262" s="2">
        <v>1</v>
      </c>
      <c r="G5262" s="2">
        <v>2</v>
      </c>
    </row>
    <row r="5263" spans="1:7" x14ac:dyDescent="0.2">
      <c r="A5263" s="2" t="s">
        <v>79</v>
      </c>
      <c r="B5263" s="14">
        <v>37742</v>
      </c>
      <c r="C5263" s="2">
        <v>0.19648050656999999</v>
      </c>
      <c r="D5263" s="2">
        <v>0</v>
      </c>
      <c r="E5263" s="2">
        <v>1</v>
      </c>
      <c r="G5263" s="2">
        <v>2</v>
      </c>
    </row>
    <row r="5264" spans="1:7" x14ac:dyDescent="0.2">
      <c r="A5264" s="2" t="s">
        <v>79</v>
      </c>
      <c r="B5264" s="14">
        <v>37773</v>
      </c>
      <c r="C5264" s="2">
        <v>0.23076923077</v>
      </c>
      <c r="D5264" s="2">
        <v>0</v>
      </c>
      <c r="E5264" s="2">
        <v>1</v>
      </c>
      <c r="G5264" s="2">
        <v>2</v>
      </c>
    </row>
    <row r="5265" spans="1:7" x14ac:dyDescent="0.2">
      <c r="A5265" s="2" t="s">
        <v>79</v>
      </c>
      <c r="B5265" s="14">
        <v>37803</v>
      </c>
      <c r="C5265" s="2">
        <v>0.25124999999999997</v>
      </c>
      <c r="D5265" s="2">
        <v>0</v>
      </c>
      <c r="E5265" s="2">
        <v>1</v>
      </c>
      <c r="G5265" s="2">
        <v>2</v>
      </c>
    </row>
    <row r="5266" spans="1:7" x14ac:dyDescent="0.2">
      <c r="A5266" s="2" t="s">
        <v>79</v>
      </c>
      <c r="B5266" s="14">
        <v>37834</v>
      </c>
      <c r="C5266" s="2">
        <v>0.1988011988</v>
      </c>
      <c r="D5266" s="2">
        <v>0</v>
      </c>
      <c r="E5266" s="2">
        <v>1</v>
      </c>
      <c r="F5266" s="2">
        <v>7.4006748411646298E-2</v>
      </c>
      <c r="G5266" s="2">
        <v>2</v>
      </c>
    </row>
    <row r="5267" spans="1:7" x14ac:dyDescent="0.2">
      <c r="A5267" s="2" t="s">
        <v>79</v>
      </c>
      <c r="B5267" s="14">
        <v>37865</v>
      </c>
      <c r="C5267" s="2">
        <v>8.3333333332000006E-2</v>
      </c>
      <c r="D5267" s="2">
        <v>0</v>
      </c>
      <c r="E5267" s="2">
        <v>1</v>
      </c>
      <c r="F5267" s="2">
        <v>7.9263871902184493E-2</v>
      </c>
      <c r="G5267" s="2">
        <v>2</v>
      </c>
    </row>
    <row r="5268" spans="1:7" x14ac:dyDescent="0.2">
      <c r="A5268" s="2" t="s">
        <v>79</v>
      </c>
      <c r="B5268" s="14">
        <v>37895</v>
      </c>
      <c r="C5268" s="2">
        <v>0</v>
      </c>
      <c r="D5268" s="2">
        <v>0</v>
      </c>
      <c r="E5268" s="2">
        <v>1</v>
      </c>
      <c r="F5268" s="2">
        <v>8.09069666692908E-2</v>
      </c>
      <c r="G5268" s="2">
        <v>2</v>
      </c>
    </row>
    <row r="5269" spans="1:7" x14ac:dyDescent="0.2">
      <c r="A5269" s="2" t="s">
        <v>79</v>
      </c>
      <c r="B5269" s="14">
        <v>37926</v>
      </c>
      <c r="C5269" s="2">
        <v>0.19230769231</v>
      </c>
      <c r="D5269" s="2">
        <v>0</v>
      </c>
      <c r="E5269" s="2">
        <v>1</v>
      </c>
      <c r="F5269" s="2">
        <v>7.8171573810588493E-2</v>
      </c>
      <c r="G5269" s="2">
        <v>2</v>
      </c>
    </row>
    <row r="5270" spans="1:7" x14ac:dyDescent="0.2">
      <c r="A5270" s="2" t="s">
        <v>79</v>
      </c>
      <c r="B5270" s="14">
        <v>37956</v>
      </c>
      <c r="C5270" s="2">
        <v>4.0219410168E-2</v>
      </c>
      <c r="D5270" s="2">
        <v>0</v>
      </c>
      <c r="E5270" s="2">
        <v>1</v>
      </c>
      <c r="F5270" s="2">
        <v>7.7613544374801294E-2</v>
      </c>
      <c r="G5270" s="2">
        <v>2</v>
      </c>
    </row>
    <row r="5271" spans="1:7" x14ac:dyDescent="0.2">
      <c r="A5271" s="2" t="s">
        <v>79</v>
      </c>
      <c r="B5271" s="14">
        <v>37987</v>
      </c>
      <c r="C5271" s="2">
        <v>0</v>
      </c>
      <c r="E5271" s="2">
        <v>1</v>
      </c>
      <c r="F5271" s="2">
        <v>7.1992589805586801E-2</v>
      </c>
      <c r="G5271" s="2">
        <v>2</v>
      </c>
    </row>
    <row r="5272" spans="1:7" x14ac:dyDescent="0.2">
      <c r="A5272" s="2" t="s">
        <v>79</v>
      </c>
      <c r="B5272" s="14">
        <v>38018</v>
      </c>
      <c r="C5272" s="2">
        <v>3.9127645927E-2</v>
      </c>
      <c r="E5272" s="2">
        <v>1</v>
      </c>
      <c r="F5272" s="2">
        <v>6.4792840819625497E-2</v>
      </c>
      <c r="G5272" s="2">
        <v>2</v>
      </c>
    </row>
    <row r="5273" spans="1:7" x14ac:dyDescent="0.2">
      <c r="A5273" s="2" t="s">
        <v>79</v>
      </c>
      <c r="B5273" s="14">
        <v>38047</v>
      </c>
      <c r="C5273" s="2">
        <v>0.11111111110000001</v>
      </c>
      <c r="D5273" s="2">
        <v>0</v>
      </c>
      <c r="E5273" s="2">
        <v>1</v>
      </c>
      <c r="F5273" s="2">
        <v>5.9956993100436701E-2</v>
      </c>
      <c r="G5273" s="2">
        <v>2</v>
      </c>
    </row>
    <row r="5274" spans="1:7" x14ac:dyDescent="0.2">
      <c r="A5274" s="2" t="s">
        <v>79</v>
      </c>
      <c r="B5274" s="14">
        <v>38078</v>
      </c>
      <c r="C5274" s="2">
        <v>0</v>
      </c>
      <c r="D5274" s="2">
        <v>0</v>
      </c>
      <c r="E5274" s="2">
        <v>1</v>
      </c>
      <c r="F5274" s="2">
        <v>6.0429038025996903E-2</v>
      </c>
      <c r="G5274" s="2">
        <v>2</v>
      </c>
    </row>
    <row r="5275" spans="1:7" x14ac:dyDescent="0.2">
      <c r="A5275" s="2" t="s">
        <v>79</v>
      </c>
      <c r="B5275" s="14">
        <v>38108</v>
      </c>
      <c r="C5275" s="2">
        <v>5.5555555557000001E-2</v>
      </c>
      <c r="D5275" s="2">
        <v>0</v>
      </c>
      <c r="E5275" s="2">
        <v>1</v>
      </c>
      <c r="F5275" s="2">
        <v>6.0547215364421897E-2</v>
      </c>
      <c r="G5275" s="2">
        <v>2</v>
      </c>
    </row>
    <row r="5276" spans="1:7" x14ac:dyDescent="0.2">
      <c r="A5276" s="2" t="s">
        <v>79</v>
      </c>
      <c r="B5276" s="14">
        <v>38139</v>
      </c>
      <c r="C5276" s="2">
        <v>5.2631578946999998E-2</v>
      </c>
      <c r="D5276" s="2">
        <v>0</v>
      </c>
      <c r="E5276" s="2">
        <v>1</v>
      </c>
      <c r="F5276" s="2">
        <v>5.6423304995320799E-2</v>
      </c>
      <c r="G5276" s="2">
        <v>2</v>
      </c>
    </row>
    <row r="5277" spans="1:7" x14ac:dyDescent="0.2">
      <c r="A5277" s="2" t="s">
        <v>79</v>
      </c>
      <c r="B5277" s="14">
        <v>38169</v>
      </c>
      <c r="C5277" s="2">
        <v>0.10497237568999999</v>
      </c>
      <c r="D5277" s="2">
        <v>0</v>
      </c>
      <c r="E5277" s="2">
        <v>1</v>
      </c>
      <c r="F5277" s="2">
        <v>5.6500169166918301E-2</v>
      </c>
      <c r="G5277" s="2">
        <v>2</v>
      </c>
    </row>
    <row r="5278" spans="1:7" x14ac:dyDescent="0.2">
      <c r="A5278" s="2" t="s">
        <v>79</v>
      </c>
      <c r="B5278" s="14">
        <v>38200</v>
      </c>
      <c r="C5278" s="2">
        <v>9.0909090908000006E-2</v>
      </c>
      <c r="D5278" s="2">
        <v>0</v>
      </c>
      <c r="E5278" s="2">
        <v>1</v>
      </c>
      <c r="F5278" s="2">
        <v>3.47595239476301E-2</v>
      </c>
      <c r="G5278" s="2">
        <v>2</v>
      </c>
    </row>
    <row r="5279" spans="1:7" x14ac:dyDescent="0.2">
      <c r="A5279" s="2" t="s">
        <v>79</v>
      </c>
      <c r="B5279" s="14">
        <v>38231</v>
      </c>
      <c r="C5279" s="2">
        <v>0.125</v>
      </c>
      <c r="D5279" s="2">
        <v>0</v>
      </c>
      <c r="E5279" s="2">
        <v>1</v>
      </c>
      <c r="F5279" s="2">
        <v>3.5833524892813398E-2</v>
      </c>
      <c r="G5279" s="2">
        <v>2</v>
      </c>
    </row>
    <row r="5280" spans="1:7" x14ac:dyDescent="0.2">
      <c r="A5280" s="2" t="s">
        <v>79</v>
      </c>
      <c r="B5280" s="14">
        <v>38261</v>
      </c>
      <c r="C5280" s="2">
        <v>5.5555555557000001E-2</v>
      </c>
      <c r="D5280" s="2">
        <v>0</v>
      </c>
      <c r="E5280" s="2">
        <v>1</v>
      </c>
      <c r="F5280" s="2">
        <v>3.6013819944947803E-2</v>
      </c>
      <c r="G5280" s="2">
        <v>2</v>
      </c>
    </row>
    <row r="5281" spans="1:7" x14ac:dyDescent="0.2">
      <c r="A5281" s="2" t="s">
        <v>79</v>
      </c>
      <c r="B5281" s="14">
        <v>38292</v>
      </c>
      <c r="C5281" s="2">
        <v>-1.3041945718000001E-2</v>
      </c>
      <c r="D5281" s="2">
        <v>0</v>
      </c>
      <c r="E5281" s="2">
        <v>1</v>
      </c>
      <c r="F5281" s="2">
        <v>3.7436402080192499E-2</v>
      </c>
      <c r="G5281" s="2">
        <v>2</v>
      </c>
    </row>
    <row r="5282" spans="1:7" x14ac:dyDescent="0.2">
      <c r="A5282" s="2" t="s">
        <v>79</v>
      </c>
      <c r="B5282" s="14">
        <v>38322</v>
      </c>
      <c r="C5282" s="2">
        <v>5.0000000001000001E-2</v>
      </c>
      <c r="D5282" s="2">
        <v>0</v>
      </c>
      <c r="E5282" s="2">
        <v>1</v>
      </c>
      <c r="F5282" s="2">
        <v>3.5304999148362597E-2</v>
      </c>
      <c r="G5282" s="2">
        <v>2</v>
      </c>
    </row>
    <row r="5283" spans="1:7" x14ac:dyDescent="0.2">
      <c r="A5283" s="2" t="s">
        <v>79</v>
      </c>
      <c r="B5283" s="14">
        <v>38353</v>
      </c>
      <c r="C5283" s="2">
        <v>-2.2108843537999998E-2</v>
      </c>
      <c r="D5283" s="2">
        <v>0</v>
      </c>
      <c r="E5283" s="2">
        <v>1</v>
      </c>
      <c r="F5283" s="2">
        <v>3.5114146858449602E-2</v>
      </c>
      <c r="G5283" s="2">
        <v>2</v>
      </c>
    </row>
    <row r="5284" spans="1:7" x14ac:dyDescent="0.2">
      <c r="A5284" s="2" t="s">
        <v>79</v>
      </c>
      <c r="B5284" s="14">
        <v>38384</v>
      </c>
      <c r="C5284" s="2">
        <v>-5.0434782608000002E-2</v>
      </c>
      <c r="D5284" s="2">
        <v>0</v>
      </c>
      <c r="E5284" s="2">
        <v>1</v>
      </c>
      <c r="F5284" s="2">
        <v>3.1546596982813403E-2</v>
      </c>
      <c r="G5284" s="2">
        <v>2</v>
      </c>
    </row>
    <row r="5285" spans="1:7" x14ac:dyDescent="0.2">
      <c r="A5285" s="2" t="s">
        <v>79</v>
      </c>
      <c r="B5285" s="14">
        <v>38412</v>
      </c>
      <c r="C5285" s="2">
        <v>6.2271062269999997E-2</v>
      </c>
      <c r="D5285" s="2">
        <v>0</v>
      </c>
      <c r="E5285" s="2">
        <v>1</v>
      </c>
      <c r="F5285" s="2">
        <v>2.77431763856286E-2</v>
      </c>
      <c r="G5285" s="2">
        <v>2</v>
      </c>
    </row>
    <row r="5286" spans="1:7" x14ac:dyDescent="0.2">
      <c r="A5286" s="2" t="s">
        <v>79</v>
      </c>
      <c r="B5286" s="14">
        <v>38443</v>
      </c>
      <c r="C5286" s="2">
        <v>-1.7241379309999999E-2</v>
      </c>
      <c r="D5286" s="2">
        <v>0</v>
      </c>
      <c r="E5286" s="2">
        <v>1</v>
      </c>
      <c r="F5286" s="2">
        <v>2.5730221814930201E-2</v>
      </c>
      <c r="G5286" s="2">
        <v>2</v>
      </c>
    </row>
    <row r="5287" spans="1:7" x14ac:dyDescent="0.2">
      <c r="A5287" s="2" t="s">
        <v>79</v>
      </c>
      <c r="B5287" s="14">
        <v>38473</v>
      </c>
      <c r="C5287" s="2">
        <v>8.8716410974000001E-2</v>
      </c>
      <c r="D5287" s="2">
        <v>0</v>
      </c>
      <c r="E5287" s="2">
        <v>1</v>
      </c>
      <c r="F5287" s="2">
        <v>2.3771359987330602E-2</v>
      </c>
      <c r="G5287" s="2">
        <v>2</v>
      </c>
    </row>
    <row r="5288" spans="1:7" x14ac:dyDescent="0.2">
      <c r="A5288" s="2" t="s">
        <v>79</v>
      </c>
      <c r="B5288" s="14">
        <v>38504</v>
      </c>
      <c r="D5288" s="2">
        <v>0</v>
      </c>
      <c r="E5288" s="2">
        <v>1</v>
      </c>
      <c r="F5288" s="2">
        <v>2.65477579941669E-2</v>
      </c>
      <c r="G5288" s="2">
        <v>2</v>
      </c>
    </row>
    <row r="5289" spans="1:7" x14ac:dyDescent="0.2">
      <c r="A5289" s="2" t="s">
        <v>79</v>
      </c>
      <c r="B5289" s="14">
        <v>38534</v>
      </c>
      <c r="D5289" s="2">
        <v>0</v>
      </c>
      <c r="E5289" s="2">
        <v>1</v>
      </c>
      <c r="G5289" s="2">
        <v>2</v>
      </c>
    </row>
    <row r="5290" spans="1:7" x14ac:dyDescent="0.2">
      <c r="A5290" s="2" t="s">
        <v>79</v>
      </c>
      <c r="B5290" s="14">
        <v>38565</v>
      </c>
      <c r="C5290" s="2">
        <v>-2.8598552425E-2</v>
      </c>
      <c r="D5290" s="2">
        <v>0</v>
      </c>
      <c r="E5290" s="2">
        <v>1</v>
      </c>
      <c r="G5290" s="2">
        <v>2</v>
      </c>
    </row>
    <row r="5291" spans="1:7" x14ac:dyDescent="0.2">
      <c r="A5291" s="2" t="s">
        <v>79</v>
      </c>
      <c r="B5291" s="14">
        <v>38596</v>
      </c>
      <c r="D5291" s="2">
        <v>0</v>
      </c>
      <c r="E5291" s="2">
        <v>1</v>
      </c>
      <c r="F5291" s="2">
        <v>1.88253012261425E-2</v>
      </c>
      <c r="G5291" s="2">
        <v>2</v>
      </c>
    </row>
    <row r="5292" spans="1:7" x14ac:dyDescent="0.2">
      <c r="A5292" s="2" t="s">
        <v>79</v>
      </c>
      <c r="B5292" s="14">
        <v>38626</v>
      </c>
      <c r="D5292" s="2">
        <v>0</v>
      </c>
      <c r="E5292" s="2">
        <v>1</v>
      </c>
      <c r="G5292" s="2">
        <v>2</v>
      </c>
    </row>
    <row r="5293" spans="1:7" x14ac:dyDescent="0.2">
      <c r="A5293" s="2" t="s">
        <v>79</v>
      </c>
      <c r="B5293" s="14">
        <v>38657</v>
      </c>
      <c r="C5293" s="2">
        <v>-6.8965517241000002E-2</v>
      </c>
      <c r="D5293" s="2">
        <v>0</v>
      </c>
      <c r="E5293" s="2">
        <v>1</v>
      </c>
      <c r="G5293" s="2">
        <v>2</v>
      </c>
    </row>
    <row r="5294" spans="1:7" x14ac:dyDescent="0.2">
      <c r="A5294" s="2" t="s">
        <v>79</v>
      </c>
      <c r="B5294" s="14">
        <v>38687</v>
      </c>
      <c r="C5294" s="2">
        <v>-0.18518518518999999</v>
      </c>
      <c r="D5294" s="2">
        <v>0</v>
      </c>
      <c r="E5294" s="2">
        <v>1</v>
      </c>
      <c r="F5294" s="2">
        <v>1.30428966031446E-2</v>
      </c>
      <c r="G5294" s="2">
        <v>2</v>
      </c>
    </row>
    <row r="5295" spans="1:7" x14ac:dyDescent="0.2">
      <c r="A5295" s="2" t="s">
        <v>79</v>
      </c>
      <c r="B5295" s="14">
        <v>38718</v>
      </c>
      <c r="C5295" s="2">
        <v>-9.0909090908999998E-2</v>
      </c>
      <c r="D5295" s="2">
        <v>0</v>
      </c>
      <c r="E5295" s="2">
        <v>1</v>
      </c>
      <c r="F5295" s="2">
        <v>8.6462902888822298E-3</v>
      </c>
      <c r="G5295" s="2">
        <v>2</v>
      </c>
    </row>
    <row r="5296" spans="1:7" x14ac:dyDescent="0.2">
      <c r="A5296" s="2" t="s">
        <v>79</v>
      </c>
      <c r="B5296" s="14">
        <v>38749</v>
      </c>
      <c r="D5296" s="2">
        <v>0</v>
      </c>
      <c r="E5296" s="2">
        <v>1</v>
      </c>
      <c r="F5296" s="2">
        <v>6.3323425286273003E-3</v>
      </c>
      <c r="G5296" s="2">
        <v>2</v>
      </c>
    </row>
    <row r="5297" spans="1:7" x14ac:dyDescent="0.2">
      <c r="A5297" s="2" t="s">
        <v>79</v>
      </c>
      <c r="B5297" s="14">
        <v>38777</v>
      </c>
      <c r="D5297" s="2">
        <v>0</v>
      </c>
      <c r="E5297" s="2">
        <v>1</v>
      </c>
      <c r="G5297" s="2">
        <v>2</v>
      </c>
    </row>
    <row r="5298" spans="1:7" x14ac:dyDescent="0.2">
      <c r="A5298" s="2" t="s">
        <v>79</v>
      </c>
      <c r="B5298" s="14">
        <v>38808</v>
      </c>
      <c r="C5298" s="2">
        <v>-0.13397860416999999</v>
      </c>
      <c r="D5298" s="2">
        <v>0</v>
      </c>
      <c r="E5298" s="2">
        <v>1</v>
      </c>
      <c r="G5298" s="2">
        <v>2</v>
      </c>
    </row>
    <row r="5299" spans="1:7" x14ac:dyDescent="0.2">
      <c r="A5299" s="2" t="s">
        <v>79</v>
      </c>
      <c r="B5299" s="14">
        <v>38838</v>
      </c>
      <c r="C5299" s="2">
        <v>-9.9001693877999994E-2</v>
      </c>
      <c r="D5299" s="2">
        <v>0</v>
      </c>
      <c r="E5299" s="2">
        <v>1</v>
      </c>
      <c r="F5299" s="2">
        <v>3.8165892495312598E-3</v>
      </c>
      <c r="G5299" s="2">
        <v>2</v>
      </c>
    </row>
    <row r="5300" spans="1:7" x14ac:dyDescent="0.2">
      <c r="A5300" s="2" t="s">
        <v>79</v>
      </c>
      <c r="B5300" s="14">
        <v>38869</v>
      </c>
      <c r="C5300" s="2">
        <v>-6.6666666589000004E-4</v>
      </c>
      <c r="D5300" s="2">
        <v>0</v>
      </c>
      <c r="E5300" s="2">
        <v>1</v>
      </c>
      <c r="F5300" s="2">
        <v>2.4249623669523601E-3</v>
      </c>
      <c r="G5300" s="2">
        <v>2</v>
      </c>
    </row>
    <row r="5301" spans="1:7" x14ac:dyDescent="0.2">
      <c r="A5301" s="2" t="s">
        <v>79</v>
      </c>
      <c r="B5301" s="14">
        <v>38899</v>
      </c>
      <c r="C5301" s="2">
        <v>6.6711140788999995E-4</v>
      </c>
      <c r="D5301" s="2">
        <v>0</v>
      </c>
      <c r="E5301" s="2">
        <v>1</v>
      </c>
      <c r="F5301" s="2">
        <v>7.91166887176715E-3</v>
      </c>
      <c r="G5301" s="2">
        <v>2</v>
      </c>
    </row>
    <row r="5302" spans="1:7" x14ac:dyDescent="0.2">
      <c r="A5302" s="2" t="s">
        <v>79</v>
      </c>
      <c r="B5302" s="14">
        <v>38930</v>
      </c>
      <c r="C5302" s="2">
        <v>6.6666666668000002E-2</v>
      </c>
      <c r="D5302" s="2">
        <v>0</v>
      </c>
      <c r="E5302" s="2">
        <v>1</v>
      </c>
      <c r="F5302" s="2">
        <v>1.73653377523422E-2</v>
      </c>
      <c r="G5302" s="2">
        <v>2</v>
      </c>
    </row>
    <row r="5303" spans="1:7" x14ac:dyDescent="0.2">
      <c r="A5303" s="2" t="s">
        <v>79</v>
      </c>
      <c r="B5303" s="14">
        <v>38961</v>
      </c>
      <c r="D5303" s="2">
        <v>0</v>
      </c>
      <c r="E5303" s="2">
        <v>1</v>
      </c>
      <c r="F5303" s="2">
        <v>1.94527819140651E-2</v>
      </c>
      <c r="G5303" s="2">
        <v>2</v>
      </c>
    </row>
    <row r="5304" spans="1:7" x14ac:dyDescent="0.2">
      <c r="A5304" s="2" t="s">
        <v>79</v>
      </c>
      <c r="B5304" s="14">
        <v>38991</v>
      </c>
      <c r="D5304" s="2">
        <v>0</v>
      </c>
      <c r="E5304" s="2">
        <v>1</v>
      </c>
      <c r="G5304" s="2">
        <v>2</v>
      </c>
    </row>
    <row r="5305" spans="1:7" x14ac:dyDescent="0.2">
      <c r="A5305" s="2" t="s">
        <v>79</v>
      </c>
      <c r="B5305" s="14">
        <v>39022</v>
      </c>
      <c r="C5305" s="2">
        <v>0</v>
      </c>
      <c r="D5305" s="2">
        <v>0</v>
      </c>
      <c r="E5305" s="2">
        <v>1</v>
      </c>
      <c r="G5305" s="2">
        <v>2</v>
      </c>
    </row>
    <row r="5306" spans="1:7" x14ac:dyDescent="0.2">
      <c r="A5306" s="2" t="s">
        <v>79</v>
      </c>
      <c r="B5306" s="14">
        <v>39052</v>
      </c>
      <c r="C5306" s="2">
        <v>0</v>
      </c>
      <c r="D5306" s="2">
        <v>0</v>
      </c>
      <c r="E5306" s="2">
        <v>1</v>
      </c>
      <c r="F5306" s="2">
        <v>2.6239472800134899E-2</v>
      </c>
      <c r="G5306" s="2">
        <v>2</v>
      </c>
    </row>
    <row r="5307" spans="1:7" x14ac:dyDescent="0.2">
      <c r="A5307" s="2" t="s">
        <v>79</v>
      </c>
      <c r="B5307" s="14">
        <v>39083</v>
      </c>
      <c r="C5307" s="2">
        <v>0.125</v>
      </c>
      <c r="D5307" s="2">
        <v>0</v>
      </c>
      <c r="E5307" s="2">
        <v>1</v>
      </c>
      <c r="F5307" s="2">
        <v>2.5941194944653301E-2</v>
      </c>
      <c r="G5307" s="2">
        <v>2</v>
      </c>
    </row>
    <row r="5308" spans="1:7" x14ac:dyDescent="0.2">
      <c r="A5308" s="2" t="s">
        <v>79</v>
      </c>
      <c r="B5308" s="14">
        <v>39114</v>
      </c>
      <c r="D5308" s="2">
        <v>0</v>
      </c>
      <c r="E5308" s="2">
        <v>1</v>
      </c>
      <c r="F5308" s="2">
        <v>2.9539930361036099E-2</v>
      </c>
      <c r="G5308" s="2">
        <v>2</v>
      </c>
    </row>
    <row r="5309" spans="1:7" x14ac:dyDescent="0.2">
      <c r="A5309" s="2" t="s">
        <v>79</v>
      </c>
      <c r="B5309" s="14">
        <v>39142</v>
      </c>
      <c r="D5309" s="2">
        <v>0</v>
      </c>
      <c r="E5309" s="2">
        <v>1</v>
      </c>
      <c r="F5309" s="2">
        <v>2.76138786588223E-2</v>
      </c>
      <c r="G5309" s="2">
        <v>2</v>
      </c>
    </row>
    <row r="5310" spans="1:7" x14ac:dyDescent="0.2">
      <c r="A5310" s="2" t="s">
        <v>79</v>
      </c>
      <c r="B5310" s="14">
        <v>39173</v>
      </c>
      <c r="D5310" s="2">
        <v>0</v>
      </c>
      <c r="E5310" s="2">
        <v>1</v>
      </c>
      <c r="G5310" s="2">
        <v>2</v>
      </c>
    </row>
    <row r="5311" spans="1:7" x14ac:dyDescent="0.2">
      <c r="A5311" s="2" t="s">
        <v>79</v>
      </c>
      <c r="B5311" s="14">
        <v>39203</v>
      </c>
      <c r="C5311" s="2">
        <v>0.11111111110999999</v>
      </c>
      <c r="D5311" s="2">
        <v>0</v>
      </c>
      <c r="E5311" s="2">
        <v>1</v>
      </c>
      <c r="G5311" s="2">
        <v>2</v>
      </c>
    </row>
    <row r="5312" spans="1:7" x14ac:dyDescent="0.2">
      <c r="A5312" s="2" t="s">
        <v>79</v>
      </c>
      <c r="B5312" s="14">
        <v>39234</v>
      </c>
      <c r="C5312" s="2">
        <v>0.10999999999</v>
      </c>
      <c r="D5312" s="2">
        <v>0</v>
      </c>
      <c r="E5312" s="2">
        <v>1</v>
      </c>
      <c r="F5312" s="2">
        <v>3.0102217046092901E-2</v>
      </c>
      <c r="G5312" s="2">
        <v>2</v>
      </c>
    </row>
    <row r="5313" spans="1:7" x14ac:dyDescent="0.2">
      <c r="A5313" s="2" t="s">
        <v>79</v>
      </c>
      <c r="B5313" s="14">
        <v>39264</v>
      </c>
      <c r="C5313" s="2">
        <v>-3.1531531532000001E-2</v>
      </c>
      <c r="D5313" s="2">
        <v>0</v>
      </c>
      <c r="E5313" s="2">
        <v>1</v>
      </c>
      <c r="F5313" s="2">
        <v>3.3063932381194198E-2</v>
      </c>
      <c r="G5313" s="2">
        <v>2</v>
      </c>
    </row>
    <row r="5314" spans="1:7" x14ac:dyDescent="0.2">
      <c r="A5314" s="2" t="s">
        <v>79</v>
      </c>
      <c r="B5314" s="14">
        <v>39295</v>
      </c>
      <c r="C5314" s="2">
        <v>2.3255813954000001E-2</v>
      </c>
      <c r="D5314" s="2">
        <v>0</v>
      </c>
      <c r="E5314" s="2">
        <v>1</v>
      </c>
      <c r="F5314" s="2">
        <v>3.4424441160631002E-2</v>
      </c>
      <c r="G5314" s="2">
        <v>2</v>
      </c>
    </row>
    <row r="5315" spans="1:7" x14ac:dyDescent="0.2">
      <c r="A5315" s="2" t="s">
        <v>79</v>
      </c>
      <c r="B5315" s="14">
        <v>39326</v>
      </c>
      <c r="D5315" s="2">
        <v>0</v>
      </c>
      <c r="E5315" s="2">
        <v>1</v>
      </c>
      <c r="F5315" s="2">
        <v>3.5057456799435602E-2</v>
      </c>
      <c r="G5315" s="2">
        <v>2</v>
      </c>
    </row>
    <row r="5316" spans="1:7" x14ac:dyDescent="0.2">
      <c r="A5316" s="2" t="s">
        <v>79</v>
      </c>
      <c r="B5316" s="14">
        <v>39356</v>
      </c>
      <c r="C5316" s="2">
        <v>0.18181818182000001</v>
      </c>
      <c r="D5316" s="2">
        <v>0</v>
      </c>
      <c r="E5316" s="2">
        <v>1</v>
      </c>
      <c r="F5316" s="2">
        <v>3.5057456799435602E-2</v>
      </c>
      <c r="G5316" s="2">
        <v>2</v>
      </c>
    </row>
    <row r="5317" spans="1:7" x14ac:dyDescent="0.2">
      <c r="A5317" s="2" t="s">
        <v>79</v>
      </c>
      <c r="B5317" s="14">
        <v>39387</v>
      </c>
      <c r="C5317" s="2">
        <v>0</v>
      </c>
      <c r="D5317" s="2">
        <v>0</v>
      </c>
      <c r="E5317" s="2">
        <v>1</v>
      </c>
      <c r="F5317" s="2">
        <v>4.0145934844709102E-2</v>
      </c>
      <c r="G5317" s="2">
        <v>2</v>
      </c>
    </row>
    <row r="5318" spans="1:7" x14ac:dyDescent="0.2">
      <c r="A5318" s="2" t="s">
        <v>79</v>
      </c>
      <c r="B5318" s="14">
        <v>39417</v>
      </c>
      <c r="C5318" s="2">
        <v>-2.3846153846000001E-2</v>
      </c>
      <c r="D5318" s="2">
        <v>0</v>
      </c>
      <c r="E5318" s="2">
        <v>1</v>
      </c>
      <c r="F5318" s="2">
        <v>3.6935848674449101E-2</v>
      </c>
      <c r="G5318" s="2">
        <v>2</v>
      </c>
    </row>
    <row r="5319" spans="1:7" x14ac:dyDescent="0.2">
      <c r="A5319" s="2" t="s">
        <v>79</v>
      </c>
      <c r="B5319" s="14">
        <v>39448</v>
      </c>
      <c r="D5319" s="2">
        <v>0</v>
      </c>
      <c r="E5319" s="2">
        <v>1</v>
      </c>
      <c r="F5319" s="2">
        <v>3.3185463963608997E-2</v>
      </c>
      <c r="G5319" s="2">
        <v>2</v>
      </c>
    </row>
    <row r="5320" spans="1:7" x14ac:dyDescent="0.2">
      <c r="A5320" s="2" t="s">
        <v>79</v>
      </c>
      <c r="B5320" s="14">
        <v>39479</v>
      </c>
      <c r="C5320" s="2">
        <v>-3.0732860519999999E-2</v>
      </c>
      <c r="D5320" s="2">
        <v>0</v>
      </c>
      <c r="E5320" s="2">
        <v>1</v>
      </c>
      <c r="G5320" s="2">
        <v>2</v>
      </c>
    </row>
    <row r="5321" spans="1:7" x14ac:dyDescent="0.2">
      <c r="A5321" s="2" t="s">
        <v>79</v>
      </c>
      <c r="B5321" s="14">
        <v>39508</v>
      </c>
      <c r="C5321" s="2">
        <v>-8.9430894309000003E-2</v>
      </c>
      <c r="D5321" s="2">
        <v>0</v>
      </c>
      <c r="E5321" s="2">
        <v>1</v>
      </c>
      <c r="F5321" s="2">
        <v>3.2634152990697302E-2</v>
      </c>
      <c r="G5321" s="2">
        <v>2</v>
      </c>
    </row>
    <row r="5322" spans="1:7" x14ac:dyDescent="0.2">
      <c r="A5322" s="2" t="s">
        <v>79</v>
      </c>
      <c r="B5322" s="14">
        <v>39539</v>
      </c>
      <c r="C5322" s="2">
        <v>-1.7857142858E-2</v>
      </c>
      <c r="D5322" s="2">
        <v>0</v>
      </c>
      <c r="E5322" s="2">
        <v>1</v>
      </c>
      <c r="F5322" s="2">
        <v>3.0386853774751699E-2</v>
      </c>
      <c r="G5322" s="2">
        <v>2</v>
      </c>
    </row>
    <row r="5323" spans="1:7" x14ac:dyDescent="0.2">
      <c r="A5323" s="2" t="s">
        <v>79</v>
      </c>
      <c r="B5323" s="14">
        <v>39569</v>
      </c>
      <c r="D5323" s="2">
        <v>0</v>
      </c>
      <c r="E5323" s="2">
        <v>1</v>
      </c>
      <c r="F5323" s="2">
        <v>2.45885433980641E-2</v>
      </c>
      <c r="G5323" s="2">
        <v>2</v>
      </c>
    </row>
    <row r="5324" spans="1:7" x14ac:dyDescent="0.2">
      <c r="A5324" s="2" t="s">
        <v>79</v>
      </c>
      <c r="B5324" s="14">
        <v>39600</v>
      </c>
      <c r="D5324" s="2">
        <v>0</v>
      </c>
      <c r="E5324" s="2">
        <v>1</v>
      </c>
      <c r="G5324" s="2">
        <v>2</v>
      </c>
    </row>
    <row r="5325" spans="1:7" x14ac:dyDescent="0.2">
      <c r="A5325" s="2" t="s">
        <v>79</v>
      </c>
      <c r="B5325" s="14">
        <v>39630</v>
      </c>
      <c r="C5325" s="2">
        <v>7.1012347543999996E-3</v>
      </c>
      <c r="D5325" s="2">
        <v>0</v>
      </c>
      <c r="E5325" s="2">
        <v>1</v>
      </c>
      <c r="G5325" s="2">
        <v>2</v>
      </c>
    </row>
    <row r="5326" spans="1:7" x14ac:dyDescent="0.2">
      <c r="A5326" s="2" t="s">
        <v>79</v>
      </c>
      <c r="B5326" s="14">
        <v>39661</v>
      </c>
      <c r="D5326" s="2">
        <v>0</v>
      </c>
      <c r="E5326" s="2">
        <v>1</v>
      </c>
      <c r="F5326" s="2">
        <v>1.82206772269401E-2</v>
      </c>
      <c r="G5326" s="2">
        <v>2</v>
      </c>
    </row>
    <row r="5327" spans="1:7" x14ac:dyDescent="0.2">
      <c r="A5327" s="2" t="s">
        <v>79</v>
      </c>
      <c r="B5327" s="14">
        <v>39692</v>
      </c>
      <c r="D5327" s="2">
        <v>4.2209757000000002E-4</v>
      </c>
      <c r="E5327" s="2">
        <v>1</v>
      </c>
      <c r="G5327" s="2">
        <v>2</v>
      </c>
    </row>
    <row r="5328" spans="1:7" x14ac:dyDescent="0.2">
      <c r="A5328" s="2" t="s">
        <v>79</v>
      </c>
      <c r="B5328" s="14">
        <v>39722</v>
      </c>
      <c r="D5328" s="2">
        <v>0</v>
      </c>
      <c r="E5328" s="2">
        <v>1</v>
      </c>
      <c r="G5328" s="2">
        <v>2</v>
      </c>
    </row>
    <row r="5329" spans="1:7" x14ac:dyDescent="0.2">
      <c r="A5329" s="2" t="s">
        <v>79</v>
      </c>
      <c r="B5329" s="14">
        <v>39753</v>
      </c>
      <c r="D5329" s="2">
        <v>0</v>
      </c>
      <c r="E5329" s="2">
        <v>1</v>
      </c>
      <c r="G5329" s="2">
        <v>2</v>
      </c>
    </row>
    <row r="5330" spans="1:7" x14ac:dyDescent="0.2">
      <c r="A5330" s="2" t="s">
        <v>79</v>
      </c>
      <c r="B5330" s="14">
        <v>39783</v>
      </c>
      <c r="C5330" s="2">
        <v>-0.52558628331000001</v>
      </c>
      <c r="D5330" s="2">
        <v>0</v>
      </c>
      <c r="E5330" s="2">
        <v>1</v>
      </c>
      <c r="G5330" s="2">
        <v>2</v>
      </c>
    </row>
    <row r="5331" spans="1:7" x14ac:dyDescent="0.2">
      <c r="A5331" s="2" t="s">
        <v>80</v>
      </c>
      <c r="B5331" s="14">
        <v>37591</v>
      </c>
      <c r="C5331" s="2">
        <v>0.16949152542000001</v>
      </c>
      <c r="D5331" s="19">
        <v>1.2770666E-5</v>
      </c>
      <c r="E5331" s="2">
        <v>1</v>
      </c>
      <c r="G5331" s="2">
        <v>2</v>
      </c>
    </row>
    <row r="5332" spans="1:7" x14ac:dyDescent="0.2">
      <c r="A5332" s="2" t="s">
        <v>80</v>
      </c>
      <c r="B5332" s="14">
        <v>37622</v>
      </c>
      <c r="C5332" s="2">
        <v>1.4492753624E-2</v>
      </c>
      <c r="D5332" s="2">
        <v>5.4772996000000001E-4</v>
      </c>
      <c r="E5332" s="2">
        <v>1</v>
      </c>
      <c r="G5332" s="2">
        <v>2</v>
      </c>
    </row>
    <row r="5333" spans="1:7" x14ac:dyDescent="0.2">
      <c r="A5333" s="2" t="s">
        <v>80</v>
      </c>
      <c r="B5333" s="14">
        <v>37653</v>
      </c>
      <c r="C5333" s="2">
        <v>2.2857142856E-2</v>
      </c>
      <c r="D5333" s="2">
        <v>1.0149572E-4</v>
      </c>
      <c r="E5333" s="2">
        <v>1</v>
      </c>
      <c r="G5333" s="2">
        <v>2</v>
      </c>
    </row>
    <row r="5334" spans="1:7" x14ac:dyDescent="0.2">
      <c r="A5334" s="2" t="s">
        <v>80</v>
      </c>
      <c r="B5334" s="14">
        <v>37681</v>
      </c>
      <c r="C5334" s="2">
        <v>-5.5865921787999998E-2</v>
      </c>
      <c r="D5334" s="2">
        <v>5.6075810999999995E-4</v>
      </c>
      <c r="E5334" s="2">
        <v>1</v>
      </c>
      <c r="G5334" s="2">
        <v>2</v>
      </c>
    </row>
    <row r="5335" spans="1:7" x14ac:dyDescent="0.2">
      <c r="A5335" s="2" t="s">
        <v>80</v>
      </c>
      <c r="B5335" s="14">
        <v>37712</v>
      </c>
      <c r="C5335" s="2">
        <v>0.21301775147999999</v>
      </c>
      <c r="D5335" s="2">
        <v>-9.2614884000000001E-4</v>
      </c>
      <c r="E5335" s="2">
        <v>1</v>
      </c>
      <c r="G5335" s="2">
        <v>2</v>
      </c>
    </row>
    <row r="5336" spans="1:7" x14ac:dyDescent="0.2">
      <c r="A5336" s="2" t="s">
        <v>80</v>
      </c>
      <c r="B5336" s="14">
        <v>37742</v>
      </c>
      <c r="C5336" s="2">
        <v>4.8780487805000002E-2</v>
      </c>
      <c r="D5336" s="2">
        <v>8.8148250000000001E-4</v>
      </c>
      <c r="E5336" s="2">
        <v>1</v>
      </c>
      <c r="G5336" s="2">
        <v>2</v>
      </c>
    </row>
    <row r="5337" spans="1:7" x14ac:dyDescent="0.2">
      <c r="A5337" s="2" t="s">
        <v>80</v>
      </c>
      <c r="B5337" s="14">
        <v>37773</v>
      </c>
      <c r="C5337" s="2">
        <v>-5.7906962550000003E-2</v>
      </c>
      <c r="D5337" s="2">
        <v>1.2947643E-3</v>
      </c>
      <c r="E5337" s="2">
        <v>1</v>
      </c>
      <c r="G5337" s="2">
        <v>2</v>
      </c>
    </row>
    <row r="5338" spans="1:7" x14ac:dyDescent="0.2">
      <c r="A5338" s="2" t="s">
        <v>80</v>
      </c>
      <c r="B5338" s="14">
        <v>37803</v>
      </c>
      <c r="C5338" s="2">
        <v>0.11083681367000001</v>
      </c>
      <c r="D5338" s="2">
        <v>0</v>
      </c>
      <c r="E5338" s="2">
        <v>1</v>
      </c>
      <c r="G5338" s="2">
        <v>2</v>
      </c>
    </row>
    <row r="5339" spans="1:7" x14ac:dyDescent="0.2">
      <c r="A5339" s="2" t="s">
        <v>80</v>
      </c>
      <c r="B5339" s="14">
        <v>37834</v>
      </c>
      <c r="C5339" s="2">
        <v>5.5555555554999997E-2</v>
      </c>
      <c r="D5339" s="2">
        <v>0</v>
      </c>
      <c r="E5339" s="2">
        <v>1</v>
      </c>
      <c r="F5339" s="2">
        <v>4.4263955503332897E-2</v>
      </c>
      <c r="G5339" s="2">
        <v>2</v>
      </c>
    </row>
    <row r="5340" spans="1:7" x14ac:dyDescent="0.2">
      <c r="A5340" s="2" t="s">
        <v>80</v>
      </c>
      <c r="B5340" s="14">
        <v>37865</v>
      </c>
      <c r="C5340" s="2">
        <v>-2.1052631578000001E-2</v>
      </c>
      <c r="D5340" s="2">
        <v>-1.0066775E-4</v>
      </c>
      <c r="E5340" s="2">
        <v>1</v>
      </c>
      <c r="F5340" s="2">
        <v>4.4955216174629498E-2</v>
      </c>
      <c r="G5340" s="2">
        <v>2</v>
      </c>
    </row>
    <row r="5341" spans="1:7" x14ac:dyDescent="0.2">
      <c r="A5341" s="2" t="s">
        <v>80</v>
      </c>
      <c r="B5341" s="14">
        <v>37895</v>
      </c>
      <c r="C5341" s="2">
        <v>0.18494623656</v>
      </c>
      <c r="D5341" s="2">
        <v>-3.1532495999999998E-4</v>
      </c>
      <c r="E5341" s="2">
        <v>1</v>
      </c>
      <c r="F5341" s="2">
        <v>4.5954529712349097E-2</v>
      </c>
      <c r="G5341" s="2">
        <v>2</v>
      </c>
    </row>
    <row r="5342" spans="1:7" x14ac:dyDescent="0.2">
      <c r="A5342" s="2" t="s">
        <v>80</v>
      </c>
      <c r="B5342" s="14">
        <v>37926</v>
      </c>
      <c r="C5342" s="2">
        <v>3.6479128847999999E-3</v>
      </c>
      <c r="D5342" s="2">
        <v>8.2867168E-4</v>
      </c>
      <c r="E5342" s="2">
        <v>1</v>
      </c>
      <c r="F5342" s="2">
        <v>4.4902187580428098E-2</v>
      </c>
      <c r="G5342" s="2">
        <v>2</v>
      </c>
    </row>
    <row r="5343" spans="1:7" x14ac:dyDescent="0.2">
      <c r="A5343" s="2" t="s">
        <v>80</v>
      </c>
      <c r="B5343" s="14">
        <v>37956</v>
      </c>
      <c r="C5343" s="2">
        <v>-1.4484367372E-2</v>
      </c>
      <c r="D5343" s="19">
        <v>4.0444919999999998E-5</v>
      </c>
      <c r="E5343" s="2">
        <v>1</v>
      </c>
      <c r="F5343" s="2">
        <v>4.3522188309005498E-2</v>
      </c>
      <c r="G5343" s="2">
        <v>2</v>
      </c>
    </row>
    <row r="5344" spans="1:7" x14ac:dyDescent="0.2">
      <c r="A5344" s="2" t="s">
        <v>80</v>
      </c>
      <c r="B5344" s="14">
        <v>37987</v>
      </c>
      <c r="C5344" s="2">
        <v>-2.5184409416999998E-2</v>
      </c>
      <c r="E5344" s="2">
        <v>1</v>
      </c>
      <c r="F5344" s="2">
        <v>4.4766038280420598E-2</v>
      </c>
      <c r="G5344" s="2">
        <v>2</v>
      </c>
    </row>
    <row r="5345" spans="1:7" x14ac:dyDescent="0.2">
      <c r="A5345" s="2" t="s">
        <v>80</v>
      </c>
      <c r="B5345" s="14">
        <v>38018</v>
      </c>
      <c r="C5345" s="2">
        <v>0.11538461538</v>
      </c>
      <c r="E5345" s="2">
        <v>1</v>
      </c>
      <c r="F5345" s="2">
        <v>4.0978136150823401E-2</v>
      </c>
      <c r="G5345" s="2">
        <v>2</v>
      </c>
    </row>
    <row r="5346" spans="1:7" x14ac:dyDescent="0.2">
      <c r="A5346" s="2" t="s">
        <v>80</v>
      </c>
      <c r="B5346" s="14">
        <v>38047</v>
      </c>
      <c r="C5346" s="2">
        <v>-5.1724137931000003E-2</v>
      </c>
      <c r="D5346" s="2">
        <v>-9.0656261000000003E-4</v>
      </c>
      <c r="E5346" s="2">
        <v>1</v>
      </c>
      <c r="F5346" s="2">
        <v>4.2504383494973597E-2</v>
      </c>
      <c r="G5346" s="2">
        <v>2</v>
      </c>
    </row>
    <row r="5347" spans="1:7" x14ac:dyDescent="0.2">
      <c r="A5347" s="2" t="s">
        <v>80</v>
      </c>
      <c r="B5347" s="14">
        <v>38078</v>
      </c>
      <c r="C5347" s="2">
        <v>-3.6363636364000002E-2</v>
      </c>
      <c r="D5347" s="2">
        <v>-4.0517892000000002E-3</v>
      </c>
      <c r="E5347" s="2">
        <v>1</v>
      </c>
      <c r="F5347" s="2">
        <v>4.1731342726244E-2</v>
      </c>
      <c r="G5347" s="2">
        <v>2</v>
      </c>
    </row>
    <row r="5348" spans="1:7" x14ac:dyDescent="0.2">
      <c r="A5348" s="2" t="s">
        <v>80</v>
      </c>
      <c r="B5348" s="14">
        <v>38108</v>
      </c>
      <c r="C5348" s="2">
        <v>-1.9425391220000001E-2</v>
      </c>
      <c r="D5348" s="2">
        <v>-3.2304515999999998E-3</v>
      </c>
      <c r="E5348" s="2">
        <v>1</v>
      </c>
      <c r="F5348" s="2">
        <v>3.51602943126176E-2</v>
      </c>
      <c r="G5348" s="2">
        <v>2</v>
      </c>
    </row>
    <row r="5349" spans="1:7" x14ac:dyDescent="0.2">
      <c r="A5349" s="2" t="s">
        <v>80</v>
      </c>
      <c r="B5349" s="14">
        <v>38139</v>
      </c>
      <c r="C5349" s="2">
        <v>5.1606621227999999E-2</v>
      </c>
      <c r="D5349" s="2">
        <v>-3.2487727000000001E-4</v>
      </c>
      <c r="E5349" s="2">
        <v>1</v>
      </c>
      <c r="F5349" s="2">
        <v>3.45783817525585E-2</v>
      </c>
      <c r="G5349" s="2">
        <v>2</v>
      </c>
    </row>
    <row r="5350" spans="1:7" x14ac:dyDescent="0.2">
      <c r="A5350" s="2" t="s">
        <v>80</v>
      </c>
      <c r="B5350" s="14">
        <v>38169</v>
      </c>
      <c r="C5350" s="2">
        <v>2.7777777776999999E-2</v>
      </c>
      <c r="D5350" s="19">
        <v>4.6307440999999999E-6</v>
      </c>
      <c r="E5350" s="2">
        <v>1</v>
      </c>
      <c r="F5350" s="2">
        <v>3.6304593344759203E-2</v>
      </c>
      <c r="G5350" s="2">
        <v>2</v>
      </c>
    </row>
    <row r="5351" spans="1:7" x14ac:dyDescent="0.2">
      <c r="A5351" s="2" t="s">
        <v>80</v>
      </c>
      <c r="B5351" s="14">
        <v>38200</v>
      </c>
      <c r="C5351" s="2">
        <v>0.12612612611999999</v>
      </c>
      <c r="D5351" s="2">
        <v>-2.9853110999999999E-4</v>
      </c>
      <c r="E5351" s="2">
        <v>1</v>
      </c>
      <c r="F5351" s="2">
        <v>2.8626697061846298E-2</v>
      </c>
      <c r="G5351" s="2">
        <v>2</v>
      </c>
    </row>
    <row r="5352" spans="1:7" x14ac:dyDescent="0.2">
      <c r="A5352" s="2" t="s">
        <v>80</v>
      </c>
      <c r="B5352" s="14">
        <v>38231</v>
      </c>
      <c r="C5352" s="2">
        <v>0.104</v>
      </c>
      <c r="D5352" s="19">
        <v>-6.4182109999999997E-5</v>
      </c>
      <c r="E5352" s="2">
        <v>1</v>
      </c>
      <c r="F5352" s="2">
        <v>2.8774847427876501E-2</v>
      </c>
      <c r="G5352" s="2">
        <v>2</v>
      </c>
    </row>
    <row r="5353" spans="1:7" x14ac:dyDescent="0.2">
      <c r="A5353" s="2" t="s">
        <v>80</v>
      </c>
      <c r="B5353" s="14">
        <v>38261</v>
      </c>
      <c r="C5353" s="2">
        <v>2.8985507245999999E-2</v>
      </c>
      <c r="D5353" s="2">
        <v>-4.2597289000000002E-4</v>
      </c>
      <c r="E5353" s="2">
        <v>1</v>
      </c>
      <c r="F5353" s="2">
        <v>3.3070631593406501E-2</v>
      </c>
      <c r="G5353" s="2">
        <v>2</v>
      </c>
    </row>
    <row r="5354" spans="1:7" x14ac:dyDescent="0.2">
      <c r="A5354" s="2" t="s">
        <v>80</v>
      </c>
      <c r="B5354" s="14">
        <v>38292</v>
      </c>
      <c r="C5354" s="2">
        <v>-6.9014084510999997E-3</v>
      </c>
      <c r="D5354" s="19">
        <v>-9.2614879000000002E-5</v>
      </c>
      <c r="E5354" s="2">
        <v>1</v>
      </c>
      <c r="F5354" s="2">
        <v>3.4606731597227901E-2</v>
      </c>
      <c r="G5354" s="2">
        <v>2</v>
      </c>
    </row>
    <row r="5355" spans="1:7" x14ac:dyDescent="0.2">
      <c r="A5355" s="2" t="s">
        <v>80</v>
      </c>
      <c r="B5355" s="14">
        <v>38322</v>
      </c>
      <c r="C5355" s="2">
        <v>-7.2330165940000003E-3</v>
      </c>
      <c r="D5355" s="2">
        <v>0</v>
      </c>
      <c r="E5355" s="2">
        <v>1</v>
      </c>
      <c r="F5355" s="2">
        <v>3.4992199917964401E-2</v>
      </c>
      <c r="G5355" s="2">
        <v>2</v>
      </c>
    </row>
    <row r="5356" spans="1:7" x14ac:dyDescent="0.2">
      <c r="A5356" s="2" t="s">
        <v>80</v>
      </c>
      <c r="B5356" s="14">
        <v>38353</v>
      </c>
      <c r="C5356" s="2">
        <v>-3.5714285714000003E-2</v>
      </c>
      <c r="D5356" s="2">
        <v>0</v>
      </c>
      <c r="E5356" s="2">
        <v>1</v>
      </c>
      <c r="F5356" s="2">
        <v>3.330155207899E-2</v>
      </c>
      <c r="G5356" s="2">
        <v>2</v>
      </c>
    </row>
    <row r="5357" spans="1:7" x14ac:dyDescent="0.2">
      <c r="A5357" s="2" t="s">
        <v>80</v>
      </c>
      <c r="B5357" s="14">
        <v>38384</v>
      </c>
      <c r="C5357" s="2">
        <v>5.9259259257999998E-2</v>
      </c>
      <c r="D5357" s="2">
        <v>-2.4077275999999999E-4</v>
      </c>
      <c r="E5357" s="2">
        <v>1</v>
      </c>
      <c r="F5357" s="2">
        <v>3.1566066878808301E-2</v>
      </c>
      <c r="G5357" s="2">
        <v>2</v>
      </c>
    </row>
    <row r="5358" spans="1:7" x14ac:dyDescent="0.2">
      <c r="A5358" s="2" t="s">
        <v>80</v>
      </c>
      <c r="B5358" s="14">
        <v>38412</v>
      </c>
      <c r="C5358" s="2">
        <v>-6.9930069931000002E-3</v>
      </c>
      <c r="D5358" s="19">
        <v>6.4830418999999994E-5</v>
      </c>
      <c r="E5358" s="2">
        <v>1</v>
      </c>
      <c r="F5358" s="2">
        <v>2.9398972777665799E-2</v>
      </c>
      <c r="G5358" s="2">
        <v>2</v>
      </c>
    </row>
    <row r="5359" spans="1:7" x14ac:dyDescent="0.2">
      <c r="A5359" s="2" t="s">
        <v>80</v>
      </c>
      <c r="B5359" s="14">
        <v>38443</v>
      </c>
      <c r="C5359" s="2">
        <v>-5.6338028169E-2</v>
      </c>
      <c r="D5359" s="2">
        <v>0</v>
      </c>
      <c r="E5359" s="2">
        <v>1</v>
      </c>
      <c r="F5359" s="2">
        <v>2.6137079609535499E-2</v>
      </c>
      <c r="G5359" s="2">
        <v>2</v>
      </c>
    </row>
    <row r="5360" spans="1:7" x14ac:dyDescent="0.2">
      <c r="A5360" s="2" t="s">
        <v>80</v>
      </c>
      <c r="B5360" s="14">
        <v>38473</v>
      </c>
      <c r="C5360" s="2">
        <v>4.3912850778999998E-3</v>
      </c>
      <c r="D5360" s="2">
        <v>0</v>
      </c>
      <c r="E5360" s="2">
        <v>1</v>
      </c>
      <c r="F5360" s="2">
        <v>2.38474910884513E-2</v>
      </c>
      <c r="G5360" s="2">
        <v>2</v>
      </c>
    </row>
    <row r="5361" spans="1:7" x14ac:dyDescent="0.2">
      <c r="A5361" s="2" t="s">
        <v>80</v>
      </c>
      <c r="B5361" s="14">
        <v>38504</v>
      </c>
      <c r="C5361" s="2">
        <v>1.8027571581000001E-2</v>
      </c>
      <c r="D5361" s="19">
        <v>-1.3130012000000001E-5</v>
      </c>
      <c r="E5361" s="2">
        <v>1</v>
      </c>
      <c r="F5361" s="2">
        <v>2.4184906556340102E-2</v>
      </c>
      <c r="G5361" s="2">
        <v>2</v>
      </c>
    </row>
    <row r="5362" spans="1:7" x14ac:dyDescent="0.2">
      <c r="A5362" s="2" t="s">
        <v>80</v>
      </c>
      <c r="B5362" s="14">
        <v>38534</v>
      </c>
      <c r="C5362" s="2">
        <v>0.10863095238000001</v>
      </c>
      <c r="D5362" s="19">
        <v>5.0455662999999997E-5</v>
      </c>
      <c r="E5362" s="2">
        <v>1</v>
      </c>
      <c r="F5362" s="2">
        <v>2.4861137239098299E-2</v>
      </c>
      <c r="G5362" s="2">
        <v>2</v>
      </c>
    </row>
    <row r="5363" spans="1:7" x14ac:dyDescent="0.2">
      <c r="A5363" s="2" t="s">
        <v>80</v>
      </c>
      <c r="B5363" s="14">
        <v>38565</v>
      </c>
      <c r="C5363" s="2">
        <v>-5.3691275168999998E-2</v>
      </c>
      <c r="D5363" s="2">
        <v>2.1152498E-4</v>
      </c>
      <c r="E5363" s="2">
        <v>1</v>
      </c>
      <c r="F5363" s="2">
        <v>2.39150196116251E-2</v>
      </c>
      <c r="G5363" s="2">
        <v>2</v>
      </c>
    </row>
    <row r="5364" spans="1:7" x14ac:dyDescent="0.2">
      <c r="A5364" s="2" t="s">
        <v>80</v>
      </c>
      <c r="B5364" s="14">
        <v>38596</v>
      </c>
      <c r="C5364" s="2">
        <v>2.1276595746E-2</v>
      </c>
      <c r="D5364" s="2">
        <v>-5.7238869999999998E-4</v>
      </c>
      <c r="E5364" s="2">
        <v>1</v>
      </c>
      <c r="F5364" s="2">
        <v>2.0692767583126302E-2</v>
      </c>
      <c r="G5364" s="2">
        <v>2</v>
      </c>
    </row>
    <row r="5365" spans="1:7" x14ac:dyDescent="0.2">
      <c r="A5365" s="2" t="s">
        <v>80</v>
      </c>
      <c r="B5365" s="14">
        <v>38626</v>
      </c>
      <c r="C5365" s="2">
        <v>-4.1666666667000002E-2</v>
      </c>
      <c r="D5365" s="2">
        <v>4.5200413999999997E-4</v>
      </c>
      <c r="E5365" s="2">
        <v>1</v>
      </c>
      <c r="F5365" s="2">
        <v>2.1313942319861199E-2</v>
      </c>
      <c r="G5365" s="2">
        <v>2</v>
      </c>
    </row>
    <row r="5366" spans="1:7" x14ac:dyDescent="0.2">
      <c r="A5366" s="2" t="s">
        <v>80</v>
      </c>
      <c r="B5366" s="14">
        <v>38657</v>
      </c>
      <c r="C5366" s="2">
        <v>-5.7971014491999998E-2</v>
      </c>
      <c r="D5366" s="19">
        <v>2.3709410000000001E-6</v>
      </c>
      <c r="E5366" s="2">
        <v>1</v>
      </c>
      <c r="F5366" s="2">
        <v>2.1858887371261699E-2</v>
      </c>
      <c r="G5366" s="2">
        <v>2</v>
      </c>
    </row>
    <row r="5367" spans="1:7" x14ac:dyDescent="0.2">
      <c r="A5367" s="2" t="s">
        <v>80</v>
      </c>
      <c r="B5367" s="14">
        <v>38687</v>
      </c>
      <c r="C5367" s="2">
        <v>-0.10769230769</v>
      </c>
      <c r="D5367" s="19">
        <v>1.7568115999999999E-5</v>
      </c>
      <c r="E5367" s="2">
        <v>1</v>
      </c>
      <c r="F5367" s="2">
        <v>2.0246859281278302E-2</v>
      </c>
      <c r="G5367" s="2">
        <v>2</v>
      </c>
    </row>
    <row r="5368" spans="1:7" x14ac:dyDescent="0.2">
      <c r="A5368" s="2" t="s">
        <v>80</v>
      </c>
      <c r="B5368" s="14">
        <v>38718</v>
      </c>
      <c r="C5368" s="2">
        <v>8.6206896551000001E-2</v>
      </c>
      <c r="D5368" s="2">
        <v>1.0256078999999999E-4</v>
      </c>
      <c r="E5368" s="2">
        <v>1</v>
      </c>
      <c r="F5368" s="2">
        <v>1.70274058925922E-2</v>
      </c>
      <c r="G5368" s="2">
        <v>2</v>
      </c>
    </row>
    <row r="5369" spans="1:7" x14ac:dyDescent="0.2">
      <c r="A5369" s="2" t="s">
        <v>80</v>
      </c>
      <c r="B5369" s="14">
        <v>38749</v>
      </c>
      <c r="C5369" s="2">
        <v>3.3333333333000002E-2</v>
      </c>
      <c r="D5369" s="2">
        <v>3.2329818000000001E-4</v>
      </c>
      <c r="E5369" s="2">
        <v>1</v>
      </c>
      <c r="F5369" s="2">
        <v>1.6300512835225701E-2</v>
      </c>
      <c r="G5369" s="2">
        <v>2</v>
      </c>
    </row>
    <row r="5370" spans="1:7" x14ac:dyDescent="0.2">
      <c r="A5370" s="2" t="s">
        <v>80</v>
      </c>
      <c r="B5370" s="14">
        <v>38777</v>
      </c>
      <c r="C5370" s="2">
        <v>1.3824884791999999E-2</v>
      </c>
      <c r="D5370" s="19">
        <v>7.3697367000000007E-5</v>
      </c>
      <c r="E5370" s="2">
        <v>1</v>
      </c>
      <c r="F5370" s="2">
        <v>1.8705875789201399E-2</v>
      </c>
      <c r="G5370" s="2">
        <v>2</v>
      </c>
    </row>
    <row r="5371" spans="1:7" x14ac:dyDescent="0.2">
      <c r="A5371" s="2" t="s">
        <v>80</v>
      </c>
      <c r="B5371" s="14">
        <v>38808</v>
      </c>
      <c r="C5371" s="2">
        <v>-3.0303030302E-2</v>
      </c>
      <c r="D5371" s="19">
        <v>8.3107967000000001E-5</v>
      </c>
      <c r="E5371" s="2">
        <v>1</v>
      </c>
      <c r="F5371" s="2">
        <v>1.8463240985568299E-2</v>
      </c>
      <c r="G5371" s="2">
        <v>2</v>
      </c>
    </row>
    <row r="5372" spans="1:7" x14ac:dyDescent="0.2">
      <c r="A5372" s="2" t="s">
        <v>80</v>
      </c>
      <c r="B5372" s="14">
        <v>38838</v>
      </c>
      <c r="C5372" s="2">
        <v>-5.6713310994000003E-2</v>
      </c>
      <c r="D5372" s="2">
        <v>0</v>
      </c>
      <c r="E5372" s="2">
        <v>1</v>
      </c>
      <c r="F5372" s="2">
        <v>1.8831892873915099E-2</v>
      </c>
      <c r="G5372" s="2">
        <v>2</v>
      </c>
    </row>
    <row r="5373" spans="1:7" x14ac:dyDescent="0.2">
      <c r="A5373" s="2" t="s">
        <v>80</v>
      </c>
      <c r="B5373" s="14">
        <v>38869</v>
      </c>
      <c r="C5373" s="2">
        <v>3.3898305086000002E-2</v>
      </c>
      <c r="D5373" s="19">
        <v>7.8788405999999996E-5</v>
      </c>
      <c r="E5373" s="2">
        <v>1</v>
      </c>
      <c r="F5373" s="2">
        <v>1.9091727786333602E-2</v>
      </c>
      <c r="G5373" s="2">
        <v>2</v>
      </c>
    </row>
    <row r="5374" spans="1:7" x14ac:dyDescent="0.2">
      <c r="A5374" s="2" t="s">
        <v>80</v>
      </c>
      <c r="B5374" s="14">
        <v>38899</v>
      </c>
      <c r="C5374" s="2">
        <v>-3.1147540984000001E-2</v>
      </c>
      <c r="D5374" s="19">
        <v>3.6573616999999999E-6</v>
      </c>
      <c r="E5374" s="2">
        <v>1</v>
      </c>
      <c r="F5374" s="2">
        <v>2.3119573279875901E-2</v>
      </c>
      <c r="G5374" s="2">
        <v>2</v>
      </c>
    </row>
    <row r="5375" spans="1:7" x14ac:dyDescent="0.2">
      <c r="A5375" s="2" t="s">
        <v>80</v>
      </c>
      <c r="B5375" s="14">
        <v>38930</v>
      </c>
      <c r="C5375" s="2">
        <v>4.9069373941E-2</v>
      </c>
      <c r="D5375" s="19">
        <v>7.2656376000000004E-6</v>
      </c>
      <c r="E5375" s="2">
        <v>1</v>
      </c>
      <c r="F5375" s="2">
        <v>2.5451856008368998E-2</v>
      </c>
      <c r="G5375" s="2">
        <v>2</v>
      </c>
    </row>
    <row r="5376" spans="1:7" x14ac:dyDescent="0.2">
      <c r="A5376" s="2" t="s">
        <v>80</v>
      </c>
      <c r="B5376" s="14">
        <v>38961</v>
      </c>
      <c r="C5376" s="2">
        <v>9.6758064515999997E-2</v>
      </c>
      <c r="D5376" s="2">
        <v>2.9560818999999999E-4</v>
      </c>
      <c r="E5376" s="2">
        <v>1</v>
      </c>
      <c r="F5376" s="2">
        <v>2.5827232594478999E-2</v>
      </c>
      <c r="G5376" s="2">
        <v>2</v>
      </c>
    </row>
    <row r="5377" spans="1:7" x14ac:dyDescent="0.2">
      <c r="A5377" s="2" t="s">
        <v>80</v>
      </c>
      <c r="B5377" s="14">
        <v>38991</v>
      </c>
      <c r="C5377" s="2">
        <v>1.5603170634E-2</v>
      </c>
      <c r="D5377" s="2">
        <v>0</v>
      </c>
      <c r="E5377" s="2">
        <v>1</v>
      </c>
      <c r="F5377" s="2">
        <v>2.8150428989254898E-2</v>
      </c>
      <c r="G5377" s="2">
        <v>2</v>
      </c>
    </row>
    <row r="5378" spans="1:7" x14ac:dyDescent="0.2">
      <c r="A5378" s="2" t="s">
        <v>80</v>
      </c>
      <c r="B5378" s="14">
        <v>39022</v>
      </c>
      <c r="C5378" s="2">
        <v>5.1259774108999998E-2</v>
      </c>
      <c r="D5378" s="19">
        <v>6.4484963999999998E-5</v>
      </c>
      <c r="E5378" s="2">
        <v>1</v>
      </c>
      <c r="F5378" s="2">
        <v>2.9418923585237199E-2</v>
      </c>
      <c r="G5378" s="2">
        <v>2</v>
      </c>
    </row>
    <row r="5379" spans="1:7" x14ac:dyDescent="0.2">
      <c r="A5379" s="2" t="s">
        <v>80</v>
      </c>
      <c r="B5379" s="14">
        <v>39052</v>
      </c>
      <c r="C5379" s="2">
        <v>0.18455922864999999</v>
      </c>
      <c r="D5379" s="19">
        <v>4.7077072E-5</v>
      </c>
      <c r="E5379" s="2">
        <v>1</v>
      </c>
      <c r="F5379" s="2">
        <v>3.2388912758812297E-2</v>
      </c>
      <c r="G5379" s="2">
        <v>2</v>
      </c>
    </row>
    <row r="5380" spans="1:7" x14ac:dyDescent="0.2">
      <c r="A5380" s="2" t="s">
        <v>80</v>
      </c>
      <c r="B5380" s="14">
        <v>39083</v>
      </c>
      <c r="C5380" s="2">
        <v>-3.1384085861999998E-2</v>
      </c>
      <c r="D5380" s="2">
        <v>2.6182134999999998E-4</v>
      </c>
      <c r="E5380" s="2">
        <v>1</v>
      </c>
      <c r="F5380" s="2">
        <v>3.6463015312200801E-2</v>
      </c>
      <c r="G5380" s="2">
        <v>2</v>
      </c>
    </row>
    <row r="5381" spans="1:7" x14ac:dyDescent="0.2">
      <c r="A5381" s="2" t="s">
        <v>80</v>
      </c>
      <c r="B5381" s="14">
        <v>39114</v>
      </c>
      <c r="C5381" s="2">
        <v>-4.5618247298999999E-2</v>
      </c>
      <c r="D5381" s="19">
        <v>5.3623091E-5</v>
      </c>
      <c r="E5381" s="2">
        <v>1</v>
      </c>
      <c r="F5381" s="2">
        <v>3.6543591571511602E-2</v>
      </c>
      <c r="G5381" s="2">
        <v>2</v>
      </c>
    </row>
    <row r="5382" spans="1:7" x14ac:dyDescent="0.2">
      <c r="A5382" s="2" t="s">
        <v>80</v>
      </c>
      <c r="B5382" s="14">
        <v>39142</v>
      </c>
      <c r="C5382" s="2">
        <v>3.7735849054999999E-2</v>
      </c>
      <c r="D5382" s="2">
        <v>2.2671753E-4</v>
      </c>
      <c r="E5382" s="2">
        <v>1</v>
      </c>
      <c r="F5382" s="2">
        <v>3.3974204593715897E-2</v>
      </c>
      <c r="G5382" s="2">
        <v>2</v>
      </c>
    </row>
    <row r="5383" spans="1:7" x14ac:dyDescent="0.2">
      <c r="A5383" s="2" t="s">
        <v>80</v>
      </c>
      <c r="B5383" s="14">
        <v>39173</v>
      </c>
      <c r="C5383" s="2">
        <v>5.5575757577E-2</v>
      </c>
      <c r="D5383" s="2">
        <v>5.4180999999999999E-4</v>
      </c>
      <c r="E5383" s="2">
        <v>1</v>
      </c>
      <c r="F5383" s="2">
        <v>3.2187061307651699E-2</v>
      </c>
      <c r="G5383" s="2">
        <v>2</v>
      </c>
    </row>
    <row r="5384" spans="1:7" x14ac:dyDescent="0.2">
      <c r="A5384" s="2" t="s">
        <v>80</v>
      </c>
      <c r="B5384" s="14">
        <v>39203</v>
      </c>
      <c r="C5384" s="2">
        <v>1.1291458051E-2</v>
      </c>
      <c r="D5384" s="2">
        <v>0</v>
      </c>
      <c r="E5384" s="2">
        <v>1</v>
      </c>
      <c r="F5384" s="2">
        <v>3.3189594893824503E-2</v>
      </c>
      <c r="G5384" s="2">
        <v>2</v>
      </c>
    </row>
    <row r="5385" spans="1:7" x14ac:dyDescent="0.2">
      <c r="A5385" s="2" t="s">
        <v>80</v>
      </c>
      <c r="B5385" s="14">
        <v>39234</v>
      </c>
      <c r="C5385" s="2">
        <v>0.27167630057999997</v>
      </c>
      <c r="D5385" s="2">
        <v>0</v>
      </c>
      <c r="E5385" s="2">
        <v>1</v>
      </c>
      <c r="F5385" s="2">
        <v>3.1951824574597602E-2</v>
      </c>
      <c r="G5385" s="2">
        <v>2</v>
      </c>
    </row>
    <row r="5386" spans="1:7" x14ac:dyDescent="0.2">
      <c r="A5386" s="2" t="s">
        <v>80</v>
      </c>
      <c r="B5386" s="14">
        <v>39264</v>
      </c>
      <c r="C5386" s="2">
        <v>7.3378929420999994E-2</v>
      </c>
      <c r="D5386" s="2">
        <v>0</v>
      </c>
      <c r="E5386" s="2">
        <v>1</v>
      </c>
      <c r="F5386" s="2">
        <v>3.4481292901269701E-2</v>
      </c>
      <c r="G5386" s="2">
        <v>2</v>
      </c>
    </row>
    <row r="5387" spans="1:7" x14ac:dyDescent="0.2">
      <c r="A5387" s="2" t="s">
        <v>80</v>
      </c>
      <c r="B5387" s="14">
        <v>39295</v>
      </c>
      <c r="C5387" s="2">
        <v>-4.6808510639000003E-2</v>
      </c>
      <c r="D5387" s="2">
        <v>6.5710029000000001E-4</v>
      </c>
      <c r="E5387" s="2">
        <v>1</v>
      </c>
      <c r="F5387" s="2">
        <v>3.10316115058859E-2</v>
      </c>
      <c r="G5387" s="2">
        <v>2</v>
      </c>
    </row>
    <row r="5388" spans="1:7" x14ac:dyDescent="0.2">
      <c r="A5388" s="2" t="s">
        <v>80</v>
      </c>
      <c r="B5388" s="14">
        <v>39326</v>
      </c>
      <c r="C5388" s="2">
        <v>-3.5714285715000002E-2</v>
      </c>
      <c r="D5388" s="2">
        <v>-1.4343244000000001E-4</v>
      </c>
      <c r="E5388" s="2">
        <v>1</v>
      </c>
      <c r="F5388" s="2">
        <v>3.1211845071780101E-2</v>
      </c>
      <c r="G5388" s="2">
        <v>2</v>
      </c>
    </row>
    <row r="5389" spans="1:7" x14ac:dyDescent="0.2">
      <c r="A5389" s="2" t="s">
        <v>80</v>
      </c>
      <c r="B5389" s="14">
        <v>39356</v>
      </c>
      <c r="C5389" s="2">
        <v>2.7962962962000001E-2</v>
      </c>
      <c r="D5389" s="19">
        <v>-1.1663689E-5</v>
      </c>
      <c r="E5389" s="2">
        <v>1</v>
      </c>
      <c r="F5389" s="2">
        <v>2.92249579442031E-2</v>
      </c>
      <c r="G5389" s="2">
        <v>2</v>
      </c>
    </row>
    <row r="5390" spans="1:7" x14ac:dyDescent="0.2">
      <c r="A5390" s="2" t="s">
        <v>80</v>
      </c>
      <c r="B5390" s="14">
        <v>39387</v>
      </c>
      <c r="C5390" s="2">
        <v>-1.8014772104E-4</v>
      </c>
      <c r="D5390" s="2">
        <v>-3.7990429000000001E-4</v>
      </c>
      <c r="E5390" s="2">
        <v>1</v>
      </c>
      <c r="F5390" s="2">
        <v>2.8359255744002901E-2</v>
      </c>
      <c r="G5390" s="2">
        <v>2</v>
      </c>
    </row>
    <row r="5391" spans="1:7" x14ac:dyDescent="0.2">
      <c r="A5391" s="2" t="s">
        <v>80</v>
      </c>
      <c r="B5391" s="14">
        <v>39417</v>
      </c>
      <c r="C5391" s="2">
        <v>-8.0990990991000003E-2</v>
      </c>
      <c r="D5391" s="19">
        <v>8.7368462000000005E-5</v>
      </c>
      <c r="E5391" s="2">
        <v>1</v>
      </c>
      <c r="F5391" s="2">
        <v>2.80449560460223E-2</v>
      </c>
      <c r="G5391" s="2">
        <v>2</v>
      </c>
    </row>
    <row r="5392" spans="1:7" x14ac:dyDescent="0.2">
      <c r="A5392" s="2" t="s">
        <v>80</v>
      </c>
      <c r="B5392" s="14">
        <v>39448</v>
      </c>
      <c r="C5392" s="2">
        <v>-0.18144299579000001</v>
      </c>
      <c r="D5392" s="2">
        <v>1.914575E-4</v>
      </c>
      <c r="E5392" s="2">
        <v>1</v>
      </c>
      <c r="F5392" s="2">
        <v>1.79480121435465E-2</v>
      </c>
      <c r="G5392" s="2">
        <v>2</v>
      </c>
    </row>
    <row r="5393" spans="1:7" x14ac:dyDescent="0.2">
      <c r="A5393" s="2" t="s">
        <v>80</v>
      </c>
      <c r="B5393" s="14">
        <v>39479</v>
      </c>
      <c r="C5393" s="2">
        <v>0.15567478234000001</v>
      </c>
      <c r="D5393" s="2">
        <v>0</v>
      </c>
      <c r="E5393" s="2">
        <v>1</v>
      </c>
      <c r="F5393" s="2">
        <v>1.13476093232171E-2</v>
      </c>
      <c r="G5393" s="2">
        <v>2</v>
      </c>
    </row>
    <row r="5394" spans="1:7" x14ac:dyDescent="0.2">
      <c r="A5394" s="2" t="s">
        <v>80</v>
      </c>
      <c r="B5394" s="14">
        <v>39508</v>
      </c>
      <c r="C5394" s="2">
        <v>3.6269430051000001E-2</v>
      </c>
      <c r="D5394" s="2">
        <v>6.4706132999999997E-4</v>
      </c>
      <c r="E5394" s="2">
        <v>1</v>
      </c>
      <c r="F5394" s="2">
        <v>1.6989484699056201E-2</v>
      </c>
      <c r="G5394" s="2">
        <v>2</v>
      </c>
    </row>
    <row r="5395" spans="1:7" x14ac:dyDescent="0.2">
      <c r="A5395" s="2" t="s">
        <v>80</v>
      </c>
      <c r="B5395" s="14">
        <v>39539</v>
      </c>
      <c r="C5395" s="2">
        <v>3.0000000001000001E-2</v>
      </c>
      <c r="D5395" s="2">
        <v>4.4797655000000002E-4</v>
      </c>
      <c r="E5395" s="2">
        <v>1</v>
      </c>
      <c r="F5395" s="2">
        <v>1.8987812027685201E-2</v>
      </c>
      <c r="G5395" s="2">
        <v>2</v>
      </c>
    </row>
    <row r="5396" spans="1:7" x14ac:dyDescent="0.2">
      <c r="A5396" s="2" t="s">
        <v>80</v>
      </c>
      <c r="B5396" s="14">
        <v>39569</v>
      </c>
      <c r="C5396" s="2">
        <v>-2.3379741443999999E-2</v>
      </c>
      <c r="D5396" s="2">
        <v>4.0556354000000002E-4</v>
      </c>
      <c r="E5396" s="2">
        <v>1</v>
      </c>
      <c r="F5396" s="2">
        <v>1.8971822728976701E-2</v>
      </c>
      <c r="G5396" s="2">
        <v>2</v>
      </c>
    </row>
    <row r="5397" spans="1:7" x14ac:dyDescent="0.2">
      <c r="A5397" s="2" t="s">
        <v>80</v>
      </c>
      <c r="B5397" s="14">
        <v>39600</v>
      </c>
      <c r="C5397" s="2">
        <v>4.1601631601E-2</v>
      </c>
      <c r="D5397" s="2">
        <v>0</v>
      </c>
      <c r="E5397" s="2">
        <v>1</v>
      </c>
      <c r="F5397" s="2">
        <v>1.8472845485564202E-2</v>
      </c>
      <c r="G5397" s="2">
        <v>2</v>
      </c>
    </row>
    <row r="5398" spans="1:7" x14ac:dyDescent="0.2">
      <c r="A5398" s="2" t="s">
        <v>80</v>
      </c>
      <c r="B5398" s="14">
        <v>39630</v>
      </c>
      <c r="C5398" s="2">
        <v>-9.9900099848999999E-4</v>
      </c>
      <c r="D5398" s="19">
        <v>4.5501496E-5</v>
      </c>
      <c r="E5398" s="2">
        <v>1</v>
      </c>
      <c r="F5398" s="2">
        <v>2.1342030431344802E-2</v>
      </c>
      <c r="G5398" s="2">
        <v>2</v>
      </c>
    </row>
    <row r="5399" spans="1:7" x14ac:dyDescent="0.2">
      <c r="A5399" s="2" t="s">
        <v>80</v>
      </c>
      <c r="B5399" s="14">
        <v>39661</v>
      </c>
      <c r="C5399" s="2">
        <v>-2.0000000000999999E-2</v>
      </c>
      <c r="D5399" s="2">
        <v>3.2735695000000002E-3</v>
      </c>
      <c r="E5399" s="2">
        <v>1</v>
      </c>
      <c r="F5399" s="2">
        <v>2.7062072081232701E-2</v>
      </c>
      <c r="G5399" s="2">
        <v>2</v>
      </c>
    </row>
    <row r="5400" spans="1:7" x14ac:dyDescent="0.2">
      <c r="A5400" s="2" t="s">
        <v>80</v>
      </c>
      <c r="B5400" s="14">
        <v>39692</v>
      </c>
      <c r="C5400" s="2">
        <v>-5.6122448978999998E-2</v>
      </c>
      <c r="D5400" s="19">
        <v>2.6210537E-7</v>
      </c>
      <c r="E5400" s="2">
        <v>1</v>
      </c>
      <c r="F5400" s="2">
        <v>2.2016747969678799E-2</v>
      </c>
      <c r="G5400" s="2">
        <v>2</v>
      </c>
    </row>
    <row r="5401" spans="1:7" x14ac:dyDescent="0.2">
      <c r="A5401" s="2" t="s">
        <v>80</v>
      </c>
      <c r="B5401" s="14">
        <v>39722</v>
      </c>
      <c r="C5401" s="2">
        <v>-7.5675675676000004E-2</v>
      </c>
      <c r="D5401" s="19">
        <v>-8.7368461999999998E-6</v>
      </c>
      <c r="E5401" s="2">
        <v>1</v>
      </c>
      <c r="F5401" s="2">
        <v>1.94965009594667E-2</v>
      </c>
      <c r="G5401" s="2">
        <v>2</v>
      </c>
    </row>
    <row r="5402" spans="1:7" x14ac:dyDescent="0.2">
      <c r="A5402" s="2" t="s">
        <v>80</v>
      </c>
      <c r="B5402" s="14">
        <v>39753</v>
      </c>
      <c r="C5402" s="2">
        <v>8.1871345028E-3</v>
      </c>
      <c r="D5402" s="2">
        <v>0</v>
      </c>
      <c r="E5402" s="2">
        <v>1</v>
      </c>
      <c r="F5402" s="2">
        <v>1.6651786045921001E-2</v>
      </c>
      <c r="G5402" s="2">
        <v>2</v>
      </c>
    </row>
    <row r="5403" spans="1:7" x14ac:dyDescent="0.2">
      <c r="A5403" s="2" t="s">
        <v>80</v>
      </c>
      <c r="B5403" s="14">
        <v>39783</v>
      </c>
      <c r="C5403" s="2">
        <v>2.0881670533E-2</v>
      </c>
      <c r="D5403" s="2">
        <v>0</v>
      </c>
      <c r="E5403" s="2">
        <v>1</v>
      </c>
      <c r="F5403" s="2">
        <v>1.7548377311873999E-2</v>
      </c>
      <c r="G5403" s="2">
        <v>2</v>
      </c>
    </row>
    <row r="5404" spans="1:7" x14ac:dyDescent="0.2">
      <c r="A5404" s="2" t="s">
        <v>81</v>
      </c>
      <c r="B5404" s="14">
        <v>37591</v>
      </c>
      <c r="E5404" s="2">
        <v>1</v>
      </c>
      <c r="G5404" s="2">
        <v>2</v>
      </c>
    </row>
    <row r="5405" spans="1:7" x14ac:dyDescent="0.2">
      <c r="A5405" s="2" t="s">
        <v>81</v>
      </c>
      <c r="B5405" s="14">
        <v>37622</v>
      </c>
      <c r="E5405" s="2">
        <v>1</v>
      </c>
      <c r="G5405" s="2">
        <v>2</v>
      </c>
    </row>
    <row r="5406" spans="1:7" x14ac:dyDescent="0.2">
      <c r="A5406" s="2" t="s">
        <v>81</v>
      </c>
      <c r="B5406" s="14">
        <v>37653</v>
      </c>
      <c r="E5406" s="2">
        <v>1</v>
      </c>
      <c r="G5406" s="2">
        <v>2</v>
      </c>
    </row>
    <row r="5407" spans="1:7" x14ac:dyDescent="0.2">
      <c r="A5407" s="2" t="s">
        <v>81</v>
      </c>
      <c r="B5407" s="14">
        <v>37681</v>
      </c>
      <c r="E5407" s="2">
        <v>1</v>
      </c>
      <c r="G5407" s="2">
        <v>2</v>
      </c>
    </row>
    <row r="5408" spans="1:7" x14ac:dyDescent="0.2">
      <c r="A5408" s="2" t="s">
        <v>81</v>
      </c>
      <c r="B5408" s="14">
        <v>37712</v>
      </c>
      <c r="E5408" s="2">
        <v>1</v>
      </c>
      <c r="G5408" s="2">
        <v>2</v>
      </c>
    </row>
    <row r="5409" spans="1:7" x14ac:dyDescent="0.2">
      <c r="A5409" s="2" t="s">
        <v>81</v>
      </c>
      <c r="B5409" s="14">
        <v>37742</v>
      </c>
      <c r="E5409" s="2">
        <v>1</v>
      </c>
      <c r="G5409" s="2">
        <v>2</v>
      </c>
    </row>
    <row r="5410" spans="1:7" x14ac:dyDescent="0.2">
      <c r="A5410" s="2" t="s">
        <v>81</v>
      </c>
      <c r="B5410" s="14">
        <v>37773</v>
      </c>
      <c r="E5410" s="2">
        <v>1</v>
      </c>
      <c r="G5410" s="2">
        <v>2</v>
      </c>
    </row>
    <row r="5411" spans="1:7" x14ac:dyDescent="0.2">
      <c r="A5411" s="2" t="s">
        <v>81</v>
      </c>
      <c r="B5411" s="14">
        <v>37803</v>
      </c>
      <c r="E5411" s="2">
        <v>1</v>
      </c>
      <c r="G5411" s="2">
        <v>2</v>
      </c>
    </row>
    <row r="5412" spans="1:7" x14ac:dyDescent="0.2">
      <c r="A5412" s="2" t="s">
        <v>81</v>
      </c>
      <c r="B5412" s="14">
        <v>37834</v>
      </c>
      <c r="E5412" s="2">
        <v>1</v>
      </c>
      <c r="G5412" s="2">
        <v>2</v>
      </c>
    </row>
    <row r="5413" spans="1:7" x14ac:dyDescent="0.2">
      <c r="A5413" s="2" t="s">
        <v>81</v>
      </c>
      <c r="B5413" s="14">
        <v>37865</v>
      </c>
      <c r="E5413" s="2">
        <v>1</v>
      </c>
      <c r="G5413" s="2">
        <v>2</v>
      </c>
    </row>
    <row r="5414" spans="1:7" x14ac:dyDescent="0.2">
      <c r="A5414" s="2" t="s">
        <v>81</v>
      </c>
      <c r="B5414" s="14">
        <v>37895</v>
      </c>
      <c r="E5414" s="2">
        <v>1</v>
      </c>
      <c r="G5414" s="2">
        <v>2</v>
      </c>
    </row>
    <row r="5415" spans="1:7" x14ac:dyDescent="0.2">
      <c r="A5415" s="2" t="s">
        <v>81</v>
      </c>
      <c r="B5415" s="14">
        <v>37926</v>
      </c>
      <c r="E5415" s="2">
        <v>1</v>
      </c>
      <c r="G5415" s="2">
        <v>2</v>
      </c>
    </row>
    <row r="5416" spans="1:7" x14ac:dyDescent="0.2">
      <c r="A5416" s="2" t="s">
        <v>81</v>
      </c>
      <c r="B5416" s="14">
        <v>37956</v>
      </c>
      <c r="E5416" s="2">
        <v>1</v>
      </c>
      <c r="G5416" s="2">
        <v>2</v>
      </c>
    </row>
    <row r="5417" spans="1:7" x14ac:dyDescent="0.2">
      <c r="A5417" s="2" t="s">
        <v>81</v>
      </c>
      <c r="B5417" s="14">
        <v>37987</v>
      </c>
      <c r="E5417" s="2">
        <v>1</v>
      </c>
      <c r="G5417" s="2">
        <v>2</v>
      </c>
    </row>
    <row r="5418" spans="1:7" x14ac:dyDescent="0.2">
      <c r="A5418" s="2" t="s">
        <v>81</v>
      </c>
      <c r="B5418" s="14">
        <v>38018</v>
      </c>
      <c r="E5418" s="2">
        <v>1</v>
      </c>
      <c r="G5418" s="2">
        <v>2</v>
      </c>
    </row>
    <row r="5419" spans="1:7" x14ac:dyDescent="0.2">
      <c r="A5419" s="2" t="s">
        <v>81</v>
      </c>
      <c r="B5419" s="14">
        <v>38047</v>
      </c>
      <c r="E5419" s="2">
        <v>1</v>
      </c>
      <c r="G5419" s="2">
        <v>2</v>
      </c>
    </row>
    <row r="5420" spans="1:7" x14ac:dyDescent="0.2">
      <c r="A5420" s="2" t="s">
        <v>81</v>
      </c>
      <c r="B5420" s="14">
        <v>38078</v>
      </c>
      <c r="E5420" s="2">
        <v>1</v>
      </c>
      <c r="G5420" s="2">
        <v>2</v>
      </c>
    </row>
    <row r="5421" spans="1:7" x14ac:dyDescent="0.2">
      <c r="A5421" s="2" t="s">
        <v>81</v>
      </c>
      <c r="B5421" s="14">
        <v>38108</v>
      </c>
      <c r="E5421" s="2">
        <v>1</v>
      </c>
      <c r="G5421" s="2">
        <v>2</v>
      </c>
    </row>
    <row r="5422" spans="1:7" x14ac:dyDescent="0.2">
      <c r="A5422" s="2" t="s">
        <v>81</v>
      </c>
      <c r="B5422" s="14">
        <v>38139</v>
      </c>
      <c r="E5422" s="2">
        <v>1</v>
      </c>
      <c r="G5422" s="2">
        <v>2</v>
      </c>
    </row>
    <row r="5423" spans="1:7" x14ac:dyDescent="0.2">
      <c r="A5423" s="2" t="s">
        <v>81</v>
      </c>
      <c r="B5423" s="14">
        <v>38169</v>
      </c>
      <c r="E5423" s="2">
        <v>1</v>
      </c>
      <c r="G5423" s="2">
        <v>2</v>
      </c>
    </row>
    <row r="5424" spans="1:7" x14ac:dyDescent="0.2">
      <c r="A5424" s="2" t="s">
        <v>81</v>
      </c>
      <c r="B5424" s="14">
        <v>38200</v>
      </c>
      <c r="E5424" s="2">
        <v>1</v>
      </c>
      <c r="G5424" s="2">
        <v>2</v>
      </c>
    </row>
    <row r="5425" spans="1:7" x14ac:dyDescent="0.2">
      <c r="A5425" s="2" t="s">
        <v>81</v>
      </c>
      <c r="B5425" s="14">
        <v>38231</v>
      </c>
      <c r="E5425" s="2">
        <v>1</v>
      </c>
      <c r="G5425" s="2">
        <v>2</v>
      </c>
    </row>
    <row r="5426" spans="1:7" x14ac:dyDescent="0.2">
      <c r="A5426" s="2" t="s">
        <v>81</v>
      </c>
      <c r="B5426" s="14">
        <v>38261</v>
      </c>
      <c r="E5426" s="2">
        <v>1</v>
      </c>
      <c r="G5426" s="2">
        <v>2</v>
      </c>
    </row>
    <row r="5427" spans="1:7" x14ac:dyDescent="0.2">
      <c r="A5427" s="2" t="s">
        <v>81</v>
      </c>
      <c r="B5427" s="14">
        <v>38292</v>
      </c>
      <c r="E5427" s="2">
        <v>1</v>
      </c>
      <c r="G5427" s="2">
        <v>2</v>
      </c>
    </row>
    <row r="5428" spans="1:7" x14ac:dyDescent="0.2">
      <c r="A5428" s="2" t="s">
        <v>81</v>
      </c>
      <c r="B5428" s="14">
        <v>38322</v>
      </c>
      <c r="E5428" s="2">
        <v>1</v>
      </c>
      <c r="G5428" s="2">
        <v>2</v>
      </c>
    </row>
    <row r="5429" spans="1:7" x14ac:dyDescent="0.2">
      <c r="A5429" s="2" t="s">
        <v>81</v>
      </c>
      <c r="B5429" s="14">
        <v>38353</v>
      </c>
      <c r="E5429" s="2">
        <v>1</v>
      </c>
      <c r="G5429" s="2">
        <v>2</v>
      </c>
    </row>
    <row r="5430" spans="1:7" x14ac:dyDescent="0.2">
      <c r="A5430" s="2" t="s">
        <v>81</v>
      </c>
      <c r="B5430" s="14">
        <v>38384</v>
      </c>
      <c r="E5430" s="2">
        <v>1</v>
      </c>
      <c r="G5430" s="2">
        <v>2</v>
      </c>
    </row>
    <row r="5431" spans="1:7" x14ac:dyDescent="0.2">
      <c r="A5431" s="2" t="s">
        <v>81</v>
      </c>
      <c r="B5431" s="14">
        <v>38412</v>
      </c>
      <c r="E5431" s="2">
        <v>1</v>
      </c>
      <c r="G5431" s="2">
        <v>2</v>
      </c>
    </row>
    <row r="5432" spans="1:7" x14ac:dyDescent="0.2">
      <c r="A5432" s="2" t="s">
        <v>81</v>
      </c>
      <c r="B5432" s="14">
        <v>38443</v>
      </c>
      <c r="E5432" s="2">
        <v>1</v>
      </c>
      <c r="G5432" s="2">
        <v>2</v>
      </c>
    </row>
    <row r="5433" spans="1:7" x14ac:dyDescent="0.2">
      <c r="A5433" s="2" t="s">
        <v>81</v>
      </c>
      <c r="B5433" s="14">
        <v>38473</v>
      </c>
      <c r="E5433" s="2">
        <v>1</v>
      </c>
      <c r="G5433" s="2">
        <v>2</v>
      </c>
    </row>
    <row r="5434" spans="1:7" x14ac:dyDescent="0.2">
      <c r="A5434" s="2" t="s">
        <v>81</v>
      </c>
      <c r="B5434" s="14">
        <v>38504</v>
      </c>
      <c r="E5434" s="2">
        <v>1</v>
      </c>
      <c r="G5434" s="2">
        <v>2</v>
      </c>
    </row>
    <row r="5435" spans="1:7" x14ac:dyDescent="0.2">
      <c r="A5435" s="2" t="s">
        <v>81</v>
      </c>
      <c r="B5435" s="14">
        <v>38534</v>
      </c>
      <c r="E5435" s="2">
        <v>1</v>
      </c>
      <c r="G5435" s="2">
        <v>2</v>
      </c>
    </row>
    <row r="5436" spans="1:7" x14ac:dyDescent="0.2">
      <c r="A5436" s="2" t="s">
        <v>81</v>
      </c>
      <c r="B5436" s="14">
        <v>38565</v>
      </c>
      <c r="C5436" s="2">
        <v>-4.9273959341999997E-2</v>
      </c>
      <c r="D5436" s="2">
        <v>3.2511100000000002E-3</v>
      </c>
      <c r="E5436" s="2">
        <v>1</v>
      </c>
      <c r="G5436" s="2">
        <v>2</v>
      </c>
    </row>
    <row r="5437" spans="1:7" x14ac:dyDescent="0.2">
      <c r="A5437" s="2" t="s">
        <v>81</v>
      </c>
      <c r="B5437" s="14">
        <v>38596</v>
      </c>
      <c r="C5437" s="2">
        <v>3.4517869872E-2</v>
      </c>
      <c r="D5437" s="2">
        <v>3.1173776000000003E-4</v>
      </c>
      <c r="E5437" s="2">
        <v>1</v>
      </c>
      <c r="G5437" s="2">
        <v>2</v>
      </c>
    </row>
    <row r="5438" spans="1:7" x14ac:dyDescent="0.2">
      <c r="A5438" s="2" t="s">
        <v>81</v>
      </c>
      <c r="B5438" s="14">
        <v>38626</v>
      </c>
      <c r="C5438" s="2">
        <v>-4.1338582678000002E-2</v>
      </c>
      <c r="D5438" s="2">
        <v>-3.9205223E-4</v>
      </c>
      <c r="E5438" s="2">
        <v>1</v>
      </c>
      <c r="G5438" s="2">
        <v>2</v>
      </c>
    </row>
    <row r="5439" spans="1:7" x14ac:dyDescent="0.2">
      <c r="A5439" s="2" t="s">
        <v>81</v>
      </c>
      <c r="B5439" s="14">
        <v>38657</v>
      </c>
      <c r="C5439" s="2">
        <v>-3.5318275150000001E-3</v>
      </c>
      <c r="D5439" s="2">
        <v>1.0798954999999999E-3</v>
      </c>
      <c r="E5439" s="2">
        <v>1</v>
      </c>
      <c r="G5439" s="2">
        <v>2</v>
      </c>
    </row>
    <row r="5440" spans="1:7" x14ac:dyDescent="0.2">
      <c r="A5440" s="2" t="s">
        <v>81</v>
      </c>
      <c r="B5440" s="14">
        <v>38687</v>
      </c>
      <c r="C5440" s="2">
        <v>-7.2700296735000003E-2</v>
      </c>
      <c r="D5440" s="2">
        <v>1.3598805999999999E-3</v>
      </c>
      <c r="E5440" s="2">
        <v>1</v>
      </c>
      <c r="G5440" s="2">
        <v>2</v>
      </c>
    </row>
    <row r="5441" spans="1:7" x14ac:dyDescent="0.2">
      <c r="A5441" s="2" t="s">
        <v>81</v>
      </c>
      <c r="B5441" s="14">
        <v>38718</v>
      </c>
      <c r="C5441" s="2">
        <v>3.3822222222000001E-2</v>
      </c>
      <c r="D5441" s="2">
        <v>1.1448673E-3</v>
      </c>
      <c r="E5441" s="2">
        <v>1</v>
      </c>
      <c r="G5441" s="2">
        <v>2</v>
      </c>
    </row>
    <row r="5442" spans="1:7" x14ac:dyDescent="0.2">
      <c r="A5442" s="2" t="s">
        <v>81</v>
      </c>
      <c r="B5442" s="14">
        <v>38749</v>
      </c>
      <c r="C5442" s="2">
        <v>5.3265121877999998E-2</v>
      </c>
      <c r="D5442" s="2">
        <v>3.5780989999999999E-3</v>
      </c>
      <c r="E5442" s="2">
        <v>1</v>
      </c>
      <c r="G5442" s="2">
        <v>2</v>
      </c>
    </row>
    <row r="5443" spans="1:7" x14ac:dyDescent="0.2">
      <c r="A5443" s="2" t="s">
        <v>81</v>
      </c>
      <c r="B5443" s="14">
        <v>38777</v>
      </c>
      <c r="C5443" s="2">
        <v>2.3959183674E-2</v>
      </c>
      <c r="D5443" s="2">
        <v>1.9886289E-3</v>
      </c>
      <c r="E5443" s="2">
        <v>1</v>
      </c>
      <c r="G5443" s="2">
        <v>2</v>
      </c>
    </row>
    <row r="5444" spans="1:7" x14ac:dyDescent="0.2">
      <c r="A5444" s="2" t="s">
        <v>81</v>
      </c>
      <c r="B5444" s="14">
        <v>38808</v>
      </c>
      <c r="C5444" s="2">
        <v>5.8994698447000001E-3</v>
      </c>
      <c r="D5444" s="2">
        <v>5.4191556000000004E-3</v>
      </c>
      <c r="E5444" s="2">
        <v>1</v>
      </c>
      <c r="G5444" s="2">
        <v>2</v>
      </c>
    </row>
    <row r="5445" spans="1:7" x14ac:dyDescent="0.2">
      <c r="A5445" s="2" t="s">
        <v>81</v>
      </c>
      <c r="B5445" s="14">
        <v>38838</v>
      </c>
      <c r="C5445" s="2">
        <v>-3.1929041927000003E-2</v>
      </c>
      <c r="D5445" s="2">
        <v>1.2678455E-3</v>
      </c>
      <c r="E5445" s="2">
        <v>1</v>
      </c>
      <c r="G5445" s="2">
        <v>2</v>
      </c>
    </row>
    <row r="5446" spans="1:7" x14ac:dyDescent="0.2">
      <c r="A5446" s="2" t="s">
        <v>81</v>
      </c>
      <c r="B5446" s="14">
        <v>38869</v>
      </c>
      <c r="C5446" s="2">
        <v>-3.2963857412000003E-2</v>
      </c>
      <c r="D5446" s="2">
        <v>2.1781611000000001E-4</v>
      </c>
      <c r="E5446" s="2">
        <v>1</v>
      </c>
      <c r="G5446" s="2">
        <v>2</v>
      </c>
    </row>
    <row r="5447" spans="1:7" x14ac:dyDescent="0.2">
      <c r="A5447" s="2" t="s">
        <v>81</v>
      </c>
      <c r="B5447" s="14">
        <v>38899</v>
      </c>
      <c r="C5447" s="2">
        <v>-7.2998932765E-3</v>
      </c>
      <c r="D5447" s="2">
        <v>1.3042539000000001E-3</v>
      </c>
      <c r="E5447" s="2">
        <v>1</v>
      </c>
      <c r="G5447" s="2">
        <v>2</v>
      </c>
    </row>
    <row r="5448" spans="1:7" x14ac:dyDescent="0.2">
      <c r="A5448" s="2" t="s">
        <v>81</v>
      </c>
      <c r="B5448" s="14">
        <v>38930</v>
      </c>
      <c r="C5448" s="2">
        <v>7.2933688827000007E-2</v>
      </c>
      <c r="D5448" s="2">
        <v>2.3027244000000001E-3</v>
      </c>
      <c r="E5448" s="2">
        <v>1</v>
      </c>
      <c r="F5448" s="2">
        <v>1.1076522606836701E-2</v>
      </c>
      <c r="G5448" s="2">
        <v>2</v>
      </c>
    </row>
    <row r="5449" spans="1:7" x14ac:dyDescent="0.2">
      <c r="A5449" s="2" t="s">
        <v>81</v>
      </c>
      <c r="B5449" s="14">
        <v>38961</v>
      </c>
      <c r="C5449" s="2">
        <v>1.759519038E-2</v>
      </c>
      <c r="D5449" s="2">
        <v>1.2739606E-3</v>
      </c>
      <c r="E5449" s="2">
        <v>1</v>
      </c>
      <c r="F5449" s="2">
        <v>1.15560264619523E-2</v>
      </c>
      <c r="G5449" s="2">
        <v>2</v>
      </c>
    </row>
    <row r="5450" spans="1:7" x14ac:dyDescent="0.2">
      <c r="A5450" s="2" t="s">
        <v>81</v>
      </c>
      <c r="B5450" s="14">
        <v>38991</v>
      </c>
      <c r="C5450" s="2">
        <v>6.0990980346E-2</v>
      </c>
      <c r="D5450" s="2">
        <v>1.586025E-3</v>
      </c>
      <c r="E5450" s="2">
        <v>1</v>
      </c>
      <c r="F5450" s="2">
        <v>1.13162448818013E-2</v>
      </c>
      <c r="G5450" s="2">
        <v>2</v>
      </c>
    </row>
    <row r="5451" spans="1:7" x14ac:dyDescent="0.2">
      <c r="A5451" s="2" t="s">
        <v>81</v>
      </c>
      <c r="B5451" s="14">
        <v>39022</v>
      </c>
      <c r="C5451" s="2">
        <v>0.11172157772000001</v>
      </c>
      <c r="D5451" s="2">
        <v>-2.5202495000000002E-3</v>
      </c>
      <c r="E5451" s="2">
        <v>1</v>
      </c>
      <c r="F5451" s="2">
        <v>1.27899911753555E-2</v>
      </c>
      <c r="G5451" s="2">
        <v>2</v>
      </c>
    </row>
    <row r="5452" spans="1:7" x14ac:dyDescent="0.2">
      <c r="A5452" s="2" t="s">
        <v>81</v>
      </c>
      <c r="B5452" s="14">
        <v>39052</v>
      </c>
      <c r="C5452" s="2">
        <v>6.2326777306000003E-2</v>
      </c>
      <c r="D5452" s="2">
        <v>1.7098833E-3</v>
      </c>
      <c r="E5452" s="2">
        <v>1</v>
      </c>
      <c r="F5452" s="2">
        <v>1.6862618787152801E-2</v>
      </c>
      <c r="G5452" s="2">
        <v>2</v>
      </c>
    </row>
    <row r="5453" spans="1:7" x14ac:dyDescent="0.2">
      <c r="A5453" s="2" t="s">
        <v>81</v>
      </c>
      <c r="B5453" s="14">
        <v>39083</v>
      </c>
      <c r="C5453" s="2">
        <v>0.13197227591999999</v>
      </c>
      <c r="D5453" s="2">
        <v>-4.1663967999999996E-3</v>
      </c>
      <c r="E5453" s="2">
        <v>1</v>
      </c>
      <c r="F5453" s="2">
        <v>1.9331235451303799E-2</v>
      </c>
      <c r="G5453" s="2">
        <v>2</v>
      </c>
    </row>
    <row r="5454" spans="1:7" x14ac:dyDescent="0.2">
      <c r="A5454" s="2" t="s">
        <v>81</v>
      </c>
      <c r="B5454" s="14">
        <v>39114</v>
      </c>
      <c r="C5454" s="2">
        <v>-1.3717649671999999E-2</v>
      </c>
      <c r="D5454" s="2">
        <v>-1.2267611000000001E-3</v>
      </c>
      <c r="E5454" s="2">
        <v>1</v>
      </c>
      <c r="F5454" s="2">
        <v>2.3239316962662501E-2</v>
      </c>
      <c r="G5454" s="2">
        <v>2</v>
      </c>
    </row>
    <row r="5455" spans="1:7" x14ac:dyDescent="0.2">
      <c r="A5455" s="2" t="s">
        <v>81</v>
      </c>
      <c r="B5455" s="14">
        <v>39142</v>
      </c>
      <c r="C5455" s="2">
        <v>6.2841376202000004E-2</v>
      </c>
      <c r="D5455" s="2">
        <v>-1.2295634000000001E-3</v>
      </c>
      <c r="E5455" s="2">
        <v>1</v>
      </c>
      <c r="F5455" s="2">
        <v>2.08024220003333E-2</v>
      </c>
      <c r="G5455" s="2">
        <v>2</v>
      </c>
    </row>
    <row r="5456" spans="1:7" x14ac:dyDescent="0.2">
      <c r="A5456" s="2" t="s">
        <v>81</v>
      </c>
      <c r="B5456" s="14">
        <v>39173</v>
      </c>
      <c r="C5456" s="2">
        <v>-1.5695364238000001E-2</v>
      </c>
      <c r="D5456" s="19">
        <v>8.0116669999999996E-6</v>
      </c>
      <c r="E5456" s="2">
        <v>1</v>
      </c>
      <c r="F5456" s="2">
        <v>2.1981031890429398E-2</v>
      </c>
      <c r="G5456" s="2">
        <v>2</v>
      </c>
    </row>
    <row r="5457" spans="1:7" x14ac:dyDescent="0.2">
      <c r="A5457" s="2" t="s">
        <v>81</v>
      </c>
      <c r="B5457" s="14">
        <v>39203</v>
      </c>
      <c r="C5457" s="2">
        <v>3.7041803844E-2</v>
      </c>
      <c r="D5457" s="2">
        <v>-1.2941516000000001E-3</v>
      </c>
      <c r="E5457" s="2">
        <v>1</v>
      </c>
      <c r="F5457" s="2">
        <v>1.98283531168113E-2</v>
      </c>
      <c r="G5457" s="2">
        <v>2</v>
      </c>
    </row>
    <row r="5458" spans="1:7" x14ac:dyDescent="0.2">
      <c r="A5458" s="2" t="s">
        <v>81</v>
      </c>
      <c r="B5458" s="14">
        <v>39234</v>
      </c>
      <c r="C5458" s="2">
        <v>5.2562417858999996E-3</v>
      </c>
      <c r="D5458" s="2">
        <v>1.6443845E-3</v>
      </c>
      <c r="E5458" s="2">
        <v>1</v>
      </c>
      <c r="F5458" s="2">
        <v>1.7540778759753E-2</v>
      </c>
      <c r="G5458" s="2">
        <v>2</v>
      </c>
    </row>
    <row r="5459" spans="1:7" x14ac:dyDescent="0.2">
      <c r="A5459" s="2" t="s">
        <v>81</v>
      </c>
      <c r="B5459" s="14">
        <v>39264</v>
      </c>
      <c r="C5459" s="2">
        <v>-4.8627450979000002E-2</v>
      </c>
      <c r="D5459" s="2">
        <v>-5.4669886999999997E-4</v>
      </c>
      <c r="E5459" s="2">
        <v>1</v>
      </c>
      <c r="F5459" s="2">
        <v>1.5807677673074099E-2</v>
      </c>
      <c r="G5459" s="2">
        <v>2</v>
      </c>
    </row>
    <row r="5460" spans="1:7" x14ac:dyDescent="0.2">
      <c r="A5460" s="2" t="s">
        <v>81</v>
      </c>
      <c r="B5460" s="14">
        <v>39295</v>
      </c>
      <c r="C5460" s="2">
        <v>-3.1354767794000003E-2</v>
      </c>
      <c r="D5460" s="2">
        <v>8.1316836000000004E-4</v>
      </c>
      <c r="E5460" s="2">
        <v>1</v>
      </c>
      <c r="F5460" s="2">
        <v>6.4289593134281304E-3</v>
      </c>
      <c r="G5460" s="2">
        <v>2</v>
      </c>
    </row>
    <row r="5461" spans="1:7" x14ac:dyDescent="0.2">
      <c r="A5461" s="2" t="s">
        <v>81</v>
      </c>
      <c r="B5461" s="14">
        <v>39326</v>
      </c>
      <c r="C5461" s="2">
        <v>-0.11149252461</v>
      </c>
      <c r="D5461" s="2">
        <v>-1.6580283000000001E-3</v>
      </c>
      <c r="E5461" s="2">
        <v>1</v>
      </c>
      <c r="F5461" s="2">
        <v>6.0411476203481498E-3</v>
      </c>
      <c r="G5461" s="2">
        <v>2</v>
      </c>
    </row>
    <row r="5462" spans="1:7" x14ac:dyDescent="0.2">
      <c r="A5462" s="2" t="s">
        <v>81</v>
      </c>
      <c r="B5462" s="14">
        <v>39356</v>
      </c>
      <c r="C5462" s="2">
        <v>-1.4847217344E-2</v>
      </c>
      <c r="D5462" s="2">
        <v>-1.1631956000000001E-3</v>
      </c>
      <c r="E5462" s="2">
        <v>1</v>
      </c>
      <c r="F5462" s="2">
        <v>1.52866310238527E-3</v>
      </c>
      <c r="G5462" s="2">
        <v>2</v>
      </c>
    </row>
    <row r="5463" spans="1:7" x14ac:dyDescent="0.2">
      <c r="A5463" s="2" t="s">
        <v>81</v>
      </c>
      <c r="B5463" s="14">
        <v>39387</v>
      </c>
      <c r="C5463" s="2">
        <v>3.7142671938999998E-2</v>
      </c>
      <c r="D5463" s="2">
        <v>-5.3540833E-4</v>
      </c>
      <c r="E5463" s="2">
        <v>1</v>
      </c>
      <c r="F5463" s="2">
        <v>1.57738382752946E-3</v>
      </c>
      <c r="G5463" s="2">
        <v>2</v>
      </c>
    </row>
    <row r="5464" spans="1:7" x14ac:dyDescent="0.2">
      <c r="A5464" s="2" t="s">
        <v>81</v>
      </c>
      <c r="B5464" s="14">
        <v>39417</v>
      </c>
      <c r="C5464" s="2">
        <v>-0.13909800191999999</v>
      </c>
      <c r="D5464" s="2">
        <v>1.0626027E-2</v>
      </c>
      <c r="E5464" s="2">
        <v>1</v>
      </c>
      <c r="F5464" s="2">
        <v>1.37655988533452E-3</v>
      </c>
      <c r="G5464" s="2">
        <v>2</v>
      </c>
    </row>
    <row r="5465" spans="1:7" x14ac:dyDescent="0.2">
      <c r="A5465" s="2" t="s">
        <v>81</v>
      </c>
      <c r="B5465" s="14">
        <v>39448</v>
      </c>
      <c r="C5465" s="2">
        <v>-0.14829196812000001</v>
      </c>
      <c r="D5465" s="19">
        <v>-6.7508508000000003E-6</v>
      </c>
      <c r="E5465" s="2">
        <v>1</v>
      </c>
      <c r="F5465" s="2">
        <v>-2.4047343506100002E-3</v>
      </c>
      <c r="G5465" s="2">
        <v>2</v>
      </c>
    </row>
    <row r="5466" spans="1:7" x14ac:dyDescent="0.2">
      <c r="A5466" s="2" t="s">
        <v>81</v>
      </c>
      <c r="B5466" s="14">
        <v>39479</v>
      </c>
      <c r="C5466" s="2">
        <v>-1.0731413578999999E-2</v>
      </c>
      <c r="D5466" s="2">
        <v>1.0730246999999999E-3</v>
      </c>
      <c r="E5466" s="2">
        <v>1</v>
      </c>
      <c r="F5466" s="2">
        <v>-4.9987836076997401E-3</v>
      </c>
      <c r="G5466" s="2">
        <v>2</v>
      </c>
    </row>
    <row r="5467" spans="1:7" x14ac:dyDescent="0.2">
      <c r="A5467" s="2" t="s">
        <v>81</v>
      </c>
      <c r="B5467" s="14">
        <v>39508</v>
      </c>
      <c r="C5467" s="2">
        <v>-0.15</v>
      </c>
      <c r="D5467" s="2">
        <v>1.1566308999999999E-3</v>
      </c>
      <c r="E5467" s="2">
        <v>1</v>
      </c>
      <c r="F5467" s="2">
        <v>-4.3769843487285803E-3</v>
      </c>
      <c r="G5467" s="2">
        <v>2</v>
      </c>
    </row>
    <row r="5468" spans="1:7" x14ac:dyDescent="0.2">
      <c r="A5468" s="2" t="s">
        <v>81</v>
      </c>
      <c r="B5468" s="14">
        <v>39539</v>
      </c>
      <c r="C5468" s="2">
        <v>4.8491048593999997E-2</v>
      </c>
      <c r="D5468" s="2">
        <v>6.2580854000000002E-3</v>
      </c>
      <c r="E5468" s="2">
        <v>1</v>
      </c>
      <c r="F5468" s="2">
        <v>-5.1029542618237196E-3</v>
      </c>
      <c r="G5468" s="2">
        <v>2</v>
      </c>
    </row>
    <row r="5469" spans="1:7" x14ac:dyDescent="0.2">
      <c r="A5469" s="2" t="s">
        <v>81</v>
      </c>
      <c r="B5469" s="14">
        <v>39569</v>
      </c>
      <c r="C5469" s="2">
        <v>5.3629222136999999E-2</v>
      </c>
      <c r="D5469" s="2">
        <v>1.5199058000000001E-3</v>
      </c>
      <c r="E5469" s="2">
        <v>1</v>
      </c>
      <c r="F5469" s="2">
        <v>-3.28589890767792E-3</v>
      </c>
      <c r="G5469" s="2">
        <v>2</v>
      </c>
    </row>
    <row r="5470" spans="1:7" x14ac:dyDescent="0.2">
      <c r="A5470" s="2" t="s">
        <v>81</v>
      </c>
      <c r="B5470" s="14">
        <v>39600</v>
      </c>
      <c r="C5470" s="2">
        <v>-5.7381628567999998E-2</v>
      </c>
      <c r="D5470" s="2">
        <v>1.2016525000000001E-3</v>
      </c>
      <c r="E5470" s="2">
        <v>1</v>
      </c>
      <c r="F5470" s="2">
        <v>-2.8830091666703101E-3</v>
      </c>
      <c r="G5470" s="2">
        <v>2</v>
      </c>
    </row>
    <row r="5471" spans="1:7" x14ac:dyDescent="0.2">
      <c r="A5471" s="2" t="s">
        <v>81</v>
      </c>
      <c r="B5471" s="14">
        <v>39630</v>
      </c>
      <c r="C5471" s="2">
        <v>-0.12330526263</v>
      </c>
      <c r="D5471" s="2">
        <v>4.4896203E-4</v>
      </c>
      <c r="E5471" s="2">
        <v>1</v>
      </c>
      <c r="F5471" s="2">
        <v>-4.1441233970803402E-4</v>
      </c>
      <c r="G5471" s="2">
        <v>2</v>
      </c>
    </row>
    <row r="5472" spans="1:7" x14ac:dyDescent="0.2">
      <c r="A5472" s="2" t="s">
        <v>81</v>
      </c>
      <c r="B5472" s="14">
        <v>39661</v>
      </c>
      <c r="C5472" s="2">
        <v>-1.9718309858999999E-2</v>
      </c>
      <c r="D5472" s="2">
        <v>4.9399852000000003E-4</v>
      </c>
      <c r="E5472" s="2">
        <v>1</v>
      </c>
      <c r="F5472" s="2">
        <v>5.2810775729395997E-3</v>
      </c>
      <c r="G5472" s="2">
        <v>2</v>
      </c>
    </row>
    <row r="5473" spans="1:7" x14ac:dyDescent="0.2">
      <c r="A5473" s="2" t="s">
        <v>81</v>
      </c>
      <c r="B5473" s="14">
        <v>39692</v>
      </c>
      <c r="C5473" s="2">
        <v>-3.7327586207000003E-2</v>
      </c>
      <c r="D5473" s="2">
        <v>-1.7649295999999999E-3</v>
      </c>
      <c r="E5473" s="2">
        <v>1</v>
      </c>
      <c r="F5473" s="2">
        <v>5.0737801079084799E-3</v>
      </c>
      <c r="G5473" s="2">
        <v>2</v>
      </c>
    </row>
    <row r="5474" spans="1:7" x14ac:dyDescent="0.2">
      <c r="A5474" s="2" t="s">
        <v>81</v>
      </c>
      <c r="B5474" s="14">
        <v>39722</v>
      </c>
      <c r="C5474" s="2">
        <v>-0.23026178322999999</v>
      </c>
      <c r="D5474" s="2">
        <v>2.3599828000000001E-4</v>
      </c>
      <c r="E5474" s="2">
        <v>1</v>
      </c>
      <c r="F5474" s="2">
        <v>8.3756874865520796E-3</v>
      </c>
      <c r="G5474" s="2">
        <v>2</v>
      </c>
    </row>
    <row r="5475" spans="1:7" x14ac:dyDescent="0.2">
      <c r="A5475" s="2" t="s">
        <v>81</v>
      </c>
      <c r="B5475" s="14">
        <v>39753</v>
      </c>
      <c r="C5475" s="2">
        <v>0.10482025826999999</v>
      </c>
      <c r="D5475" s="2">
        <v>3.5405811000000003E-4</v>
      </c>
      <c r="E5475" s="2">
        <v>1</v>
      </c>
      <c r="F5475" s="2">
        <v>1.2077932681635701E-3</v>
      </c>
      <c r="G5475" s="2">
        <v>2</v>
      </c>
    </row>
    <row r="5476" spans="1:7" x14ac:dyDescent="0.2">
      <c r="A5476" s="2" t="s">
        <v>81</v>
      </c>
      <c r="B5476" s="14">
        <v>39783</v>
      </c>
      <c r="C5476" s="2">
        <v>-3.4749034748999999E-2</v>
      </c>
      <c r="D5476" s="2">
        <v>3.6554125999999998E-4</v>
      </c>
      <c r="E5476" s="2">
        <v>1</v>
      </c>
      <c r="F5476" s="2">
        <v>2.61878600735447E-3</v>
      </c>
      <c r="G5476" s="2">
        <v>2</v>
      </c>
    </row>
    <row r="5477" spans="1:7" x14ac:dyDescent="0.2">
      <c r="A5477" s="2" t="s">
        <v>82</v>
      </c>
      <c r="B5477" s="14">
        <v>37591</v>
      </c>
      <c r="E5477" s="2">
        <v>1</v>
      </c>
      <c r="G5477" s="2">
        <v>2</v>
      </c>
    </row>
    <row r="5478" spans="1:7" x14ac:dyDescent="0.2">
      <c r="A5478" s="2" t="s">
        <v>82</v>
      </c>
      <c r="B5478" s="14">
        <v>37622</v>
      </c>
      <c r="E5478" s="2">
        <v>1</v>
      </c>
      <c r="G5478" s="2">
        <v>2</v>
      </c>
    </row>
    <row r="5479" spans="1:7" x14ac:dyDescent="0.2">
      <c r="A5479" s="2" t="s">
        <v>82</v>
      </c>
      <c r="B5479" s="14">
        <v>37653</v>
      </c>
      <c r="E5479" s="2">
        <v>1</v>
      </c>
      <c r="G5479" s="2">
        <v>2</v>
      </c>
    </row>
    <row r="5480" spans="1:7" x14ac:dyDescent="0.2">
      <c r="A5480" s="2" t="s">
        <v>82</v>
      </c>
      <c r="B5480" s="14">
        <v>37681</v>
      </c>
      <c r="E5480" s="2">
        <v>1</v>
      </c>
      <c r="G5480" s="2">
        <v>2</v>
      </c>
    </row>
    <row r="5481" spans="1:7" x14ac:dyDescent="0.2">
      <c r="A5481" s="2" t="s">
        <v>82</v>
      </c>
      <c r="B5481" s="14">
        <v>37712</v>
      </c>
      <c r="E5481" s="2">
        <v>1</v>
      </c>
      <c r="G5481" s="2">
        <v>2</v>
      </c>
    </row>
    <row r="5482" spans="1:7" x14ac:dyDescent="0.2">
      <c r="A5482" s="2" t="s">
        <v>82</v>
      </c>
      <c r="B5482" s="14">
        <v>37742</v>
      </c>
      <c r="E5482" s="2">
        <v>1</v>
      </c>
      <c r="G5482" s="2">
        <v>2</v>
      </c>
    </row>
    <row r="5483" spans="1:7" x14ac:dyDescent="0.2">
      <c r="A5483" s="2" t="s">
        <v>82</v>
      </c>
      <c r="B5483" s="14">
        <v>37773</v>
      </c>
      <c r="E5483" s="2">
        <v>1</v>
      </c>
      <c r="G5483" s="2">
        <v>2</v>
      </c>
    </row>
    <row r="5484" spans="1:7" x14ac:dyDescent="0.2">
      <c r="A5484" s="2" t="s">
        <v>82</v>
      </c>
      <c r="B5484" s="14">
        <v>37803</v>
      </c>
      <c r="E5484" s="2">
        <v>1</v>
      </c>
      <c r="G5484" s="2">
        <v>2</v>
      </c>
    </row>
    <row r="5485" spans="1:7" x14ac:dyDescent="0.2">
      <c r="A5485" s="2" t="s">
        <v>82</v>
      </c>
      <c r="B5485" s="14">
        <v>37834</v>
      </c>
      <c r="E5485" s="2">
        <v>1</v>
      </c>
      <c r="G5485" s="2">
        <v>2</v>
      </c>
    </row>
    <row r="5486" spans="1:7" x14ac:dyDescent="0.2">
      <c r="A5486" s="2" t="s">
        <v>82</v>
      </c>
      <c r="B5486" s="14">
        <v>37865</v>
      </c>
      <c r="E5486" s="2">
        <v>1</v>
      </c>
      <c r="G5486" s="2">
        <v>2</v>
      </c>
    </row>
    <row r="5487" spans="1:7" x14ac:dyDescent="0.2">
      <c r="A5487" s="2" t="s">
        <v>82</v>
      </c>
      <c r="B5487" s="14">
        <v>37895</v>
      </c>
      <c r="E5487" s="2">
        <v>1</v>
      </c>
      <c r="G5487" s="2">
        <v>2</v>
      </c>
    </row>
    <row r="5488" spans="1:7" x14ac:dyDescent="0.2">
      <c r="A5488" s="2" t="s">
        <v>82</v>
      </c>
      <c r="B5488" s="14">
        <v>37926</v>
      </c>
      <c r="E5488" s="2">
        <v>1</v>
      </c>
      <c r="G5488" s="2">
        <v>2</v>
      </c>
    </row>
    <row r="5489" spans="1:7" x14ac:dyDescent="0.2">
      <c r="A5489" s="2" t="s">
        <v>82</v>
      </c>
      <c r="B5489" s="14">
        <v>37956</v>
      </c>
      <c r="E5489" s="2">
        <v>1</v>
      </c>
      <c r="G5489" s="2">
        <v>2</v>
      </c>
    </row>
    <row r="5490" spans="1:7" x14ac:dyDescent="0.2">
      <c r="A5490" s="2" t="s">
        <v>82</v>
      </c>
      <c r="B5490" s="14">
        <v>37987</v>
      </c>
      <c r="E5490" s="2">
        <v>1</v>
      </c>
      <c r="G5490" s="2">
        <v>2</v>
      </c>
    </row>
    <row r="5491" spans="1:7" x14ac:dyDescent="0.2">
      <c r="A5491" s="2" t="s">
        <v>82</v>
      </c>
      <c r="B5491" s="14">
        <v>38018</v>
      </c>
      <c r="E5491" s="2">
        <v>1</v>
      </c>
      <c r="G5491" s="2">
        <v>2</v>
      </c>
    </row>
    <row r="5492" spans="1:7" x14ac:dyDescent="0.2">
      <c r="A5492" s="2" t="s">
        <v>82</v>
      </c>
      <c r="B5492" s="14">
        <v>38047</v>
      </c>
      <c r="E5492" s="2">
        <v>1</v>
      </c>
      <c r="G5492" s="2">
        <v>2</v>
      </c>
    </row>
    <row r="5493" spans="1:7" x14ac:dyDescent="0.2">
      <c r="A5493" s="2" t="s">
        <v>82</v>
      </c>
      <c r="B5493" s="14">
        <v>38078</v>
      </c>
      <c r="E5493" s="2">
        <v>1</v>
      </c>
      <c r="G5493" s="2">
        <v>2</v>
      </c>
    </row>
    <row r="5494" spans="1:7" x14ac:dyDescent="0.2">
      <c r="A5494" s="2" t="s">
        <v>82</v>
      </c>
      <c r="B5494" s="14">
        <v>38108</v>
      </c>
      <c r="E5494" s="2">
        <v>1</v>
      </c>
      <c r="G5494" s="2">
        <v>2</v>
      </c>
    </row>
    <row r="5495" spans="1:7" x14ac:dyDescent="0.2">
      <c r="A5495" s="2" t="s">
        <v>82</v>
      </c>
      <c r="B5495" s="14">
        <v>38139</v>
      </c>
      <c r="E5495" s="2">
        <v>1</v>
      </c>
      <c r="G5495" s="2">
        <v>2</v>
      </c>
    </row>
    <row r="5496" spans="1:7" x14ac:dyDescent="0.2">
      <c r="A5496" s="2" t="s">
        <v>82</v>
      </c>
      <c r="B5496" s="14">
        <v>38169</v>
      </c>
      <c r="E5496" s="2">
        <v>1</v>
      </c>
      <c r="G5496" s="2">
        <v>2</v>
      </c>
    </row>
    <row r="5497" spans="1:7" x14ac:dyDescent="0.2">
      <c r="A5497" s="2" t="s">
        <v>82</v>
      </c>
      <c r="B5497" s="14">
        <v>38200</v>
      </c>
      <c r="E5497" s="2">
        <v>1</v>
      </c>
      <c r="G5497" s="2">
        <v>2</v>
      </c>
    </row>
    <row r="5498" spans="1:7" x14ac:dyDescent="0.2">
      <c r="A5498" s="2" t="s">
        <v>82</v>
      </c>
      <c r="B5498" s="14">
        <v>38231</v>
      </c>
      <c r="E5498" s="2">
        <v>1</v>
      </c>
      <c r="G5498" s="2">
        <v>2</v>
      </c>
    </row>
    <row r="5499" spans="1:7" x14ac:dyDescent="0.2">
      <c r="A5499" s="2" t="s">
        <v>82</v>
      </c>
      <c r="B5499" s="14">
        <v>38261</v>
      </c>
      <c r="E5499" s="2">
        <v>1</v>
      </c>
      <c r="G5499" s="2">
        <v>2</v>
      </c>
    </row>
    <row r="5500" spans="1:7" x14ac:dyDescent="0.2">
      <c r="A5500" s="2" t="s">
        <v>82</v>
      </c>
      <c r="B5500" s="14">
        <v>38292</v>
      </c>
      <c r="C5500" s="2">
        <v>-2.5000000001E-2</v>
      </c>
      <c r="D5500" s="2">
        <v>0</v>
      </c>
      <c r="E5500" s="2">
        <v>1</v>
      </c>
      <c r="G5500" s="2">
        <v>2</v>
      </c>
    </row>
    <row r="5501" spans="1:7" x14ac:dyDescent="0.2">
      <c r="A5501" s="2" t="s">
        <v>82</v>
      </c>
      <c r="B5501" s="14">
        <v>38322</v>
      </c>
      <c r="C5501" s="2">
        <v>3.2967032967000001E-2</v>
      </c>
      <c r="D5501" s="2">
        <v>0</v>
      </c>
      <c r="E5501" s="2">
        <v>1</v>
      </c>
      <c r="G5501" s="2">
        <v>2</v>
      </c>
    </row>
    <row r="5502" spans="1:7" x14ac:dyDescent="0.2">
      <c r="A5502" s="2" t="s">
        <v>82</v>
      </c>
      <c r="B5502" s="14">
        <v>38353</v>
      </c>
      <c r="C5502" s="2">
        <v>0</v>
      </c>
      <c r="D5502" s="2">
        <v>0</v>
      </c>
      <c r="E5502" s="2">
        <v>1</v>
      </c>
      <c r="G5502" s="2">
        <v>2</v>
      </c>
    </row>
    <row r="5503" spans="1:7" x14ac:dyDescent="0.2">
      <c r="A5503" s="2" t="s">
        <v>82</v>
      </c>
      <c r="B5503" s="14">
        <v>38384</v>
      </c>
      <c r="C5503" s="2">
        <v>3.5460992895E-3</v>
      </c>
      <c r="D5503" s="2">
        <v>0</v>
      </c>
      <c r="E5503" s="2">
        <v>1</v>
      </c>
      <c r="G5503" s="2">
        <v>2</v>
      </c>
    </row>
    <row r="5504" spans="1:7" x14ac:dyDescent="0.2">
      <c r="A5504" s="2" t="s">
        <v>82</v>
      </c>
      <c r="B5504" s="14">
        <v>38412</v>
      </c>
      <c r="C5504" s="2">
        <v>-1.0600706713000001E-2</v>
      </c>
      <c r="D5504" s="2">
        <v>0</v>
      </c>
      <c r="E5504" s="2">
        <v>1</v>
      </c>
      <c r="G5504" s="2">
        <v>2</v>
      </c>
    </row>
    <row r="5505" spans="1:7" x14ac:dyDescent="0.2">
      <c r="A5505" s="2" t="s">
        <v>82</v>
      </c>
      <c r="B5505" s="14">
        <v>38443</v>
      </c>
      <c r="C5505" s="2">
        <v>-3.5714285715000002E-2</v>
      </c>
      <c r="D5505" s="2">
        <v>0</v>
      </c>
      <c r="E5505" s="2">
        <v>1</v>
      </c>
      <c r="G5505" s="2">
        <v>2</v>
      </c>
    </row>
    <row r="5506" spans="1:7" x14ac:dyDescent="0.2">
      <c r="A5506" s="2" t="s">
        <v>82</v>
      </c>
      <c r="B5506" s="14">
        <v>38473</v>
      </c>
      <c r="C5506" s="2">
        <v>2.4710019419000001E-2</v>
      </c>
      <c r="D5506" s="2">
        <v>0</v>
      </c>
      <c r="E5506" s="2">
        <v>1</v>
      </c>
      <c r="G5506" s="2">
        <v>2</v>
      </c>
    </row>
    <row r="5507" spans="1:7" x14ac:dyDescent="0.2">
      <c r="A5507" s="2" t="s">
        <v>82</v>
      </c>
      <c r="B5507" s="14">
        <v>38504</v>
      </c>
      <c r="C5507" s="2">
        <v>-1.8554868338000002E-2</v>
      </c>
      <c r="D5507" s="2">
        <v>0</v>
      </c>
      <c r="E5507" s="2">
        <v>1</v>
      </c>
      <c r="G5507" s="2">
        <v>2</v>
      </c>
    </row>
    <row r="5508" spans="1:7" x14ac:dyDescent="0.2">
      <c r="A5508" s="2" t="s">
        <v>82</v>
      </c>
      <c r="B5508" s="14">
        <v>38534</v>
      </c>
      <c r="C5508" s="2">
        <v>3.7735849056999997E-2</v>
      </c>
      <c r="D5508" s="2">
        <v>0</v>
      </c>
      <c r="E5508" s="2">
        <v>1</v>
      </c>
      <c r="G5508" s="2">
        <v>2</v>
      </c>
    </row>
    <row r="5509" spans="1:7" x14ac:dyDescent="0.2">
      <c r="A5509" s="2" t="s">
        <v>82</v>
      </c>
      <c r="B5509" s="14">
        <v>38565</v>
      </c>
      <c r="C5509" s="2">
        <v>1.8181818180999999E-2</v>
      </c>
      <c r="D5509" s="2">
        <v>0</v>
      </c>
      <c r="E5509" s="2">
        <v>1</v>
      </c>
      <c r="F5509" s="2">
        <v>1.7597930661524399E-2</v>
      </c>
      <c r="G5509" s="2">
        <v>2</v>
      </c>
    </row>
    <row r="5510" spans="1:7" x14ac:dyDescent="0.2">
      <c r="A5510" s="2" t="s">
        <v>82</v>
      </c>
      <c r="B5510" s="14">
        <v>38596</v>
      </c>
      <c r="C5510" s="2">
        <v>7.1428571446000002E-3</v>
      </c>
      <c r="D5510" s="2">
        <v>0</v>
      </c>
      <c r="E5510" s="2">
        <v>1</v>
      </c>
      <c r="F5510" s="2">
        <v>1.79627833987306E-2</v>
      </c>
      <c r="G5510" s="2">
        <v>2</v>
      </c>
    </row>
    <row r="5511" spans="1:7" x14ac:dyDescent="0.2">
      <c r="A5511" s="2" t="s">
        <v>82</v>
      </c>
      <c r="B5511" s="14">
        <v>38626</v>
      </c>
      <c r="C5511" s="2">
        <v>-4.2553191490000003E-2</v>
      </c>
      <c r="D5511" s="2">
        <v>0</v>
      </c>
      <c r="E5511" s="2">
        <v>1</v>
      </c>
      <c r="F5511" s="2">
        <v>1.84356084071014E-2</v>
      </c>
      <c r="G5511" s="2">
        <v>2</v>
      </c>
    </row>
    <row r="5512" spans="1:7" x14ac:dyDescent="0.2">
      <c r="A5512" s="2" t="s">
        <v>82</v>
      </c>
      <c r="B5512" s="14">
        <v>38657</v>
      </c>
      <c r="C5512" s="19">
        <v>3.7037036235999998E-5</v>
      </c>
      <c r="D5512" s="2">
        <v>0</v>
      </c>
      <c r="E5512" s="2">
        <v>1</v>
      </c>
      <c r="F5512" s="2">
        <v>1.8382101117860501E-2</v>
      </c>
      <c r="G5512" s="2">
        <v>2</v>
      </c>
    </row>
    <row r="5513" spans="1:7" x14ac:dyDescent="0.2">
      <c r="A5513" s="2" t="s">
        <v>82</v>
      </c>
      <c r="B5513" s="14">
        <v>38687</v>
      </c>
      <c r="C5513" s="2">
        <v>-2.9665567939999998E-2</v>
      </c>
      <c r="D5513" s="2">
        <v>0</v>
      </c>
      <c r="E5513" s="2">
        <v>1</v>
      </c>
      <c r="F5513" s="2">
        <v>1.7648003199273499E-2</v>
      </c>
      <c r="G5513" s="2">
        <v>2</v>
      </c>
    </row>
    <row r="5514" spans="1:7" x14ac:dyDescent="0.2">
      <c r="A5514" s="2" t="s">
        <v>82</v>
      </c>
      <c r="B5514" s="14">
        <v>38718</v>
      </c>
      <c r="C5514" s="2">
        <v>3.8167938927999999E-3</v>
      </c>
      <c r="D5514" s="2">
        <v>0</v>
      </c>
      <c r="E5514" s="2">
        <v>1</v>
      </c>
      <c r="F5514" s="2">
        <v>1.73833280406227E-2</v>
      </c>
      <c r="G5514" s="2">
        <v>2</v>
      </c>
    </row>
    <row r="5515" spans="1:7" x14ac:dyDescent="0.2">
      <c r="A5515" s="2" t="s">
        <v>82</v>
      </c>
      <c r="B5515" s="14">
        <v>38749</v>
      </c>
      <c r="C5515" s="2">
        <v>8.3688212927999994E-2</v>
      </c>
      <c r="D5515" s="2">
        <v>0</v>
      </c>
      <c r="E5515" s="2">
        <v>1</v>
      </c>
      <c r="F5515" s="2">
        <v>1.6396178415352802E-2</v>
      </c>
      <c r="G5515" s="2">
        <v>2</v>
      </c>
    </row>
    <row r="5516" spans="1:7" x14ac:dyDescent="0.2">
      <c r="A5516" s="2" t="s">
        <v>82</v>
      </c>
      <c r="B5516" s="14">
        <v>38777</v>
      </c>
      <c r="C5516" s="2">
        <v>0.10964527559999999</v>
      </c>
      <c r="D5516" s="2">
        <v>0</v>
      </c>
      <c r="E5516" s="2">
        <v>1</v>
      </c>
      <c r="F5516" s="2">
        <v>1.8304874696754701E-2</v>
      </c>
      <c r="G5516" s="2">
        <v>2</v>
      </c>
    </row>
    <row r="5517" spans="1:7" x14ac:dyDescent="0.2">
      <c r="A5517" s="2" t="s">
        <v>82</v>
      </c>
      <c r="B5517" s="14">
        <v>38808</v>
      </c>
      <c r="C5517" s="2">
        <v>0.13833554670000001</v>
      </c>
      <c r="D5517" s="2">
        <v>0</v>
      </c>
      <c r="E5517" s="2">
        <v>1</v>
      </c>
      <c r="F5517" s="2">
        <v>2.1236705820887099E-2</v>
      </c>
      <c r="G5517" s="2">
        <v>2</v>
      </c>
    </row>
    <row r="5518" spans="1:7" x14ac:dyDescent="0.2">
      <c r="A5518" s="2" t="s">
        <v>82</v>
      </c>
      <c r="B5518" s="14">
        <v>38838</v>
      </c>
      <c r="C5518" s="2">
        <v>-1.8644698264999999E-2</v>
      </c>
      <c r="D5518" s="2">
        <v>0</v>
      </c>
      <c r="E5518" s="2">
        <v>1</v>
      </c>
      <c r="F5518" s="2">
        <v>2.6346742571833601E-2</v>
      </c>
      <c r="G5518" s="2">
        <v>2</v>
      </c>
    </row>
    <row r="5519" spans="1:7" x14ac:dyDescent="0.2">
      <c r="A5519" s="2" t="s">
        <v>82</v>
      </c>
      <c r="B5519" s="14">
        <v>38869</v>
      </c>
      <c r="C5519" s="2">
        <v>-2.8985507247000001E-2</v>
      </c>
      <c r="D5519" s="2">
        <v>0</v>
      </c>
      <c r="E5519" s="2">
        <v>1</v>
      </c>
      <c r="F5519" s="2">
        <v>2.5933677224320401E-2</v>
      </c>
      <c r="G5519" s="2">
        <v>2</v>
      </c>
    </row>
    <row r="5520" spans="1:7" x14ac:dyDescent="0.2">
      <c r="A5520" s="2" t="s">
        <v>82</v>
      </c>
      <c r="B5520" s="14">
        <v>38899</v>
      </c>
      <c r="C5520" s="2">
        <v>8.9522388061999997E-2</v>
      </c>
      <c r="D5520" s="2">
        <v>0</v>
      </c>
      <c r="E5520" s="2">
        <v>1</v>
      </c>
      <c r="F5520" s="2">
        <v>2.60347965582617E-2</v>
      </c>
      <c r="G5520" s="2">
        <v>2</v>
      </c>
    </row>
    <row r="5521" spans="1:7" x14ac:dyDescent="0.2">
      <c r="A5521" s="2" t="s">
        <v>82</v>
      </c>
      <c r="B5521" s="14">
        <v>38930</v>
      </c>
      <c r="C5521" s="19">
        <v>2.7398009479E-5</v>
      </c>
      <c r="D5521" s="2">
        <v>0</v>
      </c>
      <c r="E5521" s="2">
        <v>1</v>
      </c>
      <c r="F5521" s="2">
        <v>3.3041267702051902E-2</v>
      </c>
      <c r="G5521" s="2">
        <v>2</v>
      </c>
    </row>
    <row r="5522" spans="1:7" x14ac:dyDescent="0.2">
      <c r="A5522" s="2" t="s">
        <v>82</v>
      </c>
      <c r="B5522" s="14">
        <v>38961</v>
      </c>
      <c r="C5522" s="2">
        <v>2.7397260275000002E-2</v>
      </c>
      <c r="D5522" s="2">
        <v>0</v>
      </c>
      <c r="E5522" s="2">
        <v>1</v>
      </c>
      <c r="F5522" s="2">
        <v>3.06330645249926E-2</v>
      </c>
      <c r="G5522" s="2">
        <v>2</v>
      </c>
    </row>
    <row r="5523" spans="1:7" x14ac:dyDescent="0.2">
      <c r="A5523" s="2" t="s">
        <v>82</v>
      </c>
      <c r="B5523" s="14">
        <v>38991</v>
      </c>
      <c r="C5523" s="2">
        <v>0.12</v>
      </c>
      <c r="D5523" s="2">
        <v>0</v>
      </c>
      <c r="E5523" s="2">
        <v>1</v>
      </c>
      <c r="F5523" s="2">
        <v>2.8189987672247299E-2</v>
      </c>
      <c r="G5523" s="2">
        <v>2</v>
      </c>
    </row>
    <row r="5524" spans="1:7" x14ac:dyDescent="0.2">
      <c r="A5524" s="2" t="s">
        <v>82</v>
      </c>
      <c r="B5524" s="14">
        <v>39022</v>
      </c>
      <c r="C5524" s="2">
        <v>7.1428571428999998E-2</v>
      </c>
      <c r="D5524" s="2">
        <v>2.2143162E-4</v>
      </c>
      <c r="E5524" s="2">
        <v>1</v>
      </c>
      <c r="F5524" s="2">
        <v>2.7421330476438899E-2</v>
      </c>
      <c r="G5524" s="2">
        <v>2</v>
      </c>
    </row>
    <row r="5525" spans="1:7" x14ac:dyDescent="0.2">
      <c r="A5525" s="2" t="s">
        <v>82</v>
      </c>
      <c r="B5525" s="14">
        <v>39052</v>
      </c>
      <c r="C5525" s="2">
        <v>0</v>
      </c>
      <c r="D5525" s="2">
        <v>1.9198228000000001E-4</v>
      </c>
      <c r="E5525" s="2">
        <v>1</v>
      </c>
      <c r="F5525" s="2">
        <v>2.9849985108752902E-2</v>
      </c>
      <c r="G5525" s="2">
        <v>2</v>
      </c>
    </row>
    <row r="5526" spans="1:7" x14ac:dyDescent="0.2">
      <c r="A5526" s="2" t="s">
        <v>82</v>
      </c>
      <c r="B5526" s="14">
        <v>39083</v>
      </c>
      <c r="C5526" s="2">
        <v>0.28888888888999997</v>
      </c>
      <c r="D5526" s="2">
        <v>0</v>
      </c>
      <c r="E5526" s="2">
        <v>1</v>
      </c>
      <c r="F5526" s="2">
        <v>3.0634274947489701E-2</v>
      </c>
      <c r="G5526" s="2">
        <v>2</v>
      </c>
    </row>
    <row r="5527" spans="1:7" x14ac:dyDescent="0.2">
      <c r="A5527" s="2" t="s">
        <v>82</v>
      </c>
      <c r="B5527" s="14">
        <v>39114</v>
      </c>
      <c r="C5527" s="2">
        <v>-8.6206896558000002E-3</v>
      </c>
      <c r="D5527" s="2">
        <v>0</v>
      </c>
      <c r="E5527" s="2">
        <v>1</v>
      </c>
      <c r="F5527" s="2">
        <v>3.6375517556604099E-2</v>
      </c>
      <c r="G5527" s="2">
        <v>2</v>
      </c>
    </row>
    <row r="5528" spans="1:7" x14ac:dyDescent="0.2">
      <c r="A5528" s="2" t="s">
        <v>82</v>
      </c>
      <c r="B5528" s="14">
        <v>39142</v>
      </c>
      <c r="C5528" s="2">
        <v>0.21739130435000001</v>
      </c>
      <c r="D5528" s="2">
        <v>0</v>
      </c>
      <c r="E5528" s="2">
        <v>1</v>
      </c>
      <c r="F5528" s="2">
        <v>3.6201325793268499E-2</v>
      </c>
      <c r="G5528" s="2">
        <v>2</v>
      </c>
    </row>
    <row r="5529" spans="1:7" x14ac:dyDescent="0.2">
      <c r="A5529" s="2" t="s">
        <v>82</v>
      </c>
      <c r="B5529" s="14">
        <v>39173</v>
      </c>
      <c r="C5529" s="2">
        <v>0.21285714285999999</v>
      </c>
      <c r="D5529" s="2">
        <v>0</v>
      </c>
      <c r="E5529" s="2">
        <v>1</v>
      </c>
      <c r="F5529" s="2">
        <v>4.14206073405919E-2</v>
      </c>
      <c r="G5529" s="2">
        <v>2</v>
      </c>
    </row>
    <row r="5530" spans="1:7" x14ac:dyDescent="0.2">
      <c r="A5530" s="2" t="s">
        <v>82</v>
      </c>
      <c r="B5530" s="14">
        <v>39203</v>
      </c>
      <c r="C5530" s="2">
        <v>-5.9236957581999997E-2</v>
      </c>
      <c r="D5530" s="2">
        <v>0</v>
      </c>
      <c r="E5530" s="2">
        <v>1</v>
      </c>
      <c r="F5530" s="2">
        <v>4.3783333577411099E-2</v>
      </c>
      <c r="G5530" s="2">
        <v>2</v>
      </c>
    </row>
    <row r="5531" spans="1:7" x14ac:dyDescent="0.2">
      <c r="A5531" s="2" t="s">
        <v>82</v>
      </c>
      <c r="B5531" s="14">
        <v>39234</v>
      </c>
      <c r="C5531" s="2">
        <v>0.15923566879000001</v>
      </c>
      <c r="D5531" s="2">
        <v>0</v>
      </c>
      <c r="E5531" s="2">
        <v>1</v>
      </c>
      <c r="F5531" s="2">
        <v>4.0261305181835003E-2</v>
      </c>
      <c r="G5531" s="2">
        <v>2</v>
      </c>
    </row>
    <row r="5532" spans="1:7" x14ac:dyDescent="0.2">
      <c r="A5532" s="2" t="s">
        <v>82</v>
      </c>
      <c r="B5532" s="14">
        <v>39264</v>
      </c>
      <c r="C5532" s="2">
        <v>-5.4945054946000001E-2</v>
      </c>
      <c r="D5532" s="2">
        <v>0</v>
      </c>
      <c r="E5532" s="2">
        <v>1</v>
      </c>
      <c r="F5532" s="2">
        <v>4.4466398044063798E-2</v>
      </c>
      <c r="G5532" s="2">
        <v>2</v>
      </c>
    </row>
    <row r="5533" spans="1:7" x14ac:dyDescent="0.2">
      <c r="A5533" s="2" t="s">
        <v>82</v>
      </c>
      <c r="B5533" s="14">
        <v>39295</v>
      </c>
      <c r="C5533" s="2">
        <v>0</v>
      </c>
      <c r="D5533" s="2">
        <v>0</v>
      </c>
      <c r="E5533" s="2">
        <v>1</v>
      </c>
      <c r="F5533" s="2">
        <v>2.78971907324248E-2</v>
      </c>
      <c r="G5533" s="2">
        <v>2</v>
      </c>
    </row>
    <row r="5534" spans="1:7" x14ac:dyDescent="0.2">
      <c r="A5534" s="2" t="s">
        <v>82</v>
      </c>
      <c r="B5534" s="14">
        <v>39326</v>
      </c>
      <c r="C5534" s="2">
        <v>0.33139534883999999</v>
      </c>
      <c r="D5534" s="2">
        <v>0</v>
      </c>
      <c r="E5534" s="2">
        <v>1</v>
      </c>
      <c r="F5534" s="2">
        <v>2.8146281687346199E-2</v>
      </c>
      <c r="G5534" s="2">
        <v>2</v>
      </c>
    </row>
    <row r="5535" spans="1:7" x14ac:dyDescent="0.2">
      <c r="A5535" s="2" t="s">
        <v>82</v>
      </c>
      <c r="B5535" s="14">
        <v>39356</v>
      </c>
      <c r="C5535" s="2">
        <v>0.13537117904000001</v>
      </c>
      <c r="D5535" s="2">
        <v>6.2888302000000003E-4</v>
      </c>
      <c r="E5535" s="2">
        <v>1</v>
      </c>
      <c r="F5535" s="2">
        <v>3.11407849483686E-2</v>
      </c>
      <c r="G5535" s="2">
        <v>2</v>
      </c>
    </row>
    <row r="5536" spans="1:7" x14ac:dyDescent="0.2">
      <c r="A5536" s="2" t="s">
        <v>82</v>
      </c>
      <c r="B5536" s="14">
        <v>39387</v>
      </c>
      <c r="C5536" s="2">
        <v>-4.6153846153999999E-2</v>
      </c>
      <c r="D5536" s="2">
        <v>0</v>
      </c>
      <c r="E5536" s="2">
        <v>1</v>
      </c>
      <c r="F5536" s="2">
        <v>2.86172837305637E-2</v>
      </c>
      <c r="G5536" s="2">
        <v>2</v>
      </c>
    </row>
    <row r="5537" spans="1:7" x14ac:dyDescent="0.2">
      <c r="A5537" s="2" t="s">
        <v>82</v>
      </c>
      <c r="B5537" s="14">
        <v>39417</v>
      </c>
      <c r="C5537" s="2">
        <v>-0.12016129032</v>
      </c>
      <c r="D5537" s="2">
        <v>0</v>
      </c>
      <c r="E5537" s="2">
        <v>1</v>
      </c>
      <c r="F5537" s="2">
        <v>2.92329510607355E-2</v>
      </c>
      <c r="G5537" s="2">
        <v>2</v>
      </c>
    </row>
    <row r="5538" spans="1:7" x14ac:dyDescent="0.2">
      <c r="A5538" s="2" t="s">
        <v>82</v>
      </c>
      <c r="B5538" s="14">
        <v>39448</v>
      </c>
      <c r="C5538" s="2">
        <v>-0.13184234647000001</v>
      </c>
      <c r="D5538" s="2">
        <v>1.4250643999999999E-3</v>
      </c>
      <c r="E5538" s="2">
        <v>1</v>
      </c>
      <c r="F5538" s="2">
        <v>2.0779793882066001E-2</v>
      </c>
      <c r="G5538" s="2">
        <v>2</v>
      </c>
    </row>
    <row r="5539" spans="1:7" x14ac:dyDescent="0.2">
      <c r="A5539" s="2" t="s">
        <v>82</v>
      </c>
      <c r="B5539" s="14">
        <v>39479</v>
      </c>
      <c r="C5539" s="2">
        <v>0.20359812492000001</v>
      </c>
      <c r="D5539" s="2">
        <v>0</v>
      </c>
      <c r="E5539" s="2">
        <v>1</v>
      </c>
      <c r="F5539" s="2">
        <v>1.88420224249835E-2</v>
      </c>
      <c r="G5539" s="2">
        <v>2</v>
      </c>
    </row>
    <row r="5540" spans="1:7" x14ac:dyDescent="0.2">
      <c r="A5540" s="2" t="s">
        <v>82</v>
      </c>
      <c r="B5540" s="14">
        <v>39508</v>
      </c>
      <c r="C5540" s="2">
        <v>-0.14912280701</v>
      </c>
      <c r="D5540" s="2">
        <v>5.5258883999999998E-3</v>
      </c>
      <c r="E5540" s="2">
        <v>1</v>
      </c>
      <c r="F5540" s="2">
        <v>2.4386402369165401E-2</v>
      </c>
      <c r="G5540" s="2">
        <v>2</v>
      </c>
    </row>
    <row r="5541" spans="1:7" x14ac:dyDescent="0.2">
      <c r="A5541" s="2" t="s">
        <v>82</v>
      </c>
      <c r="B5541" s="14">
        <v>39539</v>
      </c>
      <c r="C5541" s="2">
        <v>6.7010309278000002E-2</v>
      </c>
      <c r="D5541" s="2">
        <v>5.7375854999999996E-3</v>
      </c>
      <c r="E5541" s="2">
        <v>1</v>
      </c>
      <c r="F5541" s="2">
        <v>1.09549147549207E-2</v>
      </c>
      <c r="G5541" s="2">
        <v>2</v>
      </c>
    </row>
    <row r="5542" spans="1:7" x14ac:dyDescent="0.2">
      <c r="A5542" s="2" t="s">
        <v>82</v>
      </c>
      <c r="B5542" s="14">
        <v>39569</v>
      </c>
      <c r="C5542" s="2">
        <v>-7.8251964647999994E-2</v>
      </c>
      <c r="D5542" s="2">
        <v>2.6817949999999998E-3</v>
      </c>
      <c r="E5542" s="2">
        <v>1</v>
      </c>
      <c r="F5542" s="2">
        <v>8.6637568022327194E-3</v>
      </c>
      <c r="G5542" s="2">
        <v>2</v>
      </c>
    </row>
    <row r="5543" spans="1:7" x14ac:dyDescent="0.2">
      <c r="A5543" s="2" t="s">
        <v>82</v>
      </c>
      <c r="B5543" s="14">
        <v>39600</v>
      </c>
      <c r="C5543" s="2">
        <v>-0.15508021390000001</v>
      </c>
      <c r="D5543" s="19">
        <v>-1.1117076999999999E-5</v>
      </c>
      <c r="E5543" s="2">
        <v>1</v>
      </c>
      <c r="F5543" s="2">
        <v>7.9879999798551996E-3</v>
      </c>
      <c r="G5543" s="2">
        <v>2</v>
      </c>
    </row>
    <row r="5544" spans="1:7" x14ac:dyDescent="0.2">
      <c r="A5544" s="2" t="s">
        <v>82</v>
      </c>
      <c r="B5544" s="14">
        <v>39630</v>
      </c>
      <c r="C5544" s="2">
        <v>6.3291139240000002E-2</v>
      </c>
      <c r="D5544" s="2">
        <v>-1.2854925E-4</v>
      </c>
      <c r="E5544" s="2">
        <v>1</v>
      </c>
      <c r="F5544" s="2">
        <v>7.4014500227737702E-3</v>
      </c>
      <c r="G5544" s="2">
        <v>2</v>
      </c>
    </row>
    <row r="5545" spans="1:7" x14ac:dyDescent="0.2">
      <c r="A5545" s="2" t="s">
        <v>82</v>
      </c>
      <c r="B5545" s="14">
        <v>39661</v>
      </c>
      <c r="C5545" s="2">
        <v>-0.11991666666</v>
      </c>
      <c r="D5545" s="2">
        <v>2.0609966E-4</v>
      </c>
      <c r="E5545" s="2">
        <v>1</v>
      </c>
      <c r="F5545" s="2">
        <v>1.0893060128239099E-2</v>
      </c>
      <c r="G5545" s="2">
        <v>2</v>
      </c>
    </row>
    <row r="5546" spans="1:7" x14ac:dyDescent="0.2">
      <c r="A5546" s="2" t="s">
        <v>82</v>
      </c>
      <c r="B5546" s="14">
        <v>39692</v>
      </c>
      <c r="C5546" s="2">
        <v>-0.18867260947</v>
      </c>
      <c r="D5546" s="2">
        <v>1.2272016E-4</v>
      </c>
      <c r="E5546" s="2">
        <v>1</v>
      </c>
      <c r="F5546" s="2">
        <v>1.9216323275702599E-3</v>
      </c>
      <c r="G5546" s="2">
        <v>2</v>
      </c>
    </row>
    <row r="5547" spans="1:7" x14ac:dyDescent="0.2">
      <c r="A5547" s="2" t="s">
        <v>82</v>
      </c>
      <c r="B5547" s="14">
        <v>39722</v>
      </c>
      <c r="C5547" s="2">
        <v>-0.26640991012999998</v>
      </c>
      <c r="D5547" s="2">
        <v>-1.5209291999999999E-3</v>
      </c>
      <c r="E5547" s="2">
        <v>1</v>
      </c>
      <c r="F5547" s="2">
        <v>6.8149843975255295E-4</v>
      </c>
      <c r="G5547" s="2">
        <v>2</v>
      </c>
    </row>
    <row r="5548" spans="1:7" x14ac:dyDescent="0.2">
      <c r="A5548" s="2" t="s">
        <v>82</v>
      </c>
      <c r="B5548" s="14">
        <v>39753</v>
      </c>
      <c r="C5548" s="2">
        <v>0.11379447232000001</v>
      </c>
      <c r="D5548" s="2">
        <v>1.5006119E-2</v>
      </c>
      <c r="E5548" s="2">
        <v>1</v>
      </c>
      <c r="F5548" s="2">
        <v>-8.2176207870420202E-3</v>
      </c>
      <c r="G5548" s="2">
        <v>2</v>
      </c>
    </row>
    <row r="5549" spans="1:7" x14ac:dyDescent="0.2">
      <c r="A5549" s="2" t="s">
        <v>82</v>
      </c>
      <c r="B5549" s="14">
        <v>39783</v>
      </c>
      <c r="C5549" s="2">
        <v>5.4403146987000002E-2</v>
      </c>
      <c r="D5549" s="2">
        <v>4.6090673999999998E-2</v>
      </c>
      <c r="E5549" s="2">
        <v>1</v>
      </c>
      <c r="F5549" s="2">
        <v>-3.0285980288230199E-3</v>
      </c>
      <c r="G5549" s="2">
        <v>2</v>
      </c>
    </row>
    <row r="5550" spans="1:7" x14ac:dyDescent="0.2">
      <c r="A5550" s="2" t="s">
        <v>83</v>
      </c>
      <c r="B5550" s="14">
        <v>37591</v>
      </c>
      <c r="C5550" s="2">
        <v>3.4482758619999998E-2</v>
      </c>
      <c r="D5550" s="2">
        <v>1.3227249E-4</v>
      </c>
      <c r="E5550" s="2">
        <v>1</v>
      </c>
      <c r="G5550" s="2">
        <v>2</v>
      </c>
    </row>
    <row r="5551" spans="1:7" x14ac:dyDescent="0.2">
      <c r="A5551" s="2" t="s">
        <v>83</v>
      </c>
      <c r="B5551" s="14">
        <v>37622</v>
      </c>
      <c r="C5551" s="2">
        <v>-2.5000000000000001E-2</v>
      </c>
      <c r="D5551" s="19">
        <v>7.1861788000000004E-5</v>
      </c>
      <c r="E5551" s="2">
        <v>1</v>
      </c>
      <c r="G5551" s="2">
        <v>2</v>
      </c>
    </row>
    <row r="5552" spans="1:7" x14ac:dyDescent="0.2">
      <c r="A5552" s="2" t="s">
        <v>83</v>
      </c>
      <c r="B5552" s="14">
        <v>37653</v>
      </c>
      <c r="C5552" s="2">
        <v>-2.8490028489999999E-3</v>
      </c>
      <c r="D5552" s="2">
        <v>7.8072719000000005E-4</v>
      </c>
      <c r="E5552" s="2">
        <v>1</v>
      </c>
      <c r="G5552" s="2">
        <v>2</v>
      </c>
    </row>
    <row r="5553" spans="1:7" x14ac:dyDescent="0.2">
      <c r="A5553" s="2" t="s">
        <v>83</v>
      </c>
      <c r="B5553" s="14">
        <v>37681</v>
      </c>
      <c r="C5553" s="2">
        <v>8.5714285715000005E-2</v>
      </c>
      <c r="D5553" s="19">
        <v>1.8617894999999999E-6</v>
      </c>
      <c r="E5553" s="2">
        <v>1</v>
      </c>
      <c r="G5553" s="2">
        <v>2</v>
      </c>
    </row>
    <row r="5554" spans="1:7" x14ac:dyDescent="0.2">
      <c r="A5554" s="2" t="s">
        <v>83</v>
      </c>
      <c r="B5554" s="14">
        <v>37712</v>
      </c>
      <c r="C5554" s="2">
        <v>2.6745118885000002E-4</v>
      </c>
      <c r="D5554" s="2">
        <v>1.5414872999999999E-3</v>
      </c>
      <c r="E5554" s="2">
        <v>1</v>
      </c>
      <c r="G5554" s="2">
        <v>2</v>
      </c>
    </row>
    <row r="5555" spans="1:7" x14ac:dyDescent="0.2">
      <c r="A5555" s="2" t="s">
        <v>83</v>
      </c>
      <c r="B5555" s="14">
        <v>37742</v>
      </c>
      <c r="C5555" s="2">
        <v>5.3475935838E-3</v>
      </c>
      <c r="D5555" s="2">
        <v>1.7743402E-4</v>
      </c>
      <c r="E5555" s="2">
        <v>1</v>
      </c>
      <c r="G5555" s="2">
        <v>2</v>
      </c>
    </row>
    <row r="5556" spans="1:7" x14ac:dyDescent="0.2">
      <c r="A5556" s="2" t="s">
        <v>83</v>
      </c>
      <c r="B5556" s="14">
        <v>37773</v>
      </c>
      <c r="C5556" s="2">
        <v>2.3936170212999999E-2</v>
      </c>
      <c r="D5556" s="2">
        <v>2.7069200000000002E-2</v>
      </c>
      <c r="E5556" s="2">
        <v>1</v>
      </c>
      <c r="G5556" s="2">
        <v>2</v>
      </c>
    </row>
    <row r="5557" spans="1:7" x14ac:dyDescent="0.2">
      <c r="A5557" s="2" t="s">
        <v>83</v>
      </c>
      <c r="B5557" s="14">
        <v>37803</v>
      </c>
      <c r="C5557" s="2">
        <v>-2.2337678191E-2</v>
      </c>
      <c r="D5557" s="19">
        <v>-2.6712299999999998E-5</v>
      </c>
      <c r="E5557" s="2">
        <v>1</v>
      </c>
      <c r="G5557" s="2">
        <v>2</v>
      </c>
    </row>
    <row r="5558" spans="1:7" x14ac:dyDescent="0.2">
      <c r="A5558" s="2" t="s">
        <v>83</v>
      </c>
      <c r="B5558" s="14">
        <v>37834</v>
      </c>
      <c r="C5558" s="2">
        <v>0.20616367524000001</v>
      </c>
      <c r="D5558" s="19">
        <v>-4.7496439999999998E-5</v>
      </c>
      <c r="E5558" s="2">
        <v>1</v>
      </c>
      <c r="F5558" s="2">
        <v>1.4864421028784901E-2</v>
      </c>
      <c r="G5558" s="2">
        <v>2</v>
      </c>
    </row>
    <row r="5559" spans="1:7" x14ac:dyDescent="0.2">
      <c r="A5559" s="2" t="s">
        <v>83</v>
      </c>
      <c r="B5559" s="14">
        <v>37865</v>
      </c>
      <c r="C5559" s="2">
        <v>5.2863436123999998E-2</v>
      </c>
      <c r="D5559" s="2">
        <v>2.4331301E-3</v>
      </c>
      <c r="E5559" s="2">
        <v>1</v>
      </c>
      <c r="F5559" s="2">
        <v>2.1230387955922699E-2</v>
      </c>
      <c r="G5559" s="2">
        <v>2</v>
      </c>
    </row>
    <row r="5560" spans="1:7" x14ac:dyDescent="0.2">
      <c r="A5560" s="2" t="s">
        <v>83</v>
      </c>
      <c r="B5560" s="14">
        <v>37895</v>
      </c>
      <c r="C5560" s="2">
        <v>4.1841004185999998E-3</v>
      </c>
      <c r="D5560" s="2">
        <v>4.6158689999999998E-4</v>
      </c>
      <c r="E5560" s="2">
        <v>1</v>
      </c>
      <c r="F5560" s="2">
        <v>2.00750599000632E-2</v>
      </c>
      <c r="G5560" s="2">
        <v>2</v>
      </c>
    </row>
    <row r="5561" spans="1:7" x14ac:dyDescent="0.2">
      <c r="A5561" s="2" t="s">
        <v>83</v>
      </c>
      <c r="B5561" s="14">
        <v>37926</v>
      </c>
      <c r="C5561" s="2">
        <v>-8.3333333332999998E-2</v>
      </c>
      <c r="D5561" s="2">
        <v>2.6726208E-4</v>
      </c>
      <c r="E5561" s="2">
        <v>1</v>
      </c>
      <c r="F5561" s="2">
        <v>2.01141203761281E-2</v>
      </c>
      <c r="G5561" s="2">
        <v>2</v>
      </c>
    </row>
    <row r="5562" spans="1:7" x14ac:dyDescent="0.2">
      <c r="A5562" s="2" t="s">
        <v>83</v>
      </c>
      <c r="B5562" s="14">
        <v>37956</v>
      </c>
      <c r="C5562" s="2">
        <v>-2.2727272728E-2</v>
      </c>
      <c r="D5562" s="2">
        <v>4.9698828000000004E-3</v>
      </c>
      <c r="E5562" s="2">
        <v>1</v>
      </c>
      <c r="F5562" s="2">
        <v>1.78463266564927E-2</v>
      </c>
      <c r="G5562" s="2">
        <v>2</v>
      </c>
    </row>
    <row r="5563" spans="1:7" x14ac:dyDescent="0.2">
      <c r="A5563" s="2" t="s">
        <v>83</v>
      </c>
      <c r="B5563" s="14">
        <v>37987</v>
      </c>
      <c r="C5563" s="2">
        <v>-6.9767441860000001E-2</v>
      </c>
      <c r="E5563" s="2">
        <v>1</v>
      </c>
      <c r="F5563" s="2">
        <v>1.65072920619143E-2</v>
      </c>
      <c r="G5563" s="2">
        <v>2</v>
      </c>
    </row>
    <row r="5564" spans="1:7" x14ac:dyDescent="0.2">
      <c r="A5564" s="2" t="s">
        <v>83</v>
      </c>
      <c r="B5564" s="14">
        <v>38018</v>
      </c>
      <c r="C5564" s="2">
        <v>-5.0000000001000001E-2</v>
      </c>
      <c r="E5564" s="2">
        <v>1</v>
      </c>
      <c r="F5564" s="2">
        <v>1.53673526760463E-2</v>
      </c>
      <c r="G5564" s="2">
        <v>2</v>
      </c>
    </row>
    <row r="5565" spans="1:7" x14ac:dyDescent="0.2">
      <c r="A5565" s="2" t="s">
        <v>83</v>
      </c>
      <c r="B5565" s="14">
        <v>38047</v>
      </c>
      <c r="C5565" s="2">
        <v>-5.2631578946999998E-2</v>
      </c>
      <c r="D5565" s="19">
        <v>-4.6365130000000003E-5</v>
      </c>
      <c r="E5565" s="2">
        <v>1</v>
      </c>
      <c r="F5565" s="2">
        <v>8.1241926793038603E-3</v>
      </c>
      <c r="G5565" s="2">
        <v>2</v>
      </c>
    </row>
    <row r="5566" spans="1:7" x14ac:dyDescent="0.2">
      <c r="A5566" s="2" t="s">
        <v>83</v>
      </c>
      <c r="B5566" s="14">
        <v>38078</v>
      </c>
      <c r="C5566" s="2">
        <v>-3.9729170175999999E-3</v>
      </c>
      <c r="D5566" s="19">
        <v>7.8821598000000006E-5</v>
      </c>
      <c r="E5566" s="2">
        <v>1</v>
      </c>
      <c r="F5566" s="2">
        <v>5.1644295575517998E-3</v>
      </c>
      <c r="G5566" s="2">
        <v>2</v>
      </c>
    </row>
    <row r="5567" spans="1:7" x14ac:dyDescent="0.2">
      <c r="A5567" s="2" t="s">
        <v>83</v>
      </c>
      <c r="B5567" s="14">
        <v>38108</v>
      </c>
      <c r="C5567" s="2">
        <v>-4.4943820225E-2</v>
      </c>
      <c r="D5567" s="2">
        <v>3.4798597000000001E-4</v>
      </c>
      <c r="E5567" s="2">
        <v>1</v>
      </c>
      <c r="F5567" s="2">
        <v>4.9542822282145401E-3</v>
      </c>
      <c r="G5567" s="2">
        <v>2</v>
      </c>
    </row>
    <row r="5568" spans="1:7" x14ac:dyDescent="0.2">
      <c r="A5568" s="2" t="s">
        <v>83</v>
      </c>
      <c r="B5568" s="14">
        <v>38139</v>
      </c>
      <c r="C5568" s="2">
        <v>0</v>
      </c>
      <c r="D5568" s="2">
        <v>0</v>
      </c>
      <c r="E5568" s="2">
        <v>1</v>
      </c>
      <c r="F5568" s="2">
        <v>6.18661408165212E-3</v>
      </c>
      <c r="G5568" s="2">
        <v>2</v>
      </c>
    </row>
    <row r="5569" spans="1:7" x14ac:dyDescent="0.2">
      <c r="A5569" s="2" t="s">
        <v>83</v>
      </c>
      <c r="B5569" s="14">
        <v>38169</v>
      </c>
      <c r="C5569" s="2">
        <v>0.17647058824</v>
      </c>
      <c r="D5569" s="19">
        <v>2.3008432999999998E-5</v>
      </c>
      <c r="E5569" s="2">
        <v>1</v>
      </c>
      <c r="F5569" s="2">
        <v>6.8335988261466396E-3</v>
      </c>
      <c r="G5569" s="2">
        <v>2</v>
      </c>
    </row>
    <row r="5570" spans="1:7" x14ac:dyDescent="0.2">
      <c r="A5570" s="2" t="s">
        <v>83</v>
      </c>
      <c r="B5570" s="14">
        <v>38200</v>
      </c>
      <c r="C5570" s="2">
        <v>4.9999999992000003E-3</v>
      </c>
      <c r="D5570" s="19">
        <v>5.3965609999999998E-5</v>
      </c>
      <c r="E5570" s="2">
        <v>1</v>
      </c>
      <c r="F5570" s="2">
        <v>1.0801986079395099E-2</v>
      </c>
      <c r="G5570" s="2">
        <v>2</v>
      </c>
    </row>
    <row r="5571" spans="1:7" x14ac:dyDescent="0.2">
      <c r="A5571" s="2" t="s">
        <v>83</v>
      </c>
      <c r="B5571" s="14">
        <v>38231</v>
      </c>
      <c r="C5571" s="2">
        <v>9.9502487555999993E-3</v>
      </c>
      <c r="D5571" s="19">
        <v>-2.913372E-5</v>
      </c>
      <c r="E5571" s="2">
        <v>1</v>
      </c>
      <c r="F5571" s="2">
        <v>1.19380029956596E-2</v>
      </c>
      <c r="G5571" s="2">
        <v>2</v>
      </c>
    </row>
    <row r="5572" spans="1:7" x14ac:dyDescent="0.2">
      <c r="A5572" s="2" t="s">
        <v>83</v>
      </c>
      <c r="B5572" s="14">
        <v>38261</v>
      </c>
      <c r="C5572" s="2">
        <v>3.4482758620999997E-2</v>
      </c>
      <c r="D5572" s="2">
        <v>1.0951703E-4</v>
      </c>
      <c r="E5572" s="2">
        <v>1</v>
      </c>
      <c r="F5572" s="2">
        <v>1.36800115938013E-2</v>
      </c>
      <c r="G5572" s="2">
        <v>2</v>
      </c>
    </row>
    <row r="5573" spans="1:7" x14ac:dyDescent="0.2">
      <c r="A5573" s="2" t="s">
        <v>83</v>
      </c>
      <c r="B5573" s="14">
        <v>38292</v>
      </c>
      <c r="C5573" s="2">
        <v>7.1428571428000007E-2</v>
      </c>
      <c r="D5573" s="2">
        <v>0</v>
      </c>
      <c r="E5573" s="2">
        <v>1</v>
      </c>
      <c r="F5573" s="2">
        <v>1.47360618036371E-2</v>
      </c>
      <c r="G5573" s="2">
        <v>2</v>
      </c>
    </row>
    <row r="5574" spans="1:7" x14ac:dyDescent="0.2">
      <c r="A5574" s="2" t="s">
        <v>83</v>
      </c>
      <c r="B5574" s="14">
        <v>38322</v>
      </c>
      <c r="C5574" s="2">
        <v>-2.2222222222000002E-2</v>
      </c>
      <c r="D5574" s="2">
        <v>0</v>
      </c>
      <c r="E5574" s="2">
        <v>1</v>
      </c>
      <c r="F5574" s="2">
        <v>1.7925856855519701E-2</v>
      </c>
      <c r="G5574" s="2">
        <v>2</v>
      </c>
    </row>
    <row r="5575" spans="1:7" x14ac:dyDescent="0.2">
      <c r="A5575" s="2" t="s">
        <v>83</v>
      </c>
      <c r="B5575" s="14">
        <v>38353</v>
      </c>
      <c r="C5575" s="2">
        <v>-4.5454545452999998E-2</v>
      </c>
      <c r="D5575" s="19">
        <v>-4.3781622999999997E-5</v>
      </c>
      <c r="E5575" s="2">
        <v>1</v>
      </c>
      <c r="F5575" s="2">
        <v>1.7334622962297201E-2</v>
      </c>
      <c r="G5575" s="2">
        <v>2</v>
      </c>
    </row>
    <row r="5576" spans="1:7" x14ac:dyDescent="0.2">
      <c r="A5576" s="2" t="s">
        <v>83</v>
      </c>
      <c r="B5576" s="14">
        <v>38384</v>
      </c>
      <c r="C5576" s="2">
        <v>-9.5238095255000006E-3</v>
      </c>
      <c r="D5576" s="2">
        <v>0</v>
      </c>
      <c r="E5576" s="2">
        <v>1</v>
      </c>
      <c r="F5576" s="2">
        <v>1.09894816144576E-2</v>
      </c>
      <c r="G5576" s="2">
        <v>2</v>
      </c>
    </row>
    <row r="5577" spans="1:7" x14ac:dyDescent="0.2">
      <c r="A5577" s="2" t="s">
        <v>83</v>
      </c>
      <c r="B5577" s="14">
        <v>38412</v>
      </c>
      <c r="C5577" s="2">
        <v>9.6153846171000007E-3</v>
      </c>
      <c r="D5577" s="19">
        <v>2.2557222000000002E-5</v>
      </c>
      <c r="E5577" s="2">
        <v>1</v>
      </c>
      <c r="F5577" s="2">
        <v>1.0550894463242399E-2</v>
      </c>
      <c r="G5577" s="2">
        <v>2</v>
      </c>
    </row>
    <row r="5578" spans="1:7" x14ac:dyDescent="0.2">
      <c r="A5578" s="2" t="s">
        <v>83</v>
      </c>
      <c r="B5578" s="14">
        <v>38443</v>
      </c>
      <c r="C5578" s="2">
        <v>8.5140805239E-2</v>
      </c>
      <c r="D5578" s="2">
        <v>0</v>
      </c>
      <c r="E5578" s="2">
        <v>1</v>
      </c>
      <c r="F5578" s="2">
        <v>1.0460921440340399E-2</v>
      </c>
      <c r="G5578" s="2">
        <v>2</v>
      </c>
    </row>
    <row r="5579" spans="1:7" x14ac:dyDescent="0.2">
      <c r="A5579" s="2" t="s">
        <v>83</v>
      </c>
      <c r="B5579" s="14">
        <v>38473</v>
      </c>
      <c r="C5579" s="2">
        <v>-2.2222222222000002E-2</v>
      </c>
      <c r="D5579" s="2">
        <v>0</v>
      </c>
      <c r="E5579" s="2">
        <v>1</v>
      </c>
      <c r="F5579" s="2">
        <v>1.18213710973565E-2</v>
      </c>
      <c r="G5579" s="2">
        <v>2</v>
      </c>
    </row>
    <row r="5580" spans="1:7" x14ac:dyDescent="0.2">
      <c r="A5580" s="2" t="s">
        <v>83</v>
      </c>
      <c r="B5580" s="14">
        <v>38504</v>
      </c>
      <c r="C5580" s="2">
        <v>0</v>
      </c>
      <c r="D5580" s="2">
        <v>7.4670685000000005E-4</v>
      </c>
      <c r="E5580" s="2">
        <v>1</v>
      </c>
      <c r="F5580" s="2">
        <v>9.1312146043449997E-3</v>
      </c>
      <c r="G5580" s="2">
        <v>2</v>
      </c>
    </row>
    <row r="5581" spans="1:7" x14ac:dyDescent="0.2">
      <c r="A5581" s="2" t="s">
        <v>83</v>
      </c>
      <c r="B5581" s="14">
        <v>38534</v>
      </c>
      <c r="C5581" s="2">
        <v>6.8181818182000004E-2</v>
      </c>
      <c r="D5581" s="19">
        <v>-1.6821815999999999E-6</v>
      </c>
      <c r="E5581" s="2">
        <v>1</v>
      </c>
      <c r="F5581" s="2">
        <v>9.7732318383969997E-3</v>
      </c>
      <c r="G5581" s="2">
        <v>2</v>
      </c>
    </row>
    <row r="5582" spans="1:7" x14ac:dyDescent="0.2">
      <c r="A5582" s="2" t="s">
        <v>83</v>
      </c>
      <c r="B5582" s="14">
        <v>38565</v>
      </c>
      <c r="C5582" s="2">
        <v>4.2553191490000003E-2</v>
      </c>
      <c r="D5582" s="2">
        <v>0</v>
      </c>
      <c r="E5582" s="2">
        <v>1</v>
      </c>
      <c r="F5582" s="2">
        <v>1.4241059791149801E-2</v>
      </c>
      <c r="G5582" s="2">
        <v>2</v>
      </c>
    </row>
    <row r="5583" spans="1:7" x14ac:dyDescent="0.2">
      <c r="A5583" s="2" t="s">
        <v>83</v>
      </c>
      <c r="B5583" s="14">
        <v>38596</v>
      </c>
      <c r="C5583" s="2">
        <v>0</v>
      </c>
      <c r="D5583" s="19">
        <v>1.3870331999999999E-5</v>
      </c>
      <c r="E5583" s="2">
        <v>1</v>
      </c>
      <c r="F5583" s="2">
        <v>1.5661343728203901E-2</v>
      </c>
      <c r="G5583" s="2">
        <v>2</v>
      </c>
    </row>
    <row r="5584" spans="1:7" x14ac:dyDescent="0.2">
      <c r="A5584" s="2" t="s">
        <v>83</v>
      </c>
      <c r="B5584" s="14">
        <v>38626</v>
      </c>
      <c r="C5584" s="2">
        <v>-0.14285714285000001</v>
      </c>
      <c r="D5584" s="2">
        <v>0</v>
      </c>
      <c r="E5584" s="2">
        <v>1</v>
      </c>
      <c r="F5584" s="2">
        <v>1.5388842270431699E-2</v>
      </c>
      <c r="G5584" s="2">
        <v>2</v>
      </c>
    </row>
    <row r="5585" spans="1:7" x14ac:dyDescent="0.2">
      <c r="A5585" s="2" t="s">
        <v>83</v>
      </c>
      <c r="B5585" s="14">
        <v>38657</v>
      </c>
      <c r="D5585" s="2">
        <v>0</v>
      </c>
      <c r="E5585" s="2">
        <v>1</v>
      </c>
      <c r="F5585" s="2">
        <v>9.5264778299108902E-3</v>
      </c>
      <c r="G5585" s="2">
        <v>2</v>
      </c>
    </row>
    <row r="5586" spans="1:7" x14ac:dyDescent="0.2">
      <c r="A5586" s="2" t="s">
        <v>83</v>
      </c>
      <c r="B5586" s="14">
        <v>38687</v>
      </c>
      <c r="C5586" s="2">
        <v>-0.21428571428000001</v>
      </c>
      <c r="D5586" s="19">
        <v>-3.6506408000000002E-5</v>
      </c>
      <c r="E5586" s="2">
        <v>1</v>
      </c>
      <c r="F5586" s="2">
        <v>1.0149088548367101E-2</v>
      </c>
      <c r="G5586" s="2">
        <v>2</v>
      </c>
    </row>
    <row r="5587" spans="1:7" x14ac:dyDescent="0.2">
      <c r="A5587" s="2" t="s">
        <v>83</v>
      </c>
      <c r="B5587" s="14">
        <v>38718</v>
      </c>
      <c r="C5587" s="2">
        <v>-9.0909090908999998E-2</v>
      </c>
      <c r="D5587" s="2">
        <v>1.5853937000000001E-3</v>
      </c>
      <c r="E5587" s="2">
        <v>1</v>
      </c>
      <c r="F5587" s="2">
        <v>5.0186184503983097E-3</v>
      </c>
      <c r="G5587" s="2">
        <v>2</v>
      </c>
    </row>
    <row r="5588" spans="1:7" x14ac:dyDescent="0.2">
      <c r="A5588" s="2" t="s">
        <v>83</v>
      </c>
      <c r="B5588" s="14">
        <v>38749</v>
      </c>
      <c r="C5588" s="2">
        <v>0</v>
      </c>
      <c r="D5588" s="19">
        <v>7.666192E-5</v>
      </c>
      <c r="E5588" s="2">
        <v>1</v>
      </c>
      <c r="F5588" s="2">
        <v>6.8232676096658599E-4</v>
      </c>
      <c r="G5588" s="2">
        <v>2</v>
      </c>
    </row>
    <row r="5589" spans="1:7" x14ac:dyDescent="0.2">
      <c r="A5589" s="2" t="s">
        <v>83</v>
      </c>
      <c r="B5589" s="14">
        <v>38777</v>
      </c>
      <c r="C5589" s="2">
        <v>0</v>
      </c>
      <c r="D5589" s="2">
        <v>0</v>
      </c>
      <c r="E5589" s="2">
        <v>1</v>
      </c>
      <c r="F5589" s="2">
        <v>-5.4318487381063403E-4</v>
      </c>
      <c r="G5589" s="2">
        <v>2</v>
      </c>
    </row>
    <row r="5590" spans="1:7" x14ac:dyDescent="0.2">
      <c r="A5590" s="2" t="s">
        <v>83</v>
      </c>
      <c r="B5590" s="14">
        <v>38808</v>
      </c>
      <c r="C5590" s="2">
        <v>2.4289867140000001E-2</v>
      </c>
      <c r="D5590" s="19">
        <v>5.0355928999999998E-6</v>
      </c>
      <c r="E5590" s="2">
        <v>1</v>
      </c>
      <c r="F5590" s="2">
        <v>-5.4900976568905604E-4</v>
      </c>
      <c r="G5590" s="2">
        <v>2</v>
      </c>
    </row>
    <row r="5591" spans="1:7" x14ac:dyDescent="0.2">
      <c r="A5591" s="2" t="s">
        <v>83</v>
      </c>
      <c r="B5591" s="14">
        <v>38838</v>
      </c>
      <c r="C5591" s="2">
        <v>-1.3054830279000001E-3</v>
      </c>
      <c r="D5591" s="19">
        <v>2.2368853E-5</v>
      </c>
      <c r="E5591" s="2">
        <v>1</v>
      </c>
      <c r="F5591" s="2">
        <v>4.1247609032450498E-3</v>
      </c>
      <c r="G5591" s="2">
        <v>2</v>
      </c>
    </row>
    <row r="5592" spans="1:7" x14ac:dyDescent="0.2">
      <c r="A5592" s="2" t="s">
        <v>83</v>
      </c>
      <c r="B5592" s="14">
        <v>38869</v>
      </c>
      <c r="C5592" s="2">
        <v>-5.2287581700000002E-2</v>
      </c>
      <c r="D5592" s="19">
        <v>-7.4825322000000004E-5</v>
      </c>
      <c r="E5592" s="2">
        <v>1</v>
      </c>
      <c r="F5592" s="2">
        <v>4.0982048976287502E-3</v>
      </c>
      <c r="G5592" s="2">
        <v>2</v>
      </c>
    </row>
    <row r="5593" spans="1:7" x14ac:dyDescent="0.2">
      <c r="A5593" s="2" t="s">
        <v>83</v>
      </c>
      <c r="B5593" s="14">
        <v>38899</v>
      </c>
      <c r="C5593" s="19">
        <v>-6.8965517129999996E-5</v>
      </c>
      <c r="D5593" s="19">
        <v>4.3806812999999998E-6</v>
      </c>
      <c r="E5593" s="2">
        <v>1</v>
      </c>
      <c r="F5593" s="2">
        <v>8.89510003795458E-3</v>
      </c>
      <c r="G5593" s="2">
        <v>2</v>
      </c>
    </row>
    <row r="5594" spans="1:7" x14ac:dyDescent="0.2">
      <c r="A5594" s="2" t="s">
        <v>83</v>
      </c>
      <c r="B5594" s="14">
        <v>38930</v>
      </c>
      <c r="C5594" s="2">
        <v>0</v>
      </c>
      <c r="D5594" s="19">
        <v>-2.3137662999999999E-5</v>
      </c>
      <c r="E5594" s="2">
        <v>1</v>
      </c>
      <c r="F5594" s="2">
        <v>1.7612741079790401E-2</v>
      </c>
      <c r="G5594" s="2">
        <v>2</v>
      </c>
    </row>
    <row r="5595" spans="1:7" x14ac:dyDescent="0.2">
      <c r="A5595" s="2" t="s">
        <v>83</v>
      </c>
      <c r="B5595" s="14">
        <v>38961</v>
      </c>
      <c r="C5595" s="2">
        <v>-6.2073246590000004E-4</v>
      </c>
      <c r="D5595" s="19">
        <v>8.2891252999999995E-5</v>
      </c>
      <c r="E5595" s="2">
        <v>1</v>
      </c>
      <c r="F5595" s="2">
        <v>1.7548062447296901E-2</v>
      </c>
      <c r="G5595" s="2">
        <v>2</v>
      </c>
    </row>
    <row r="5596" spans="1:7" x14ac:dyDescent="0.2">
      <c r="A5596" s="2" t="s">
        <v>83</v>
      </c>
      <c r="B5596" s="14">
        <v>38991</v>
      </c>
      <c r="C5596" s="2">
        <v>1.4492753624E-2</v>
      </c>
      <c r="D5596" s="2">
        <v>1.0951703E-3</v>
      </c>
      <c r="E5596" s="2">
        <v>1</v>
      </c>
      <c r="F5596" s="2">
        <v>1.7530878305367599E-2</v>
      </c>
      <c r="G5596" s="2">
        <v>2</v>
      </c>
    </row>
    <row r="5597" spans="1:7" x14ac:dyDescent="0.2">
      <c r="A5597" s="2" t="s">
        <v>83</v>
      </c>
      <c r="B5597" s="14">
        <v>39022</v>
      </c>
      <c r="C5597" s="2">
        <v>6.8027210891000002E-3</v>
      </c>
      <c r="D5597" s="2">
        <v>0</v>
      </c>
      <c r="E5597" s="2">
        <v>1</v>
      </c>
      <c r="F5597" s="2">
        <v>1.7101838875137901E-2</v>
      </c>
      <c r="G5597" s="2">
        <v>2</v>
      </c>
    </row>
    <row r="5598" spans="1:7" x14ac:dyDescent="0.2">
      <c r="A5598" s="2" t="s">
        <v>83</v>
      </c>
      <c r="B5598" s="14">
        <v>39052</v>
      </c>
      <c r="C5598" s="2">
        <v>1.3513513513E-2</v>
      </c>
      <c r="D5598" s="2">
        <v>0</v>
      </c>
      <c r="E5598" s="2">
        <v>1</v>
      </c>
      <c r="F5598" s="2">
        <v>1.7275149161446301E-2</v>
      </c>
      <c r="G5598" s="2">
        <v>2</v>
      </c>
    </row>
    <row r="5599" spans="1:7" x14ac:dyDescent="0.2">
      <c r="A5599" s="2" t="s">
        <v>83</v>
      </c>
      <c r="B5599" s="14">
        <v>39083</v>
      </c>
      <c r="C5599" s="2">
        <v>0.08</v>
      </c>
      <c r="D5599" s="2">
        <v>-8.3482643999999997E-4</v>
      </c>
      <c r="E5599" s="2">
        <v>1</v>
      </c>
      <c r="F5599" s="2">
        <v>1.8491503408874899E-2</v>
      </c>
      <c r="G5599" s="2">
        <v>2</v>
      </c>
    </row>
    <row r="5600" spans="1:7" x14ac:dyDescent="0.2">
      <c r="A5600" s="2" t="s">
        <v>83</v>
      </c>
      <c r="B5600" s="14">
        <v>39114</v>
      </c>
      <c r="C5600" s="2">
        <v>2.4691358024999999E-2</v>
      </c>
      <c r="D5600" s="2">
        <v>0</v>
      </c>
      <c r="E5600" s="2">
        <v>1</v>
      </c>
      <c r="F5600" s="2">
        <v>2.0578691091857899E-2</v>
      </c>
      <c r="G5600" s="2">
        <v>2</v>
      </c>
    </row>
    <row r="5601" spans="1:7" x14ac:dyDescent="0.2">
      <c r="A5601" s="2" t="s">
        <v>83</v>
      </c>
      <c r="B5601" s="14">
        <v>39142</v>
      </c>
      <c r="C5601" s="2">
        <v>-1.813253012E-2</v>
      </c>
      <c r="D5601" s="2">
        <v>0</v>
      </c>
      <c r="E5601" s="2">
        <v>1</v>
      </c>
      <c r="F5601" s="2">
        <v>2.12425790610292E-2</v>
      </c>
      <c r="G5601" s="2">
        <v>2</v>
      </c>
    </row>
    <row r="5602" spans="1:7" x14ac:dyDescent="0.2">
      <c r="A5602" s="2" t="s">
        <v>83</v>
      </c>
      <c r="B5602" s="14">
        <v>39173</v>
      </c>
      <c r="C5602" s="2">
        <v>4.8810119317000002E-2</v>
      </c>
      <c r="D5602" s="2">
        <v>0</v>
      </c>
      <c r="E5602" s="2">
        <v>1</v>
      </c>
      <c r="F5602" s="2">
        <v>2.0796064669750501E-2</v>
      </c>
      <c r="G5602" s="2">
        <v>2</v>
      </c>
    </row>
    <row r="5603" spans="1:7" x14ac:dyDescent="0.2">
      <c r="A5603" s="2" t="s">
        <v>83</v>
      </c>
      <c r="B5603" s="14">
        <v>39203</v>
      </c>
      <c r="C5603" s="2">
        <v>-7.6470588236000003E-2</v>
      </c>
      <c r="D5603" s="2">
        <v>0</v>
      </c>
      <c r="E5603" s="2">
        <v>1</v>
      </c>
      <c r="F5603" s="2">
        <v>2.1728453026515101E-2</v>
      </c>
      <c r="G5603" s="2">
        <v>2</v>
      </c>
    </row>
    <row r="5604" spans="1:7" x14ac:dyDescent="0.2">
      <c r="A5604" s="2" t="s">
        <v>83</v>
      </c>
      <c r="B5604" s="14">
        <v>39234</v>
      </c>
      <c r="C5604" s="2">
        <v>0.22929936306000001</v>
      </c>
      <c r="D5604" s="2">
        <v>-6.1439052999999997E-4</v>
      </c>
      <c r="E5604" s="2">
        <v>1</v>
      </c>
      <c r="F5604" s="2">
        <v>1.9661101022677801E-2</v>
      </c>
      <c r="G5604" s="2">
        <v>2</v>
      </c>
    </row>
    <row r="5605" spans="1:7" x14ac:dyDescent="0.2">
      <c r="A5605" s="2" t="s">
        <v>83</v>
      </c>
      <c r="B5605" s="14">
        <v>39264</v>
      </c>
      <c r="C5605" s="2">
        <v>-5.1813471501999997E-2</v>
      </c>
      <c r="D5605" s="2">
        <v>0</v>
      </c>
      <c r="E5605" s="2">
        <v>1</v>
      </c>
      <c r="F5605" s="2">
        <v>2.6038137464292298E-2</v>
      </c>
      <c r="G5605" s="2">
        <v>2</v>
      </c>
    </row>
    <row r="5606" spans="1:7" x14ac:dyDescent="0.2">
      <c r="A5606" s="2" t="s">
        <v>83</v>
      </c>
      <c r="B5606" s="14">
        <v>39295</v>
      </c>
      <c r="C5606" s="2">
        <v>0</v>
      </c>
      <c r="D5606" s="2">
        <v>-2.1903405E-3</v>
      </c>
      <c r="E5606" s="2">
        <v>1</v>
      </c>
      <c r="F5606" s="2">
        <v>2.52376722001901E-2</v>
      </c>
      <c r="G5606" s="2">
        <v>2</v>
      </c>
    </row>
    <row r="5607" spans="1:7" x14ac:dyDescent="0.2">
      <c r="A5607" s="2" t="s">
        <v>83</v>
      </c>
      <c r="B5607" s="14">
        <v>39326</v>
      </c>
      <c r="C5607" s="2">
        <v>1.6393442623999999E-2</v>
      </c>
      <c r="D5607" s="2">
        <v>0</v>
      </c>
      <c r="E5607" s="2">
        <v>1</v>
      </c>
      <c r="F5607" s="2">
        <v>2.4524319717894101E-2</v>
      </c>
      <c r="G5607" s="2">
        <v>2</v>
      </c>
    </row>
    <row r="5608" spans="1:7" x14ac:dyDescent="0.2">
      <c r="A5608" s="2" t="s">
        <v>83</v>
      </c>
      <c r="B5608" s="14">
        <v>39356</v>
      </c>
      <c r="C5608" s="2">
        <v>0</v>
      </c>
      <c r="D5608" s="19">
        <v>-9.5386050999999997E-5</v>
      </c>
      <c r="E5608" s="2">
        <v>1</v>
      </c>
      <c r="F5608" s="2">
        <v>2.5479008842541499E-2</v>
      </c>
      <c r="G5608" s="2">
        <v>2</v>
      </c>
    </row>
    <row r="5609" spans="1:7" x14ac:dyDescent="0.2">
      <c r="A5609" s="2" t="s">
        <v>83</v>
      </c>
      <c r="B5609" s="14">
        <v>39387</v>
      </c>
      <c r="C5609" s="2">
        <v>-3.2258064516000003E-2</v>
      </c>
      <c r="D5609" s="19">
        <v>6.5710218999999997E-6</v>
      </c>
      <c r="E5609" s="2">
        <v>1</v>
      </c>
      <c r="F5609" s="2">
        <v>2.4074027116014501E-2</v>
      </c>
      <c r="G5609" s="2">
        <v>2</v>
      </c>
    </row>
    <row r="5610" spans="1:7" x14ac:dyDescent="0.2">
      <c r="A5610" s="2" t="s">
        <v>83</v>
      </c>
      <c r="B5610" s="14">
        <v>39417</v>
      </c>
      <c r="C5610" s="2">
        <v>-5.5555555557000001E-2</v>
      </c>
      <c r="D5610" s="2">
        <v>0</v>
      </c>
      <c r="E5610" s="2">
        <v>1</v>
      </c>
      <c r="F5610" s="2">
        <v>2.5454950538847901E-2</v>
      </c>
      <c r="G5610" s="2">
        <v>2</v>
      </c>
    </row>
    <row r="5611" spans="1:7" x14ac:dyDescent="0.2">
      <c r="A5611" s="2" t="s">
        <v>83</v>
      </c>
      <c r="B5611" s="14">
        <v>39448</v>
      </c>
      <c r="C5611" s="2">
        <v>-5.8823529412000003E-2</v>
      </c>
      <c r="D5611" s="19">
        <v>6.7919179999999997E-5</v>
      </c>
      <c r="E5611" s="2">
        <v>1</v>
      </c>
      <c r="F5611" s="2">
        <v>1.7410702352865601E-2</v>
      </c>
      <c r="G5611" s="2">
        <v>2</v>
      </c>
    </row>
    <row r="5612" spans="1:7" x14ac:dyDescent="0.2">
      <c r="A5612" s="2" t="s">
        <v>83</v>
      </c>
      <c r="B5612" s="14">
        <v>39479</v>
      </c>
      <c r="C5612" s="19">
        <v>-6.2500000239999997E-5</v>
      </c>
      <c r="D5612" s="2">
        <v>0</v>
      </c>
      <c r="E5612" s="2">
        <v>1</v>
      </c>
      <c r="F5612" s="2">
        <v>1.73384579352545E-2</v>
      </c>
      <c r="G5612" s="2">
        <v>2</v>
      </c>
    </row>
    <row r="5613" spans="1:7" x14ac:dyDescent="0.2">
      <c r="A5613" s="2" t="s">
        <v>83</v>
      </c>
      <c r="B5613" s="14">
        <v>39508</v>
      </c>
      <c r="C5613" s="2">
        <v>-6.8754297144999997E-3</v>
      </c>
      <c r="D5613" s="19">
        <v>-7.1176210999999995E-5</v>
      </c>
      <c r="E5613" s="2">
        <v>1</v>
      </c>
      <c r="F5613" s="2">
        <v>1.7330971993077701E-2</v>
      </c>
      <c r="G5613" s="2">
        <v>2</v>
      </c>
    </row>
    <row r="5614" spans="1:7" x14ac:dyDescent="0.2">
      <c r="A5614" s="2" t="s">
        <v>83</v>
      </c>
      <c r="B5614" s="14">
        <v>39539</v>
      </c>
      <c r="C5614" s="2">
        <v>1.3750120943E-2</v>
      </c>
      <c r="D5614" s="2">
        <v>0</v>
      </c>
      <c r="E5614" s="2">
        <v>1</v>
      </c>
      <c r="F5614" s="2">
        <v>1.6671299749641901E-2</v>
      </c>
      <c r="G5614" s="2">
        <v>2</v>
      </c>
    </row>
    <row r="5615" spans="1:7" x14ac:dyDescent="0.2">
      <c r="A5615" s="2" t="s">
        <v>83</v>
      </c>
      <c r="B5615" s="14">
        <v>39569</v>
      </c>
      <c r="C5615" s="2">
        <v>-6.8749999991000001E-4</v>
      </c>
      <c r="D5615" s="19">
        <v>-6.1603327999999997E-6</v>
      </c>
      <c r="E5615" s="2">
        <v>1</v>
      </c>
      <c r="F5615" s="2">
        <v>1.7029034578941501E-2</v>
      </c>
      <c r="G5615" s="2">
        <v>2</v>
      </c>
    </row>
    <row r="5616" spans="1:7" x14ac:dyDescent="0.2">
      <c r="A5616" s="2" t="s">
        <v>83</v>
      </c>
      <c r="B5616" s="14">
        <v>39600</v>
      </c>
      <c r="C5616" s="2">
        <v>-6.1855025330000001E-2</v>
      </c>
      <c r="D5616" s="19">
        <v>2.1903406000000001E-5</v>
      </c>
      <c r="E5616" s="2">
        <v>1</v>
      </c>
      <c r="F5616" s="2">
        <v>1.7876304261166098E-2</v>
      </c>
      <c r="G5616" s="2">
        <v>2</v>
      </c>
    </row>
    <row r="5617" spans="1:7" x14ac:dyDescent="0.2">
      <c r="A5617" s="2" t="s">
        <v>83</v>
      </c>
      <c r="B5617" s="14">
        <v>39630</v>
      </c>
      <c r="C5617" s="2">
        <v>0</v>
      </c>
      <c r="D5617" s="2">
        <v>-1.3512365E-3</v>
      </c>
      <c r="E5617" s="2">
        <v>1</v>
      </c>
      <c r="F5617" s="2">
        <v>1.6982054515490199E-2</v>
      </c>
      <c r="G5617" s="2">
        <v>2</v>
      </c>
    </row>
    <row r="5618" spans="1:7" x14ac:dyDescent="0.2">
      <c r="A5618" s="2" t="s">
        <v>83</v>
      </c>
      <c r="B5618" s="14">
        <v>39661</v>
      </c>
      <c r="C5618" s="2">
        <v>0</v>
      </c>
      <c r="D5618" s="19">
        <v>2.1936260999999999E-5</v>
      </c>
      <c r="E5618" s="2">
        <v>1</v>
      </c>
      <c r="F5618" s="2">
        <v>1.8026589891272201E-2</v>
      </c>
      <c r="G5618" s="2">
        <v>2</v>
      </c>
    </row>
    <row r="5619" spans="1:7" x14ac:dyDescent="0.2">
      <c r="A5619" s="2" t="s">
        <v>83</v>
      </c>
      <c r="B5619" s="14">
        <v>39692</v>
      </c>
      <c r="C5619" s="19">
        <v>-6.6666666497999994E-5</v>
      </c>
      <c r="D5619" s="19">
        <v>-7.3453069999999998E-6</v>
      </c>
      <c r="E5619" s="2">
        <v>1</v>
      </c>
      <c r="F5619" s="2">
        <v>1.8028395564749899E-2</v>
      </c>
      <c r="G5619" s="2">
        <v>2</v>
      </c>
    </row>
    <row r="5620" spans="1:7" x14ac:dyDescent="0.2">
      <c r="A5620" s="2" t="s">
        <v>83</v>
      </c>
      <c r="B5620" s="14">
        <v>39722</v>
      </c>
      <c r="C5620" s="2">
        <v>0</v>
      </c>
      <c r="D5620" s="2">
        <v>0</v>
      </c>
      <c r="E5620" s="2">
        <v>1</v>
      </c>
      <c r="F5620" s="2">
        <v>1.8200886328549201E-2</v>
      </c>
      <c r="G5620" s="2">
        <v>2</v>
      </c>
    </row>
    <row r="5621" spans="1:7" x14ac:dyDescent="0.2">
      <c r="A5621" s="2" t="s">
        <v>83</v>
      </c>
      <c r="B5621" s="14">
        <v>39753</v>
      </c>
      <c r="C5621" s="2">
        <v>-4.4039789560999999E-2</v>
      </c>
      <c r="D5621" s="2">
        <v>0</v>
      </c>
      <c r="E5621" s="2">
        <v>1</v>
      </c>
      <c r="F5621" s="2">
        <v>1.7803634670838502E-2</v>
      </c>
      <c r="G5621" s="2">
        <v>2</v>
      </c>
    </row>
    <row r="5622" spans="1:7" x14ac:dyDescent="0.2">
      <c r="A5622" s="2" t="s">
        <v>83</v>
      </c>
      <c r="B5622" s="14">
        <v>39783</v>
      </c>
      <c r="C5622" s="2">
        <v>0</v>
      </c>
      <c r="D5622" s="2">
        <v>1.2585435000000001E-2</v>
      </c>
      <c r="E5622" s="2">
        <v>1</v>
      </c>
      <c r="F5622" s="2">
        <v>1.6438842999125999E-2</v>
      </c>
      <c r="G5622" s="2">
        <v>2</v>
      </c>
    </row>
    <row r="5623" spans="1:7" x14ac:dyDescent="0.2">
      <c r="A5623" s="2" t="s">
        <v>84</v>
      </c>
      <c r="B5623" s="14">
        <v>37591</v>
      </c>
      <c r="C5623" s="2">
        <v>-1.6129032258000001E-2</v>
      </c>
      <c r="D5623" s="2">
        <v>0</v>
      </c>
      <c r="E5623" s="2">
        <v>1</v>
      </c>
      <c r="G5623" s="2">
        <v>2</v>
      </c>
    </row>
    <row r="5624" spans="1:7" x14ac:dyDescent="0.2">
      <c r="A5624" s="2" t="s">
        <v>84</v>
      </c>
      <c r="B5624" s="14">
        <v>37622</v>
      </c>
      <c r="C5624" s="2">
        <v>6.5573770490999994E-2</v>
      </c>
      <c r="D5624" s="2">
        <v>0</v>
      </c>
      <c r="E5624" s="2">
        <v>1</v>
      </c>
      <c r="G5624" s="2">
        <v>2</v>
      </c>
    </row>
    <row r="5625" spans="1:7" x14ac:dyDescent="0.2">
      <c r="A5625" s="2" t="s">
        <v>84</v>
      </c>
      <c r="B5625" s="14">
        <v>37653</v>
      </c>
      <c r="C5625" s="2">
        <v>1.5384615383999999E-2</v>
      </c>
      <c r="D5625" s="2">
        <v>1.7200784000000001E-4</v>
      </c>
      <c r="E5625" s="2">
        <v>1</v>
      </c>
      <c r="G5625" s="2">
        <v>2</v>
      </c>
    </row>
    <row r="5626" spans="1:7" x14ac:dyDescent="0.2">
      <c r="A5626" s="2" t="s">
        <v>84</v>
      </c>
      <c r="B5626" s="14">
        <v>37681</v>
      </c>
      <c r="C5626" s="2">
        <v>-3.7878787879000002E-2</v>
      </c>
      <c r="D5626" s="2">
        <v>0</v>
      </c>
      <c r="E5626" s="2">
        <v>1</v>
      </c>
      <c r="G5626" s="2">
        <v>2</v>
      </c>
    </row>
    <row r="5627" spans="1:7" x14ac:dyDescent="0.2">
      <c r="A5627" s="2" t="s">
        <v>84</v>
      </c>
      <c r="B5627" s="14">
        <v>37712</v>
      </c>
      <c r="C5627" s="2">
        <v>8.3622008797000005E-2</v>
      </c>
      <c r="D5627" s="2">
        <v>-3.9688381000000002E-4</v>
      </c>
      <c r="E5627" s="2">
        <v>1</v>
      </c>
      <c r="G5627" s="2">
        <v>2</v>
      </c>
    </row>
    <row r="5628" spans="1:7" x14ac:dyDescent="0.2">
      <c r="A5628" s="2" t="s">
        <v>84</v>
      </c>
      <c r="B5628" s="14">
        <v>37742</v>
      </c>
      <c r="C5628" s="2">
        <v>0.13275944367</v>
      </c>
      <c r="D5628" s="2">
        <v>0</v>
      </c>
      <c r="E5628" s="2">
        <v>1</v>
      </c>
      <c r="G5628" s="2">
        <v>2</v>
      </c>
    </row>
    <row r="5629" spans="1:7" x14ac:dyDescent="0.2">
      <c r="A5629" s="2" t="s">
        <v>84</v>
      </c>
      <c r="B5629" s="14">
        <v>37773</v>
      </c>
      <c r="C5629" s="2">
        <v>3.9999999999000002E-2</v>
      </c>
      <c r="D5629" s="2">
        <v>0</v>
      </c>
      <c r="E5629" s="2">
        <v>1</v>
      </c>
      <c r="G5629" s="2">
        <v>2</v>
      </c>
    </row>
    <row r="5630" spans="1:7" x14ac:dyDescent="0.2">
      <c r="A5630" s="2" t="s">
        <v>84</v>
      </c>
      <c r="B5630" s="14">
        <v>37803</v>
      </c>
      <c r="C5630" s="2">
        <v>0.11538461538</v>
      </c>
      <c r="D5630" s="2">
        <v>0</v>
      </c>
      <c r="E5630" s="2">
        <v>1</v>
      </c>
      <c r="G5630" s="2">
        <v>2</v>
      </c>
    </row>
    <row r="5631" spans="1:7" x14ac:dyDescent="0.2">
      <c r="A5631" s="2" t="s">
        <v>84</v>
      </c>
      <c r="B5631" s="14">
        <v>37834</v>
      </c>
      <c r="C5631" s="2">
        <v>9.1954022987999998E-2</v>
      </c>
      <c r="D5631" s="2">
        <v>1.5196882E-3</v>
      </c>
      <c r="E5631" s="2">
        <v>1</v>
      </c>
      <c r="F5631" s="2">
        <v>3.6725612857471703E-2</v>
      </c>
      <c r="G5631" s="2">
        <v>2</v>
      </c>
    </row>
    <row r="5632" spans="1:7" x14ac:dyDescent="0.2">
      <c r="A5632" s="2" t="s">
        <v>84</v>
      </c>
      <c r="B5632" s="14">
        <v>37865</v>
      </c>
      <c r="C5632" s="2">
        <v>0</v>
      </c>
      <c r="D5632" s="2">
        <v>1.2305456999999999E-4</v>
      </c>
      <c r="E5632" s="2">
        <v>1</v>
      </c>
      <c r="F5632" s="2">
        <v>3.8678200713194097E-2</v>
      </c>
      <c r="G5632" s="2">
        <v>2</v>
      </c>
    </row>
    <row r="5633" spans="1:7" x14ac:dyDescent="0.2">
      <c r="A5633" s="2" t="s">
        <v>84</v>
      </c>
      <c r="B5633" s="14">
        <v>37895</v>
      </c>
      <c r="C5633" s="2">
        <v>8.5561497326000005E-2</v>
      </c>
      <c r="D5633" s="2">
        <v>-2.9909936999999998E-4</v>
      </c>
      <c r="E5633" s="2">
        <v>1</v>
      </c>
      <c r="F5633" s="2">
        <v>3.9781845396255198E-2</v>
      </c>
      <c r="G5633" s="2">
        <v>2</v>
      </c>
    </row>
    <row r="5634" spans="1:7" x14ac:dyDescent="0.2">
      <c r="A5634" s="2" t="s">
        <v>84</v>
      </c>
      <c r="B5634" s="14">
        <v>37926</v>
      </c>
      <c r="C5634" s="2">
        <v>0</v>
      </c>
      <c r="D5634" s="19">
        <v>-3.8953996000000003E-5</v>
      </c>
      <c r="E5634" s="2">
        <v>1</v>
      </c>
      <c r="F5634" s="2">
        <v>3.96418729240893E-2</v>
      </c>
      <c r="G5634" s="2">
        <v>2</v>
      </c>
    </row>
    <row r="5635" spans="1:7" x14ac:dyDescent="0.2">
      <c r="A5635" s="2" t="s">
        <v>84</v>
      </c>
      <c r="B5635" s="14">
        <v>37956</v>
      </c>
      <c r="C5635" s="2">
        <v>5.4187192118000001E-2</v>
      </c>
      <c r="D5635" s="2">
        <v>-1.4419288E-4</v>
      </c>
      <c r="E5635" s="2">
        <v>1</v>
      </c>
      <c r="F5635" s="2">
        <v>3.5811200089500797E-2</v>
      </c>
      <c r="G5635" s="2">
        <v>2</v>
      </c>
    </row>
    <row r="5636" spans="1:7" x14ac:dyDescent="0.2">
      <c r="A5636" s="2" t="s">
        <v>84</v>
      </c>
      <c r="B5636" s="14">
        <v>37987</v>
      </c>
      <c r="C5636" s="2">
        <v>0</v>
      </c>
      <c r="E5636" s="2">
        <v>1</v>
      </c>
      <c r="F5636" s="2">
        <v>3.6053758669338999E-2</v>
      </c>
      <c r="G5636" s="2">
        <v>2</v>
      </c>
    </row>
    <row r="5637" spans="1:7" x14ac:dyDescent="0.2">
      <c r="A5637" s="2" t="s">
        <v>84</v>
      </c>
      <c r="B5637" s="14">
        <v>38018</v>
      </c>
      <c r="C5637" s="2">
        <v>0</v>
      </c>
      <c r="E5637" s="2">
        <v>1</v>
      </c>
      <c r="F5637" s="2">
        <v>3.2759109938741898E-2</v>
      </c>
      <c r="G5637" s="2">
        <v>2</v>
      </c>
    </row>
    <row r="5638" spans="1:7" x14ac:dyDescent="0.2">
      <c r="A5638" s="2" t="s">
        <v>84</v>
      </c>
      <c r="B5638" s="14">
        <v>38047</v>
      </c>
      <c r="C5638" s="2">
        <v>7.4766355140999996E-2</v>
      </c>
      <c r="D5638" s="2">
        <v>0</v>
      </c>
      <c r="E5638" s="2">
        <v>1</v>
      </c>
      <c r="F5638" s="2">
        <v>3.0121841385955601E-2</v>
      </c>
      <c r="G5638" s="2">
        <v>2</v>
      </c>
    </row>
    <row r="5639" spans="1:7" x14ac:dyDescent="0.2">
      <c r="A5639" s="2" t="s">
        <v>84</v>
      </c>
      <c r="B5639" s="14">
        <v>38078</v>
      </c>
      <c r="C5639" s="2">
        <v>0.11304347826</v>
      </c>
      <c r="D5639" s="2">
        <v>0</v>
      </c>
      <c r="E5639" s="2">
        <v>1</v>
      </c>
      <c r="F5639" s="2">
        <v>3.19934015555777E-2</v>
      </c>
      <c r="G5639" s="2">
        <v>2</v>
      </c>
    </row>
    <row r="5640" spans="1:7" x14ac:dyDescent="0.2">
      <c r="A5640" s="2" t="s">
        <v>84</v>
      </c>
      <c r="B5640" s="14">
        <v>38108</v>
      </c>
      <c r="C5640" s="2">
        <v>-5.4865839006999997E-2</v>
      </c>
      <c r="D5640" s="2">
        <v>4.9257667999999999E-4</v>
      </c>
      <c r="E5640" s="2">
        <v>1</v>
      </c>
      <c r="F5640" s="2">
        <v>3.25850262919073E-2</v>
      </c>
      <c r="G5640" s="2">
        <v>2</v>
      </c>
    </row>
    <row r="5641" spans="1:7" x14ac:dyDescent="0.2">
      <c r="A5641" s="2" t="s">
        <v>84</v>
      </c>
      <c r="B5641" s="14">
        <v>38139</v>
      </c>
      <c r="C5641" s="2">
        <v>6.5732376930000003E-2</v>
      </c>
      <c r="D5641" s="2">
        <v>1.2062204E-3</v>
      </c>
      <c r="E5641" s="2">
        <v>1</v>
      </c>
      <c r="F5641" s="2">
        <v>3.1125838296569602E-2</v>
      </c>
      <c r="G5641" s="2">
        <v>2</v>
      </c>
    </row>
    <row r="5642" spans="1:7" x14ac:dyDescent="0.2">
      <c r="A5642" s="2" t="s">
        <v>84</v>
      </c>
      <c r="B5642" s="14">
        <v>38169</v>
      </c>
      <c r="C5642" s="2">
        <v>0</v>
      </c>
      <c r="D5642" s="2">
        <v>0</v>
      </c>
      <c r="E5642" s="2">
        <v>1</v>
      </c>
      <c r="F5642" s="2">
        <v>3.1321353705262601E-2</v>
      </c>
      <c r="G5642" s="2">
        <v>2</v>
      </c>
    </row>
    <row r="5643" spans="1:7" x14ac:dyDescent="0.2">
      <c r="A5643" s="2" t="s">
        <v>84</v>
      </c>
      <c r="B5643" s="14">
        <v>38200</v>
      </c>
      <c r="C5643" s="2">
        <v>-1.5873015874000002E-2</v>
      </c>
      <c r="D5643" s="19">
        <v>-1.7360273E-5</v>
      </c>
      <c r="E5643" s="2">
        <v>1</v>
      </c>
      <c r="F5643" s="2">
        <v>2.1837613986554899E-2</v>
      </c>
      <c r="G5643" s="2">
        <v>2</v>
      </c>
    </row>
    <row r="5644" spans="1:7" x14ac:dyDescent="0.2">
      <c r="A5644" s="2" t="s">
        <v>84</v>
      </c>
      <c r="B5644" s="14">
        <v>38231</v>
      </c>
      <c r="C5644" s="2">
        <v>-4.8387096774E-2</v>
      </c>
      <c r="D5644" s="2">
        <v>2.2808018000000001E-3</v>
      </c>
      <c r="E5644" s="2">
        <v>1</v>
      </c>
      <c r="F5644" s="2">
        <v>2.1391263499787198E-2</v>
      </c>
      <c r="G5644" s="2">
        <v>2</v>
      </c>
    </row>
    <row r="5645" spans="1:7" x14ac:dyDescent="0.2">
      <c r="A5645" s="2" t="s">
        <v>84</v>
      </c>
      <c r="B5645" s="14">
        <v>38261</v>
      </c>
      <c r="C5645" s="2">
        <v>0.12446351931000001</v>
      </c>
      <c r="D5645" s="19">
        <v>3.0551477999999999E-6</v>
      </c>
      <c r="E5645" s="2">
        <v>1</v>
      </c>
      <c r="F5645" s="2">
        <v>1.80237041559013E-2</v>
      </c>
      <c r="G5645" s="2">
        <v>2</v>
      </c>
    </row>
    <row r="5646" spans="1:7" x14ac:dyDescent="0.2">
      <c r="A5646" s="2" t="s">
        <v>84</v>
      </c>
      <c r="B5646" s="14">
        <v>38292</v>
      </c>
      <c r="C5646" s="2">
        <v>-8.3893129770999997E-2</v>
      </c>
      <c r="D5646" s="2">
        <v>3.2719655000000001E-3</v>
      </c>
      <c r="E5646" s="2">
        <v>1</v>
      </c>
      <c r="F5646" s="2">
        <v>1.8210021499530198E-2</v>
      </c>
      <c r="G5646" s="2">
        <v>2</v>
      </c>
    </row>
    <row r="5647" spans="1:7" x14ac:dyDescent="0.2">
      <c r="A5647" s="2" t="s">
        <v>84</v>
      </c>
      <c r="B5647" s="14">
        <v>38322</v>
      </c>
      <c r="C5647" s="2">
        <v>4.1579868344000001E-2</v>
      </c>
      <c r="D5647" s="2">
        <v>5.3741750000000001E-3</v>
      </c>
      <c r="E5647" s="2">
        <v>1</v>
      </c>
      <c r="F5647" s="2">
        <v>1.7369686406845199E-2</v>
      </c>
      <c r="G5647" s="2">
        <v>2</v>
      </c>
    </row>
    <row r="5648" spans="1:7" x14ac:dyDescent="0.2">
      <c r="A5648" s="2" t="s">
        <v>84</v>
      </c>
      <c r="B5648" s="14">
        <v>38353</v>
      </c>
      <c r="C5648" s="2">
        <v>-1.3599999999000001E-2</v>
      </c>
      <c r="D5648" s="19">
        <v>5.472526E-5</v>
      </c>
      <c r="E5648" s="2">
        <v>1</v>
      </c>
      <c r="F5648" s="2">
        <v>1.6569788179201999E-2</v>
      </c>
      <c r="G5648" s="2">
        <v>2</v>
      </c>
    </row>
    <row r="5649" spans="1:7" x14ac:dyDescent="0.2">
      <c r="A5649" s="2" t="s">
        <v>84</v>
      </c>
      <c r="B5649" s="14">
        <v>38384</v>
      </c>
      <c r="C5649" s="2">
        <v>9.7323600966999994E-3</v>
      </c>
      <c r="D5649" s="2">
        <v>2.0377702000000001E-4</v>
      </c>
      <c r="E5649" s="2">
        <v>1</v>
      </c>
      <c r="F5649" s="2">
        <v>1.6216457354060999E-2</v>
      </c>
      <c r="G5649" s="2">
        <v>2</v>
      </c>
    </row>
    <row r="5650" spans="1:7" x14ac:dyDescent="0.2">
      <c r="A5650" s="2" t="s">
        <v>84</v>
      </c>
      <c r="B5650" s="14">
        <v>38412</v>
      </c>
      <c r="C5650" s="2">
        <v>-2.0080321286E-2</v>
      </c>
      <c r="D5650" s="2">
        <v>1.6174374E-4</v>
      </c>
      <c r="E5650" s="2">
        <v>1</v>
      </c>
      <c r="F5650" s="2">
        <v>1.69310941892814E-2</v>
      </c>
      <c r="G5650" s="2">
        <v>2</v>
      </c>
    </row>
    <row r="5651" spans="1:7" x14ac:dyDescent="0.2">
      <c r="A5651" s="2" t="s">
        <v>84</v>
      </c>
      <c r="B5651" s="14">
        <v>38443</v>
      </c>
      <c r="C5651" s="2">
        <v>-5.7834734133999999E-3</v>
      </c>
      <c r="D5651" s="2">
        <v>1.8958327000000001E-4</v>
      </c>
      <c r="E5651" s="2">
        <v>1</v>
      </c>
      <c r="F5651" s="2">
        <v>1.77617752781884E-2</v>
      </c>
      <c r="G5651" s="2">
        <v>2</v>
      </c>
    </row>
    <row r="5652" spans="1:7" x14ac:dyDescent="0.2">
      <c r="A5652" s="2" t="s">
        <v>84</v>
      </c>
      <c r="B5652" s="14">
        <v>38473</v>
      </c>
      <c r="C5652" s="2">
        <v>2.9661016950000001E-2</v>
      </c>
      <c r="D5652" s="2">
        <v>3.7151996999999998E-4</v>
      </c>
      <c r="E5652" s="2">
        <v>1</v>
      </c>
      <c r="F5652" s="2">
        <v>1.3911988738553101E-2</v>
      </c>
      <c r="G5652" s="2">
        <v>2</v>
      </c>
    </row>
    <row r="5653" spans="1:7" x14ac:dyDescent="0.2">
      <c r="A5653" s="2" t="s">
        <v>84</v>
      </c>
      <c r="B5653" s="14">
        <v>38504</v>
      </c>
      <c r="C5653" s="2">
        <v>1.6049382716999998E-2</v>
      </c>
      <c r="D5653" s="19">
        <v>3.1416515000000001E-5</v>
      </c>
      <c r="E5653" s="2">
        <v>1</v>
      </c>
      <c r="F5653" s="2">
        <v>1.7084315083315899E-2</v>
      </c>
      <c r="G5653" s="2">
        <v>2</v>
      </c>
    </row>
    <row r="5654" spans="1:7" x14ac:dyDescent="0.2">
      <c r="A5654" s="2" t="s">
        <v>84</v>
      </c>
      <c r="B5654" s="14">
        <v>38534</v>
      </c>
      <c r="C5654" s="2">
        <v>7.7359254759000004E-2</v>
      </c>
      <c r="D5654" s="2">
        <v>5.5718673E-3</v>
      </c>
      <c r="E5654" s="2">
        <v>1</v>
      </c>
      <c r="F5654" s="2">
        <v>1.6252514302729799E-2</v>
      </c>
      <c r="G5654" s="2">
        <v>2</v>
      </c>
    </row>
    <row r="5655" spans="1:7" x14ac:dyDescent="0.2">
      <c r="A5655" s="2" t="s">
        <v>84</v>
      </c>
      <c r="B5655" s="14">
        <v>38565</v>
      </c>
      <c r="C5655" s="2">
        <v>-7.5187969924000002E-3</v>
      </c>
      <c r="D5655" s="2">
        <v>3.3025651E-3</v>
      </c>
      <c r="E5655" s="2">
        <v>1</v>
      </c>
      <c r="F5655" s="2">
        <v>1.9974507632947301E-2</v>
      </c>
      <c r="G5655" s="2">
        <v>2</v>
      </c>
    </row>
    <row r="5656" spans="1:7" x14ac:dyDescent="0.2">
      <c r="A5656" s="2" t="s">
        <v>84</v>
      </c>
      <c r="B5656" s="14">
        <v>38596</v>
      </c>
      <c r="C5656" s="2">
        <v>7.4242424234000001E-3</v>
      </c>
      <c r="D5656" s="2">
        <v>2.0078720999999999E-4</v>
      </c>
      <c r="E5656" s="2">
        <v>1</v>
      </c>
      <c r="F5656" s="2">
        <v>1.9487780820222199E-2</v>
      </c>
      <c r="G5656" s="2">
        <v>2</v>
      </c>
    </row>
    <row r="5657" spans="1:7" x14ac:dyDescent="0.2">
      <c r="A5657" s="2" t="s">
        <v>84</v>
      </c>
      <c r="B5657" s="14">
        <v>38626</v>
      </c>
      <c r="C5657" s="2">
        <v>-9.3499682553000001E-3</v>
      </c>
      <c r="D5657" s="2">
        <v>0</v>
      </c>
      <c r="E5657" s="2">
        <v>1</v>
      </c>
      <c r="F5657" s="2">
        <v>2.0207306770268201E-2</v>
      </c>
      <c r="G5657" s="2">
        <v>2</v>
      </c>
    </row>
    <row r="5658" spans="1:7" x14ac:dyDescent="0.2">
      <c r="A5658" s="2" t="s">
        <v>84</v>
      </c>
      <c r="B5658" s="14">
        <v>38657</v>
      </c>
      <c r="C5658" s="2">
        <v>-2.3076923076999999E-2</v>
      </c>
      <c r="D5658" s="2">
        <v>0</v>
      </c>
      <c r="E5658" s="2">
        <v>1</v>
      </c>
      <c r="F5658" s="2">
        <v>1.99123150458883E-2</v>
      </c>
      <c r="G5658" s="2">
        <v>2</v>
      </c>
    </row>
    <row r="5659" spans="1:7" x14ac:dyDescent="0.2">
      <c r="A5659" s="2" t="s">
        <v>84</v>
      </c>
      <c r="B5659" s="14">
        <v>38687</v>
      </c>
      <c r="C5659" s="2">
        <v>-7.0866141731999996E-2</v>
      </c>
      <c r="D5659" s="2">
        <v>0</v>
      </c>
      <c r="E5659" s="2">
        <v>1</v>
      </c>
      <c r="F5659" s="2">
        <v>1.82610417332888E-2</v>
      </c>
      <c r="G5659" s="2">
        <v>2</v>
      </c>
    </row>
    <row r="5660" spans="1:7" x14ac:dyDescent="0.2">
      <c r="A5660" s="2" t="s">
        <v>84</v>
      </c>
      <c r="B5660" s="14">
        <v>38718</v>
      </c>
      <c r="C5660" s="2">
        <v>2.1186440678999999E-2</v>
      </c>
      <c r="D5660" s="2">
        <v>-1.9073558E-4</v>
      </c>
      <c r="E5660" s="2">
        <v>1</v>
      </c>
      <c r="F5660" s="2">
        <v>1.60271858026097E-2</v>
      </c>
      <c r="G5660" s="2">
        <v>2</v>
      </c>
    </row>
    <row r="5661" spans="1:7" x14ac:dyDescent="0.2">
      <c r="A5661" s="2" t="s">
        <v>84</v>
      </c>
      <c r="B5661" s="14">
        <v>38749</v>
      </c>
      <c r="C5661" s="2">
        <v>-1.1850127376999999E-2</v>
      </c>
      <c r="D5661" s="19">
        <v>5.4747804999999998E-5</v>
      </c>
      <c r="E5661" s="2">
        <v>1</v>
      </c>
      <c r="F5661" s="2">
        <v>1.43619556493135E-2</v>
      </c>
      <c r="G5661" s="2">
        <v>2</v>
      </c>
    </row>
    <row r="5662" spans="1:7" x14ac:dyDescent="0.2">
      <c r="A5662" s="2" t="s">
        <v>84</v>
      </c>
      <c r="B5662" s="14">
        <v>38777</v>
      </c>
      <c r="C5662" s="2">
        <v>3.7815126051999999E-2</v>
      </c>
      <c r="D5662" s="2">
        <v>3.7092713000000002E-3</v>
      </c>
      <c r="E5662" s="2">
        <v>1</v>
      </c>
      <c r="F5662" s="2">
        <v>1.4267095022496901E-2</v>
      </c>
      <c r="G5662" s="2">
        <v>2</v>
      </c>
    </row>
    <row r="5663" spans="1:7" x14ac:dyDescent="0.2">
      <c r="A5663" s="2" t="s">
        <v>84</v>
      </c>
      <c r="B5663" s="14">
        <v>38808</v>
      </c>
      <c r="C5663" s="2">
        <v>1.8692857250999999E-2</v>
      </c>
      <c r="D5663" s="2">
        <v>0</v>
      </c>
      <c r="E5663" s="2">
        <v>1</v>
      </c>
      <c r="F5663" s="2">
        <v>1.5078153983997899E-2</v>
      </c>
      <c r="G5663" s="2">
        <v>2</v>
      </c>
    </row>
    <row r="5664" spans="1:7" x14ac:dyDescent="0.2">
      <c r="A5664" s="2" t="s">
        <v>84</v>
      </c>
      <c r="B5664" s="14">
        <v>38838</v>
      </c>
      <c r="C5664" s="2">
        <v>1.6310138512999998E-2</v>
      </c>
      <c r="D5664" s="2">
        <v>1.0225194000000001E-4</v>
      </c>
      <c r="E5664" s="2">
        <v>1</v>
      </c>
      <c r="F5664" s="2">
        <v>1.59163451421886E-2</v>
      </c>
      <c r="G5664" s="2">
        <v>2</v>
      </c>
    </row>
    <row r="5665" spans="1:7" x14ac:dyDescent="0.2">
      <c r="A5665" s="2" t="s">
        <v>84</v>
      </c>
      <c r="B5665" s="14">
        <v>38869</v>
      </c>
      <c r="C5665" s="2">
        <v>-8.0645161287999992E-3</v>
      </c>
      <c r="D5665" s="2">
        <v>-3.9718286000000003E-4</v>
      </c>
      <c r="E5665" s="2">
        <v>1</v>
      </c>
      <c r="F5665" s="2">
        <v>1.69414943855376E-2</v>
      </c>
      <c r="G5665" s="2">
        <v>2</v>
      </c>
    </row>
    <row r="5666" spans="1:7" x14ac:dyDescent="0.2">
      <c r="A5666" s="2" t="s">
        <v>84</v>
      </c>
      <c r="B5666" s="14">
        <v>38899</v>
      </c>
      <c r="C5666" s="2">
        <v>0</v>
      </c>
      <c r="D5666" s="2">
        <v>-3.6478999999999998E-4</v>
      </c>
      <c r="E5666" s="2">
        <v>1</v>
      </c>
      <c r="F5666" s="2">
        <v>1.8775466083212799E-2</v>
      </c>
      <c r="G5666" s="2">
        <v>2</v>
      </c>
    </row>
    <row r="5667" spans="1:7" x14ac:dyDescent="0.2">
      <c r="A5667" s="2" t="s">
        <v>84</v>
      </c>
      <c r="B5667" s="14">
        <v>38930</v>
      </c>
      <c r="C5667" s="2">
        <v>4.6747967480999998E-2</v>
      </c>
      <c r="D5667" s="2">
        <v>0</v>
      </c>
      <c r="E5667" s="2">
        <v>1</v>
      </c>
      <c r="F5667" s="2">
        <v>2.07801001247357E-2</v>
      </c>
      <c r="G5667" s="2">
        <v>2</v>
      </c>
    </row>
    <row r="5668" spans="1:7" x14ac:dyDescent="0.2">
      <c r="A5668" s="2" t="s">
        <v>84</v>
      </c>
      <c r="B5668" s="14">
        <v>38961</v>
      </c>
      <c r="C5668" s="2">
        <v>2.5242718446000002E-2</v>
      </c>
      <c r="D5668" s="19">
        <v>-2.0331905000000001E-5</v>
      </c>
      <c r="E5668" s="2">
        <v>1</v>
      </c>
      <c r="F5668" s="2">
        <v>2.24316146059363E-2</v>
      </c>
      <c r="G5668" s="2">
        <v>2</v>
      </c>
    </row>
    <row r="5669" spans="1:7" x14ac:dyDescent="0.2">
      <c r="A5669" s="2" t="s">
        <v>84</v>
      </c>
      <c r="B5669" s="14">
        <v>38991</v>
      </c>
      <c r="C5669" s="2">
        <v>1.6044776120999998E-2</v>
      </c>
      <c r="D5669" s="2">
        <v>0</v>
      </c>
      <c r="E5669" s="2">
        <v>1</v>
      </c>
      <c r="F5669" s="2">
        <v>2.1917908470957599E-2</v>
      </c>
      <c r="G5669" s="2">
        <v>2</v>
      </c>
    </row>
    <row r="5670" spans="1:7" x14ac:dyDescent="0.2">
      <c r="A5670" s="2" t="s">
        <v>84</v>
      </c>
      <c r="B5670" s="14">
        <v>39022</v>
      </c>
      <c r="C5670" s="2">
        <v>-1.5151515152E-2</v>
      </c>
      <c r="D5670" s="19">
        <v>7.1666058E-5</v>
      </c>
      <c r="E5670" s="2">
        <v>1</v>
      </c>
      <c r="F5670" s="2">
        <v>2.1839655682309701E-2</v>
      </c>
      <c r="G5670" s="2">
        <v>2</v>
      </c>
    </row>
    <row r="5671" spans="1:7" x14ac:dyDescent="0.2">
      <c r="A5671" s="2" t="s">
        <v>84</v>
      </c>
      <c r="B5671" s="14">
        <v>39052</v>
      </c>
      <c r="C5671" s="2">
        <v>7.6615384613999998E-2</v>
      </c>
      <c r="D5671" s="2">
        <v>-1.0791372E-3</v>
      </c>
      <c r="E5671" s="2">
        <v>1</v>
      </c>
      <c r="F5671" s="2">
        <v>2.09545856175722E-2</v>
      </c>
      <c r="G5671" s="2">
        <v>2</v>
      </c>
    </row>
    <row r="5672" spans="1:7" x14ac:dyDescent="0.2">
      <c r="A5672" s="2" t="s">
        <v>84</v>
      </c>
      <c r="B5672" s="14">
        <v>39083</v>
      </c>
      <c r="C5672" s="2">
        <v>0.13603886825</v>
      </c>
      <c r="D5672" s="2">
        <v>-7.3606270999999998E-4</v>
      </c>
      <c r="E5672" s="2">
        <v>1</v>
      </c>
      <c r="F5672" s="2">
        <v>2.3149025200459399E-2</v>
      </c>
      <c r="G5672" s="2">
        <v>2</v>
      </c>
    </row>
    <row r="5673" spans="1:7" x14ac:dyDescent="0.2">
      <c r="A5673" s="2" t="s">
        <v>84</v>
      </c>
      <c r="B5673" s="14">
        <v>39114</v>
      </c>
      <c r="C5673" s="2">
        <v>-5.0314465410000002E-2</v>
      </c>
      <c r="D5673" s="2">
        <v>0</v>
      </c>
      <c r="E5673" s="2">
        <v>1</v>
      </c>
      <c r="F5673" s="2">
        <v>2.70997130435685E-2</v>
      </c>
      <c r="G5673" s="2">
        <v>2</v>
      </c>
    </row>
    <row r="5674" spans="1:7" x14ac:dyDescent="0.2">
      <c r="A5674" s="2" t="s">
        <v>84</v>
      </c>
      <c r="B5674" s="14">
        <v>39142</v>
      </c>
      <c r="C5674" s="2">
        <v>2.9801324505000001E-2</v>
      </c>
      <c r="D5674" s="2">
        <v>6.8150839000000001E-4</v>
      </c>
      <c r="E5674" s="2">
        <v>1</v>
      </c>
      <c r="F5674" s="2">
        <v>2.4496419249548301E-2</v>
      </c>
      <c r="G5674" s="2">
        <v>2</v>
      </c>
    </row>
    <row r="5675" spans="1:7" x14ac:dyDescent="0.2">
      <c r="A5675" s="2" t="s">
        <v>84</v>
      </c>
      <c r="B5675" s="14">
        <v>39173</v>
      </c>
      <c r="C5675" s="2">
        <v>5.5886207843000003E-2</v>
      </c>
      <c r="D5675" s="2">
        <v>0</v>
      </c>
      <c r="E5675" s="2">
        <v>1</v>
      </c>
      <c r="F5675" s="2">
        <v>2.4558680430931401E-2</v>
      </c>
      <c r="G5675" s="2">
        <v>2</v>
      </c>
    </row>
    <row r="5676" spans="1:7" x14ac:dyDescent="0.2">
      <c r="A5676" s="2" t="s">
        <v>84</v>
      </c>
      <c r="B5676" s="14">
        <v>39203</v>
      </c>
      <c r="C5676" s="2">
        <v>3.7435160302000003E-2</v>
      </c>
      <c r="D5676" s="2">
        <v>0</v>
      </c>
      <c r="E5676" s="2">
        <v>1</v>
      </c>
      <c r="F5676" s="2">
        <v>2.5659816676852801E-2</v>
      </c>
      <c r="G5676" s="2">
        <v>2</v>
      </c>
    </row>
    <row r="5677" spans="1:7" x14ac:dyDescent="0.2">
      <c r="A5677" s="2" t="s">
        <v>84</v>
      </c>
      <c r="B5677" s="14">
        <v>39234</v>
      </c>
      <c r="C5677" s="2">
        <v>5.4216867469E-2</v>
      </c>
      <c r="D5677" s="2">
        <v>0</v>
      </c>
      <c r="E5677" s="2">
        <v>1</v>
      </c>
      <c r="F5677" s="2">
        <v>2.7094400466685299E-2</v>
      </c>
      <c r="G5677" s="2">
        <v>2</v>
      </c>
    </row>
    <row r="5678" spans="1:7" x14ac:dyDescent="0.2">
      <c r="A5678" s="2" t="s">
        <v>84</v>
      </c>
      <c r="B5678" s="14">
        <v>39264</v>
      </c>
      <c r="C5678" s="2">
        <v>0.14285714285000001</v>
      </c>
      <c r="D5678" s="2">
        <v>0</v>
      </c>
      <c r="E5678" s="2">
        <v>1</v>
      </c>
      <c r="F5678" s="2">
        <v>2.6307760040372399E-2</v>
      </c>
      <c r="G5678" s="2">
        <v>2</v>
      </c>
    </row>
    <row r="5679" spans="1:7" x14ac:dyDescent="0.2">
      <c r="A5679" s="2" t="s">
        <v>84</v>
      </c>
      <c r="B5679" s="14">
        <v>39295</v>
      </c>
      <c r="C5679" s="2">
        <v>3.5000000000000003E-2</v>
      </c>
      <c r="D5679" s="2">
        <v>0</v>
      </c>
      <c r="E5679" s="2">
        <v>1</v>
      </c>
      <c r="F5679" s="2">
        <v>2.5111554769867501E-2</v>
      </c>
      <c r="G5679" s="2">
        <v>2</v>
      </c>
    </row>
    <row r="5680" spans="1:7" x14ac:dyDescent="0.2">
      <c r="A5680" s="2" t="s">
        <v>84</v>
      </c>
      <c r="B5680" s="14">
        <v>39326</v>
      </c>
      <c r="C5680" s="2">
        <v>-4.8309178745999997E-3</v>
      </c>
      <c r="D5680" s="2">
        <v>1.8792036000000001E-3</v>
      </c>
      <c r="E5680" s="2">
        <v>1</v>
      </c>
      <c r="F5680" s="2">
        <v>2.7499879887923202E-2</v>
      </c>
      <c r="G5680" s="2">
        <v>2</v>
      </c>
    </row>
    <row r="5681" spans="1:7" x14ac:dyDescent="0.2">
      <c r="A5681" s="2" t="s">
        <v>84</v>
      </c>
      <c r="B5681" s="14">
        <v>39356</v>
      </c>
      <c r="C5681" s="2">
        <v>0.16915257890999999</v>
      </c>
      <c r="D5681" s="2">
        <v>-2.9353974999999998E-4</v>
      </c>
      <c r="E5681" s="2">
        <v>1</v>
      </c>
      <c r="F5681" s="2">
        <v>2.6541353752392499E-2</v>
      </c>
      <c r="G5681" s="2">
        <v>2</v>
      </c>
    </row>
    <row r="5682" spans="1:7" x14ac:dyDescent="0.2">
      <c r="A5682" s="2" t="s">
        <v>84</v>
      </c>
      <c r="B5682" s="14">
        <v>39387</v>
      </c>
      <c r="C5682" s="2">
        <v>-0.11764705882</v>
      </c>
      <c r="D5682" s="2">
        <v>-7.3510996000000002E-4</v>
      </c>
      <c r="E5682" s="2">
        <v>1</v>
      </c>
      <c r="F5682" s="2">
        <v>2.9668897167535801E-2</v>
      </c>
      <c r="G5682" s="2">
        <v>2</v>
      </c>
    </row>
    <row r="5683" spans="1:7" x14ac:dyDescent="0.2">
      <c r="A5683" s="2" t="s">
        <v>84</v>
      </c>
      <c r="B5683" s="14">
        <v>39417</v>
      </c>
      <c r="C5683" s="2">
        <v>-7.6190476189999995E-2</v>
      </c>
      <c r="D5683" s="2">
        <v>0</v>
      </c>
      <c r="E5683" s="2">
        <v>1</v>
      </c>
      <c r="F5683" s="2">
        <v>2.5751024333055501E-2</v>
      </c>
      <c r="G5683" s="2">
        <v>2</v>
      </c>
    </row>
    <row r="5684" spans="1:7" x14ac:dyDescent="0.2">
      <c r="A5684" s="2" t="s">
        <v>84</v>
      </c>
      <c r="B5684" s="14">
        <v>39448</v>
      </c>
      <c r="C5684" s="2">
        <v>-6.6288659794000004E-2</v>
      </c>
      <c r="D5684" s="19">
        <v>8.9073145999999998E-6</v>
      </c>
      <c r="E5684" s="2">
        <v>1</v>
      </c>
      <c r="F5684" s="2">
        <v>2.22880398397142E-2</v>
      </c>
      <c r="G5684" s="2">
        <v>2</v>
      </c>
    </row>
    <row r="5685" spans="1:7" x14ac:dyDescent="0.2">
      <c r="A5685" s="2" t="s">
        <v>84</v>
      </c>
      <c r="B5685" s="14">
        <v>39479</v>
      </c>
      <c r="C5685" s="2">
        <v>2.1254278456999998E-2</v>
      </c>
      <c r="D5685" s="2">
        <v>0</v>
      </c>
      <c r="E5685" s="2">
        <v>1</v>
      </c>
      <c r="F5685" s="2">
        <v>1.6365979327722501E-2</v>
      </c>
      <c r="G5685" s="2">
        <v>2</v>
      </c>
    </row>
    <row r="5686" spans="1:7" x14ac:dyDescent="0.2">
      <c r="A5686" s="2" t="s">
        <v>84</v>
      </c>
      <c r="B5686" s="14">
        <v>39508</v>
      </c>
      <c r="C5686" s="2">
        <v>-2.6974431050000001E-2</v>
      </c>
      <c r="D5686" s="19">
        <v>1.8321673000000001E-5</v>
      </c>
      <c r="E5686" s="2">
        <v>1</v>
      </c>
      <c r="F5686" s="2">
        <v>1.5870757703643001E-2</v>
      </c>
      <c r="G5686" s="2">
        <v>2</v>
      </c>
    </row>
    <row r="5687" spans="1:7" x14ac:dyDescent="0.2">
      <c r="A5687" s="2" t="s">
        <v>84</v>
      </c>
      <c r="B5687" s="14">
        <v>39539</v>
      </c>
      <c r="C5687" s="2">
        <v>-4.1081286883000001E-2</v>
      </c>
      <c r="D5687" s="19">
        <v>-5.3951841E-5</v>
      </c>
      <c r="E5687" s="2">
        <v>1</v>
      </c>
      <c r="F5687" s="2">
        <v>1.53157961627824E-2</v>
      </c>
      <c r="G5687" s="2">
        <v>2</v>
      </c>
    </row>
    <row r="5688" spans="1:7" x14ac:dyDescent="0.2">
      <c r="A5688" s="2" t="s">
        <v>84</v>
      </c>
      <c r="B5688" s="14">
        <v>39569</v>
      </c>
      <c r="C5688" s="2">
        <v>7.1428571428000007E-2</v>
      </c>
      <c r="D5688" s="19">
        <v>-2.8077238E-5</v>
      </c>
      <c r="E5688" s="2">
        <v>1</v>
      </c>
      <c r="F5688" s="2">
        <v>9.4129572244582797E-3</v>
      </c>
      <c r="G5688" s="2">
        <v>2</v>
      </c>
    </row>
    <row r="5689" spans="1:7" x14ac:dyDescent="0.2">
      <c r="A5689" s="2" t="s">
        <v>84</v>
      </c>
      <c r="B5689" s="14">
        <v>39600</v>
      </c>
      <c r="C5689" s="2">
        <v>-1.1111111111999999E-2</v>
      </c>
      <c r="D5689" s="2">
        <v>-8.5678282999999999E-4</v>
      </c>
      <c r="E5689" s="2">
        <v>1</v>
      </c>
      <c r="F5689" s="2">
        <v>1.47470679883989E-2</v>
      </c>
      <c r="G5689" s="2">
        <v>2</v>
      </c>
    </row>
    <row r="5690" spans="1:7" x14ac:dyDescent="0.2">
      <c r="A5690" s="2" t="s">
        <v>84</v>
      </c>
      <c r="B5690" s="14">
        <v>39630</v>
      </c>
      <c r="C5690" s="2">
        <v>-8.9943820224999999E-2</v>
      </c>
      <c r="D5690" s="2">
        <v>-1.5233981000000001E-2</v>
      </c>
      <c r="E5690" s="2">
        <v>1</v>
      </c>
      <c r="F5690" s="2">
        <v>1.66387043928088E-2</v>
      </c>
      <c r="G5690" s="2">
        <v>2</v>
      </c>
    </row>
    <row r="5691" spans="1:7" x14ac:dyDescent="0.2">
      <c r="A5691" s="2" t="s">
        <v>84</v>
      </c>
      <c r="B5691" s="14">
        <v>39661</v>
      </c>
      <c r="C5691" s="2">
        <v>-1.2284708932E-2</v>
      </c>
      <c r="D5691" s="2">
        <v>0</v>
      </c>
      <c r="E5691" s="2">
        <v>1</v>
      </c>
      <c r="F5691" s="2">
        <v>1.21932029071577E-2</v>
      </c>
      <c r="G5691" s="2">
        <v>2</v>
      </c>
    </row>
    <row r="5692" spans="1:7" x14ac:dyDescent="0.2">
      <c r="A5692" s="2" t="s">
        <v>84</v>
      </c>
      <c r="B5692" s="14">
        <v>39692</v>
      </c>
      <c r="C5692" s="2">
        <v>-0.125</v>
      </c>
      <c r="D5692" s="19">
        <v>6.7878235999999997E-6</v>
      </c>
      <c r="E5692" s="2">
        <v>1</v>
      </c>
      <c r="F5692" s="2">
        <v>1.12268626376057E-2</v>
      </c>
      <c r="G5692" s="2">
        <v>2</v>
      </c>
    </row>
    <row r="5693" spans="1:7" x14ac:dyDescent="0.2">
      <c r="A5693" s="2" t="s">
        <v>84</v>
      </c>
      <c r="B5693" s="14">
        <v>39722</v>
      </c>
      <c r="C5693" s="2">
        <v>-0.12831697564</v>
      </c>
      <c r="D5693" s="2">
        <v>-1.5256060999999999E-3</v>
      </c>
      <c r="E5693" s="2">
        <v>1</v>
      </c>
      <c r="F5693" s="2">
        <v>8.8117508047374001E-3</v>
      </c>
      <c r="G5693" s="2">
        <v>2</v>
      </c>
    </row>
    <row r="5694" spans="1:7" x14ac:dyDescent="0.2">
      <c r="A5694" s="2" t="s">
        <v>84</v>
      </c>
      <c r="B5694" s="14">
        <v>39753</v>
      </c>
      <c r="C5694" s="2">
        <v>-8.3333333332999998E-2</v>
      </c>
      <c r="D5694" s="19">
        <v>-1.1630168E-5</v>
      </c>
      <c r="E5694" s="2">
        <v>1</v>
      </c>
      <c r="F5694" s="2">
        <v>6.2369351705266803E-3</v>
      </c>
      <c r="G5694" s="2">
        <v>2</v>
      </c>
    </row>
    <row r="5695" spans="1:7" x14ac:dyDescent="0.2">
      <c r="A5695" s="2" t="s">
        <v>84</v>
      </c>
      <c r="B5695" s="14">
        <v>39783</v>
      </c>
      <c r="C5695" s="2">
        <v>-3.6363636364000002E-2</v>
      </c>
      <c r="D5695" s="2">
        <v>-1.3912453E-3</v>
      </c>
      <c r="E5695" s="2">
        <v>1</v>
      </c>
      <c r="F5695" s="2">
        <v>1.9138275505232801E-3</v>
      </c>
      <c r="G5695" s="2">
        <v>2</v>
      </c>
    </row>
    <row r="5696" spans="1:7" x14ac:dyDescent="0.2">
      <c r="A5696" s="2" t="s">
        <v>85</v>
      </c>
      <c r="B5696" s="14">
        <v>37591</v>
      </c>
      <c r="C5696" s="2">
        <v>0</v>
      </c>
      <c r="E5696" s="2">
        <v>1</v>
      </c>
      <c r="G5696" s="2">
        <v>2</v>
      </c>
    </row>
    <row r="5697" spans="1:7" x14ac:dyDescent="0.2">
      <c r="A5697" s="2" t="s">
        <v>85</v>
      </c>
      <c r="B5697" s="14">
        <v>37622</v>
      </c>
      <c r="C5697" s="2">
        <v>-1.414631169E-2</v>
      </c>
      <c r="E5697" s="2">
        <v>1</v>
      </c>
      <c r="G5697" s="2">
        <v>2</v>
      </c>
    </row>
    <row r="5698" spans="1:7" x14ac:dyDescent="0.2">
      <c r="A5698" s="2" t="s">
        <v>85</v>
      </c>
      <c r="B5698" s="14">
        <v>37653</v>
      </c>
      <c r="C5698" s="2">
        <v>0</v>
      </c>
      <c r="E5698" s="2">
        <v>1</v>
      </c>
      <c r="G5698" s="2">
        <v>2</v>
      </c>
    </row>
    <row r="5699" spans="1:7" x14ac:dyDescent="0.2">
      <c r="A5699" s="2" t="s">
        <v>85</v>
      </c>
      <c r="B5699" s="14">
        <v>37681</v>
      </c>
      <c r="C5699" s="2">
        <v>-5.4428801103999997E-3</v>
      </c>
      <c r="E5699" s="2">
        <v>1</v>
      </c>
      <c r="G5699" s="2">
        <v>2</v>
      </c>
    </row>
    <row r="5700" spans="1:7" x14ac:dyDescent="0.2">
      <c r="A5700" s="2" t="s">
        <v>85</v>
      </c>
      <c r="B5700" s="14">
        <v>37712</v>
      </c>
      <c r="C5700" s="2">
        <v>0</v>
      </c>
      <c r="E5700" s="2">
        <v>1</v>
      </c>
      <c r="G5700" s="2">
        <v>2</v>
      </c>
    </row>
    <row r="5701" spans="1:7" x14ac:dyDescent="0.2">
      <c r="A5701" s="2" t="s">
        <v>85</v>
      </c>
      <c r="B5701" s="14">
        <v>37742</v>
      </c>
      <c r="C5701" s="2">
        <v>4.0160642565999997E-3</v>
      </c>
      <c r="E5701" s="2">
        <v>1</v>
      </c>
      <c r="G5701" s="2">
        <v>2</v>
      </c>
    </row>
    <row r="5702" spans="1:7" x14ac:dyDescent="0.2">
      <c r="A5702" s="2" t="s">
        <v>85</v>
      </c>
      <c r="B5702" s="14">
        <v>37773</v>
      </c>
      <c r="C5702" s="2">
        <v>4.9999999998999997E-2</v>
      </c>
      <c r="E5702" s="2">
        <v>1</v>
      </c>
      <c r="G5702" s="2">
        <v>2</v>
      </c>
    </row>
    <row r="5703" spans="1:7" x14ac:dyDescent="0.2">
      <c r="A5703" s="2" t="s">
        <v>85</v>
      </c>
      <c r="B5703" s="14">
        <v>37803</v>
      </c>
      <c r="C5703" s="2">
        <v>7.1428571428000007E-2</v>
      </c>
      <c r="E5703" s="2">
        <v>1</v>
      </c>
      <c r="G5703" s="2">
        <v>2</v>
      </c>
    </row>
    <row r="5704" spans="1:7" x14ac:dyDescent="0.2">
      <c r="A5704" s="2" t="s">
        <v>85</v>
      </c>
      <c r="B5704" s="14">
        <v>37834</v>
      </c>
      <c r="C5704" s="2">
        <v>0.37777777777999999</v>
      </c>
      <c r="E5704" s="2">
        <v>1</v>
      </c>
      <c r="F5704" s="2">
        <v>3.4968399088452201E-2</v>
      </c>
      <c r="G5704" s="2">
        <v>2</v>
      </c>
    </row>
    <row r="5705" spans="1:7" x14ac:dyDescent="0.2">
      <c r="A5705" s="2" t="s">
        <v>85</v>
      </c>
      <c r="B5705" s="14">
        <v>37865</v>
      </c>
      <c r="C5705" s="2">
        <v>-3.2258064517000001E-2</v>
      </c>
      <c r="E5705" s="2">
        <v>1</v>
      </c>
      <c r="F5705" s="2">
        <v>4.7015912481656402E-2</v>
      </c>
      <c r="G5705" s="2">
        <v>2</v>
      </c>
    </row>
    <row r="5706" spans="1:7" x14ac:dyDescent="0.2">
      <c r="A5706" s="2" t="s">
        <v>85</v>
      </c>
      <c r="B5706" s="14">
        <v>37895</v>
      </c>
      <c r="C5706" s="2">
        <v>0</v>
      </c>
      <c r="E5706" s="2">
        <v>1</v>
      </c>
      <c r="F5706" s="2">
        <v>4.6228021689134299E-2</v>
      </c>
      <c r="G5706" s="2">
        <v>2</v>
      </c>
    </row>
    <row r="5707" spans="1:7" x14ac:dyDescent="0.2">
      <c r="A5707" s="2" t="s">
        <v>85</v>
      </c>
      <c r="B5707" s="14">
        <v>37926</v>
      </c>
      <c r="C5707" s="2">
        <v>-0.22666666666999999</v>
      </c>
      <c r="E5707" s="2">
        <v>1</v>
      </c>
      <c r="F5707" s="2">
        <v>4.6111555478179501E-2</v>
      </c>
      <c r="G5707" s="2">
        <v>2</v>
      </c>
    </row>
    <row r="5708" spans="1:7" x14ac:dyDescent="0.2">
      <c r="A5708" s="2" t="s">
        <v>85</v>
      </c>
      <c r="B5708" s="14">
        <v>37956</v>
      </c>
      <c r="C5708" s="2">
        <v>3.4482758619999998E-2</v>
      </c>
      <c r="E5708" s="2">
        <v>1</v>
      </c>
      <c r="F5708" s="2">
        <v>4.0408371281237497E-2</v>
      </c>
      <c r="G5708" s="2">
        <v>2</v>
      </c>
    </row>
    <row r="5709" spans="1:7" x14ac:dyDescent="0.2">
      <c r="A5709" s="2" t="s">
        <v>85</v>
      </c>
      <c r="B5709" s="14">
        <v>37987</v>
      </c>
      <c r="C5709" s="2">
        <v>0</v>
      </c>
      <c r="E5709" s="2">
        <v>1</v>
      </c>
      <c r="F5709" s="2">
        <v>3.9761258383139798E-2</v>
      </c>
      <c r="G5709" s="2">
        <v>2</v>
      </c>
    </row>
    <row r="5710" spans="1:7" x14ac:dyDescent="0.2">
      <c r="A5710" s="2" t="s">
        <v>85</v>
      </c>
      <c r="B5710" s="14">
        <v>38018</v>
      </c>
      <c r="C5710" s="2">
        <v>0</v>
      </c>
      <c r="E5710" s="2">
        <v>1</v>
      </c>
      <c r="F5710" s="2">
        <v>3.7692377746448999E-2</v>
      </c>
      <c r="G5710" s="2">
        <v>2</v>
      </c>
    </row>
    <row r="5711" spans="1:7" x14ac:dyDescent="0.2">
      <c r="A5711" s="2" t="s">
        <v>85</v>
      </c>
      <c r="B5711" s="14">
        <v>38047</v>
      </c>
      <c r="E5711" s="2">
        <v>1</v>
      </c>
      <c r="F5711" s="2">
        <v>2.6778084767391599E-2</v>
      </c>
      <c r="G5711" s="2">
        <v>2</v>
      </c>
    </row>
    <row r="5712" spans="1:7" x14ac:dyDescent="0.2">
      <c r="A5712" s="2" t="s">
        <v>85</v>
      </c>
      <c r="B5712" s="14">
        <v>38078</v>
      </c>
      <c r="C5712" s="2">
        <v>-8.3333333332999998E-2</v>
      </c>
      <c r="E5712" s="2">
        <v>1</v>
      </c>
      <c r="G5712" s="2">
        <v>2</v>
      </c>
    </row>
    <row r="5713" spans="1:7" x14ac:dyDescent="0.2">
      <c r="A5713" s="2" t="s">
        <v>85</v>
      </c>
      <c r="B5713" s="14">
        <v>38108</v>
      </c>
      <c r="C5713" s="2">
        <v>2.9835787325000002E-2</v>
      </c>
      <c r="E5713" s="2">
        <v>1</v>
      </c>
      <c r="F5713" s="2">
        <v>2.5686712066622E-2</v>
      </c>
      <c r="G5713" s="2">
        <v>2</v>
      </c>
    </row>
    <row r="5714" spans="1:7" x14ac:dyDescent="0.2">
      <c r="A5714" s="2" t="s">
        <v>85</v>
      </c>
      <c r="B5714" s="14">
        <v>38139</v>
      </c>
      <c r="C5714" s="2">
        <v>0.13122171945</v>
      </c>
      <c r="E5714" s="2">
        <v>1</v>
      </c>
      <c r="F5714" s="2">
        <v>3.3086271921669103E-2</v>
      </c>
      <c r="G5714" s="2">
        <v>2</v>
      </c>
    </row>
    <row r="5715" spans="1:7" x14ac:dyDescent="0.2">
      <c r="A5715" s="2" t="s">
        <v>85</v>
      </c>
      <c r="B5715" s="14">
        <v>38169</v>
      </c>
      <c r="C5715" s="2">
        <v>0.02</v>
      </c>
      <c r="E5715" s="2">
        <v>1</v>
      </c>
      <c r="F5715" s="2">
        <v>3.5670338958609597E-2</v>
      </c>
      <c r="G5715" s="2">
        <v>2</v>
      </c>
    </row>
    <row r="5716" spans="1:7" x14ac:dyDescent="0.2">
      <c r="A5716" s="2" t="s">
        <v>85</v>
      </c>
      <c r="B5716" s="14">
        <v>38200</v>
      </c>
      <c r="C5716" s="2">
        <v>1.9607843135999999E-2</v>
      </c>
      <c r="E5716" s="2">
        <v>1</v>
      </c>
      <c r="F5716" s="2">
        <v>3.4542685311675703E-2</v>
      </c>
      <c r="G5716" s="2">
        <v>2</v>
      </c>
    </row>
    <row r="5717" spans="1:7" x14ac:dyDescent="0.2">
      <c r="A5717" s="2" t="s">
        <v>85</v>
      </c>
      <c r="B5717" s="14">
        <v>38231</v>
      </c>
      <c r="C5717" s="2">
        <v>0</v>
      </c>
      <c r="E5717" s="2">
        <v>1</v>
      </c>
      <c r="F5717" s="2">
        <v>3.3969919086194802E-2</v>
      </c>
      <c r="G5717" s="2">
        <v>2</v>
      </c>
    </row>
    <row r="5718" spans="1:7" x14ac:dyDescent="0.2">
      <c r="A5718" s="2" t="s">
        <v>85</v>
      </c>
      <c r="B5718" s="14">
        <v>38261</v>
      </c>
      <c r="C5718" s="2">
        <v>-3.8461538460999999E-2</v>
      </c>
      <c r="E5718" s="2">
        <v>1</v>
      </c>
      <c r="F5718" s="2">
        <v>3.3964546004909099E-2</v>
      </c>
      <c r="G5718" s="2">
        <v>2</v>
      </c>
    </row>
    <row r="5719" spans="1:7" x14ac:dyDescent="0.2">
      <c r="A5719" s="2" t="s">
        <v>85</v>
      </c>
      <c r="B5719" s="14">
        <v>38292</v>
      </c>
      <c r="C5719" s="2">
        <v>0.08</v>
      </c>
      <c r="E5719" s="2">
        <v>1</v>
      </c>
      <c r="F5719" s="2">
        <v>3.5358852914585501E-2</v>
      </c>
      <c r="G5719" s="2">
        <v>2</v>
      </c>
    </row>
    <row r="5720" spans="1:7" x14ac:dyDescent="0.2">
      <c r="A5720" s="2" t="s">
        <v>85</v>
      </c>
      <c r="B5720" s="14">
        <v>38322</v>
      </c>
      <c r="C5720" s="2">
        <v>3.7037037036000003E-2</v>
      </c>
      <c r="E5720" s="2">
        <v>1</v>
      </c>
      <c r="F5720" s="2">
        <v>3.60223461818951E-2</v>
      </c>
      <c r="G5720" s="2">
        <v>2</v>
      </c>
    </row>
    <row r="5721" spans="1:7" x14ac:dyDescent="0.2">
      <c r="A5721" s="2" t="s">
        <v>85</v>
      </c>
      <c r="B5721" s="14">
        <v>38353</v>
      </c>
      <c r="C5721" s="2">
        <v>0</v>
      </c>
      <c r="E5721" s="2">
        <v>1</v>
      </c>
      <c r="F5721" s="2">
        <v>3.3220078460784098E-2</v>
      </c>
      <c r="G5721" s="2">
        <v>2</v>
      </c>
    </row>
    <row r="5722" spans="1:7" x14ac:dyDescent="0.2">
      <c r="A5722" s="2" t="s">
        <v>85</v>
      </c>
      <c r="B5722" s="14">
        <v>38384</v>
      </c>
      <c r="C5722" s="2">
        <v>0</v>
      </c>
      <c r="E5722" s="2">
        <v>1</v>
      </c>
      <c r="F5722" s="2">
        <v>3.26422629501315E-2</v>
      </c>
      <c r="G5722" s="2">
        <v>2</v>
      </c>
    </row>
    <row r="5723" spans="1:7" x14ac:dyDescent="0.2">
      <c r="A5723" s="2" t="s">
        <v>85</v>
      </c>
      <c r="B5723" s="14">
        <v>38412</v>
      </c>
      <c r="C5723" s="2">
        <v>7.1428571428999998E-2</v>
      </c>
      <c r="E5723" s="2">
        <v>1</v>
      </c>
      <c r="F5723" s="2">
        <v>3.20757771554104E-2</v>
      </c>
      <c r="G5723" s="2">
        <v>2</v>
      </c>
    </row>
    <row r="5724" spans="1:7" x14ac:dyDescent="0.2">
      <c r="A5724" s="2" t="s">
        <v>85</v>
      </c>
      <c r="B5724" s="14">
        <v>38443</v>
      </c>
      <c r="C5724" s="2">
        <v>0.23333333333</v>
      </c>
      <c r="E5724" s="2">
        <v>1</v>
      </c>
      <c r="F5724" s="2">
        <v>3.3974461823103097E-2</v>
      </c>
      <c r="G5724" s="2">
        <v>2</v>
      </c>
    </row>
    <row r="5725" spans="1:7" x14ac:dyDescent="0.2">
      <c r="A5725" s="2" t="s">
        <v>85</v>
      </c>
      <c r="B5725" s="14">
        <v>38473</v>
      </c>
      <c r="C5725" s="2">
        <v>-8.4261132646999998E-2</v>
      </c>
      <c r="E5725" s="2">
        <v>1</v>
      </c>
      <c r="F5725" s="2">
        <v>4.1679792182859603E-2</v>
      </c>
      <c r="G5725" s="2">
        <v>2</v>
      </c>
    </row>
    <row r="5726" spans="1:7" x14ac:dyDescent="0.2">
      <c r="A5726" s="2" t="s">
        <v>85</v>
      </c>
      <c r="B5726" s="14">
        <v>38504</v>
      </c>
      <c r="C5726" s="2">
        <v>0</v>
      </c>
      <c r="E5726" s="2">
        <v>1</v>
      </c>
      <c r="F5726" s="2">
        <v>3.73576526098017E-2</v>
      </c>
      <c r="G5726" s="2">
        <v>2</v>
      </c>
    </row>
    <row r="5727" spans="1:7" x14ac:dyDescent="0.2">
      <c r="A5727" s="2" t="s">
        <v>85</v>
      </c>
      <c r="B5727" s="14">
        <v>38534</v>
      </c>
      <c r="C5727" s="2">
        <v>-9.6385542168999999E-2</v>
      </c>
      <c r="E5727" s="2">
        <v>1</v>
      </c>
      <c r="F5727" s="2">
        <v>3.6198968083635E-2</v>
      </c>
      <c r="G5727" s="2">
        <v>2</v>
      </c>
    </row>
    <row r="5728" spans="1:7" x14ac:dyDescent="0.2">
      <c r="A5728" s="2" t="s">
        <v>85</v>
      </c>
      <c r="B5728" s="14">
        <v>38565</v>
      </c>
      <c r="C5728" s="2">
        <v>3.3333333333000002E-2</v>
      </c>
      <c r="E5728" s="2">
        <v>1</v>
      </c>
      <c r="F5728" s="2">
        <v>3.2736898955187797E-2</v>
      </c>
      <c r="G5728" s="2">
        <v>2</v>
      </c>
    </row>
    <row r="5729" spans="1:7" x14ac:dyDescent="0.2">
      <c r="A5729" s="2" t="s">
        <v>85</v>
      </c>
      <c r="B5729" s="14">
        <v>38596</v>
      </c>
      <c r="C5729" s="2">
        <v>-1.6129032258000001E-2</v>
      </c>
      <c r="E5729" s="2">
        <v>1</v>
      </c>
      <c r="F5729" s="2">
        <v>3.3627328303700202E-2</v>
      </c>
      <c r="G5729" s="2">
        <v>2</v>
      </c>
    </row>
    <row r="5730" spans="1:7" x14ac:dyDescent="0.2">
      <c r="A5730" s="2" t="s">
        <v>85</v>
      </c>
      <c r="B5730" s="14">
        <v>38626</v>
      </c>
      <c r="C5730" s="2">
        <v>0.11475409836</v>
      </c>
      <c r="D5730" s="2">
        <v>0</v>
      </c>
      <c r="E5730" s="2">
        <v>1</v>
      </c>
      <c r="F5730" s="2">
        <v>3.1143321641306499E-2</v>
      </c>
      <c r="G5730" s="2">
        <v>2</v>
      </c>
    </row>
    <row r="5731" spans="1:7" x14ac:dyDescent="0.2">
      <c r="A5731" s="2" t="s">
        <v>85</v>
      </c>
      <c r="B5731" s="14">
        <v>38657</v>
      </c>
      <c r="C5731" s="2">
        <v>-7.3529411764999997E-2</v>
      </c>
      <c r="D5731" s="2">
        <v>0</v>
      </c>
      <c r="E5731" s="2">
        <v>1</v>
      </c>
      <c r="F5731" s="2">
        <v>2.7510325412370001E-2</v>
      </c>
      <c r="G5731" s="2">
        <v>2</v>
      </c>
    </row>
    <row r="5732" spans="1:7" x14ac:dyDescent="0.2">
      <c r="A5732" s="2" t="s">
        <v>85</v>
      </c>
      <c r="B5732" s="14">
        <v>38687</v>
      </c>
      <c r="C5732" s="2">
        <v>-5.0847457626000001E-2</v>
      </c>
      <c r="D5732" s="2">
        <v>0</v>
      </c>
      <c r="E5732" s="2">
        <v>1</v>
      </c>
      <c r="F5732" s="2">
        <v>2.8056206504994501E-2</v>
      </c>
      <c r="G5732" s="2">
        <v>2</v>
      </c>
    </row>
    <row r="5733" spans="1:7" x14ac:dyDescent="0.2">
      <c r="A5733" s="2" t="s">
        <v>85</v>
      </c>
      <c r="B5733" s="14">
        <v>38718</v>
      </c>
      <c r="D5733" s="2">
        <v>0</v>
      </c>
      <c r="E5733" s="2">
        <v>1</v>
      </c>
      <c r="F5733" s="2">
        <v>2.6889828618667198E-2</v>
      </c>
      <c r="G5733" s="2">
        <v>2</v>
      </c>
    </row>
    <row r="5734" spans="1:7" x14ac:dyDescent="0.2">
      <c r="A5734" s="2" t="s">
        <v>85</v>
      </c>
      <c r="B5734" s="14">
        <v>38749</v>
      </c>
      <c r="C5734" s="2">
        <v>7.1428571428999998E-2</v>
      </c>
      <c r="D5734" s="2">
        <v>0</v>
      </c>
      <c r="E5734" s="2">
        <v>1</v>
      </c>
      <c r="G5734" s="2">
        <v>2</v>
      </c>
    </row>
    <row r="5735" spans="1:7" x14ac:dyDescent="0.2">
      <c r="A5735" s="2" t="s">
        <v>85</v>
      </c>
      <c r="B5735" s="14">
        <v>38777</v>
      </c>
      <c r="C5735" s="2">
        <v>0</v>
      </c>
      <c r="D5735" s="2">
        <v>0</v>
      </c>
      <c r="E5735" s="2">
        <v>1</v>
      </c>
      <c r="F5735" s="2">
        <v>3.0730426347523699E-2</v>
      </c>
      <c r="G5735" s="2">
        <v>2</v>
      </c>
    </row>
    <row r="5736" spans="1:7" x14ac:dyDescent="0.2">
      <c r="A5736" s="2" t="s">
        <v>85</v>
      </c>
      <c r="B5736" s="14">
        <v>38808</v>
      </c>
      <c r="C5736" s="2">
        <v>0</v>
      </c>
      <c r="D5736" s="2">
        <v>0</v>
      </c>
      <c r="E5736" s="2">
        <v>1</v>
      </c>
      <c r="F5736" s="2">
        <v>3.1168745647316001E-2</v>
      </c>
      <c r="G5736" s="2">
        <v>2</v>
      </c>
    </row>
    <row r="5737" spans="1:7" x14ac:dyDescent="0.2">
      <c r="A5737" s="2" t="s">
        <v>85</v>
      </c>
      <c r="B5737" s="14">
        <v>38838</v>
      </c>
      <c r="C5737" s="2">
        <v>2.6535087719999999E-2</v>
      </c>
      <c r="D5737" s="2">
        <v>0</v>
      </c>
      <c r="E5737" s="2">
        <v>1</v>
      </c>
      <c r="F5737" s="2">
        <v>2.7238894035428798E-2</v>
      </c>
      <c r="G5737" s="2">
        <v>2</v>
      </c>
    </row>
    <row r="5738" spans="1:7" x14ac:dyDescent="0.2">
      <c r="A5738" s="2" t="s">
        <v>85</v>
      </c>
      <c r="B5738" s="14">
        <v>38869</v>
      </c>
      <c r="C5738" s="2">
        <v>0</v>
      </c>
      <c r="D5738" s="2">
        <v>0</v>
      </c>
      <c r="E5738" s="2">
        <v>1</v>
      </c>
      <c r="F5738" s="2">
        <v>3.0034077389665601E-2</v>
      </c>
      <c r="G5738" s="2">
        <v>2</v>
      </c>
    </row>
    <row r="5739" spans="1:7" x14ac:dyDescent="0.2">
      <c r="A5739" s="2" t="s">
        <v>85</v>
      </c>
      <c r="B5739" s="14">
        <v>38899</v>
      </c>
      <c r="C5739" s="2">
        <v>-6.6225165564999999E-3</v>
      </c>
      <c r="D5739" s="2">
        <v>0</v>
      </c>
      <c r="E5739" s="2">
        <v>1</v>
      </c>
      <c r="F5739" s="2">
        <v>3.1503239928297198E-2</v>
      </c>
      <c r="G5739" s="2">
        <v>2</v>
      </c>
    </row>
    <row r="5740" spans="1:7" x14ac:dyDescent="0.2">
      <c r="A5740" s="2" t="s">
        <v>85</v>
      </c>
      <c r="B5740" s="14">
        <v>38930</v>
      </c>
      <c r="C5740" s="2">
        <v>-3.2999999999000003E-2</v>
      </c>
      <c r="D5740" s="2">
        <v>0</v>
      </c>
      <c r="E5740" s="2">
        <v>1</v>
      </c>
      <c r="F5740" s="2">
        <v>3.47604697607726E-2</v>
      </c>
      <c r="G5740" s="2">
        <v>2</v>
      </c>
    </row>
    <row r="5741" spans="1:7" x14ac:dyDescent="0.2">
      <c r="A5741" s="2" t="s">
        <v>85</v>
      </c>
      <c r="B5741" s="14">
        <v>38961</v>
      </c>
      <c r="C5741" s="2">
        <v>-3.7917959335000001E-3</v>
      </c>
      <c r="D5741" s="2">
        <v>0</v>
      </c>
      <c r="E5741" s="2">
        <v>1</v>
      </c>
      <c r="F5741" s="2">
        <v>3.1833471749469197E-2</v>
      </c>
      <c r="G5741" s="2">
        <v>2</v>
      </c>
    </row>
    <row r="5742" spans="1:7" x14ac:dyDescent="0.2">
      <c r="A5742" s="2" t="s">
        <v>85</v>
      </c>
      <c r="B5742" s="14">
        <v>38991</v>
      </c>
      <c r="C5742" s="2">
        <v>3.3217993079000002E-2</v>
      </c>
      <c r="D5742" s="2">
        <v>0</v>
      </c>
      <c r="E5742" s="2">
        <v>1</v>
      </c>
      <c r="F5742" s="2">
        <v>3.1726545901935597E-2</v>
      </c>
      <c r="G5742" s="2">
        <v>2</v>
      </c>
    </row>
    <row r="5743" spans="1:7" x14ac:dyDescent="0.2">
      <c r="A5743" s="2" t="s">
        <v>85</v>
      </c>
      <c r="B5743" s="14">
        <v>39022</v>
      </c>
      <c r="C5743" s="2">
        <v>-2.8801071668E-2</v>
      </c>
      <c r="D5743" s="2">
        <v>1.6084356000000001E-3</v>
      </c>
      <c r="E5743" s="2">
        <v>1</v>
      </c>
      <c r="F5743" s="2">
        <v>3.2369408690989601E-2</v>
      </c>
      <c r="G5743" s="2">
        <v>2</v>
      </c>
    </row>
    <row r="5744" spans="1:7" x14ac:dyDescent="0.2">
      <c r="A5744" s="2" t="s">
        <v>85</v>
      </c>
      <c r="B5744" s="14">
        <v>39052</v>
      </c>
      <c r="C5744" s="2">
        <v>-8.6206896558000002E-3</v>
      </c>
      <c r="D5744" s="2">
        <v>1.2179452E-4</v>
      </c>
      <c r="E5744" s="2">
        <v>1</v>
      </c>
      <c r="F5744" s="2">
        <v>3.0723870100773099E-2</v>
      </c>
      <c r="G5744" s="2">
        <v>2</v>
      </c>
    </row>
    <row r="5745" spans="1:7" x14ac:dyDescent="0.2">
      <c r="A5745" s="2" t="s">
        <v>85</v>
      </c>
      <c r="B5745" s="14">
        <v>39083</v>
      </c>
      <c r="C5745" s="2">
        <v>2.6086956522999999E-2</v>
      </c>
      <c r="D5745" s="2">
        <v>3.6101665999999999E-4</v>
      </c>
      <c r="E5745" s="2">
        <v>1</v>
      </c>
      <c r="F5745" s="2">
        <v>3.04136672604466E-2</v>
      </c>
      <c r="G5745" s="2">
        <v>2</v>
      </c>
    </row>
    <row r="5746" spans="1:7" x14ac:dyDescent="0.2">
      <c r="A5746" s="2" t="s">
        <v>85</v>
      </c>
      <c r="B5746" s="14">
        <v>39114</v>
      </c>
      <c r="C5746" s="2">
        <v>-1.6949152541999999E-2</v>
      </c>
      <c r="D5746" s="19">
        <v>6.5954766000000001E-5</v>
      </c>
      <c r="E5746" s="2">
        <v>1</v>
      </c>
      <c r="F5746" s="2">
        <v>3.1286985746853103E-2</v>
      </c>
      <c r="G5746" s="2">
        <v>2</v>
      </c>
    </row>
    <row r="5747" spans="1:7" x14ac:dyDescent="0.2">
      <c r="A5747" s="2" t="s">
        <v>85</v>
      </c>
      <c r="B5747" s="14">
        <v>39142</v>
      </c>
      <c r="C5747" s="2">
        <v>-1.6379310344999998E-2</v>
      </c>
      <c r="D5747" s="2">
        <v>0</v>
      </c>
      <c r="E5747" s="2">
        <v>1</v>
      </c>
      <c r="F5747" s="2">
        <v>3.1641054425771802E-2</v>
      </c>
      <c r="G5747" s="2">
        <v>2</v>
      </c>
    </row>
    <row r="5748" spans="1:7" x14ac:dyDescent="0.2">
      <c r="A5748" s="2" t="s">
        <v>85</v>
      </c>
      <c r="B5748" s="14">
        <v>39173</v>
      </c>
      <c r="C5748" s="2">
        <v>5.1709027169999998E-2</v>
      </c>
      <c r="D5748" s="2">
        <v>0</v>
      </c>
      <c r="E5748" s="2">
        <v>1</v>
      </c>
      <c r="F5748" s="2">
        <v>3.1323554386960002E-2</v>
      </c>
      <c r="G5748" s="2">
        <v>2</v>
      </c>
    </row>
    <row r="5749" spans="1:7" x14ac:dyDescent="0.2">
      <c r="A5749" s="2" t="s">
        <v>85</v>
      </c>
      <c r="B5749" s="14">
        <v>39203</v>
      </c>
      <c r="C5749" s="2">
        <v>7.4563676632999995E-2</v>
      </c>
      <c r="D5749" s="19">
        <v>1.5887049999999999E-5</v>
      </c>
      <c r="E5749" s="2">
        <v>1</v>
      </c>
      <c r="F5749" s="2">
        <v>3.1838969345027897E-2</v>
      </c>
      <c r="G5749" s="2">
        <v>2</v>
      </c>
    </row>
    <row r="5750" spans="1:7" x14ac:dyDescent="0.2">
      <c r="A5750" s="2" t="s">
        <v>85</v>
      </c>
      <c r="B5750" s="14">
        <v>39234</v>
      </c>
      <c r="C5750" s="19">
        <v>-3.1947860406999999E-5</v>
      </c>
      <c r="D5750" s="2">
        <v>1.0625013E-4</v>
      </c>
      <c r="E5750" s="2">
        <v>1</v>
      </c>
      <c r="F5750" s="2">
        <v>3.4856188983502699E-2</v>
      </c>
      <c r="G5750" s="2">
        <v>2</v>
      </c>
    </row>
    <row r="5751" spans="1:7" x14ac:dyDescent="0.2">
      <c r="A5751" s="2" t="s">
        <v>85</v>
      </c>
      <c r="B5751" s="14">
        <v>39264</v>
      </c>
      <c r="C5751" s="2">
        <v>0</v>
      </c>
      <c r="D5751" s="19">
        <v>1.5140643E-7</v>
      </c>
      <c r="E5751" s="2">
        <v>1</v>
      </c>
      <c r="F5751" s="2">
        <v>3.5104406828749102E-2</v>
      </c>
      <c r="G5751" s="2">
        <v>2</v>
      </c>
    </row>
    <row r="5752" spans="1:7" x14ac:dyDescent="0.2">
      <c r="A5752" s="2" t="s">
        <v>85</v>
      </c>
      <c r="B5752" s="14">
        <v>39295</v>
      </c>
      <c r="C5752" s="2">
        <v>0</v>
      </c>
      <c r="D5752" s="19">
        <v>2.1823775000000001E-5</v>
      </c>
      <c r="E5752" s="2">
        <v>1</v>
      </c>
      <c r="F5752" s="2">
        <v>3.6233128842885598E-2</v>
      </c>
      <c r="G5752" s="2">
        <v>2</v>
      </c>
    </row>
    <row r="5753" spans="1:7" x14ac:dyDescent="0.2">
      <c r="A5753" s="2" t="s">
        <v>85</v>
      </c>
      <c r="B5753" s="14">
        <v>39326</v>
      </c>
      <c r="C5753" s="2">
        <v>0</v>
      </c>
      <c r="D5753" s="2">
        <v>0</v>
      </c>
      <c r="E5753" s="2">
        <v>1</v>
      </c>
      <c r="F5753" s="2">
        <v>3.6679964167518099E-2</v>
      </c>
      <c r="G5753" s="2">
        <v>2</v>
      </c>
    </row>
    <row r="5754" spans="1:7" x14ac:dyDescent="0.2">
      <c r="A5754" s="2" t="s">
        <v>85</v>
      </c>
      <c r="B5754" s="14">
        <v>39356</v>
      </c>
      <c r="C5754" s="2">
        <v>-9.5846645363000006E-3</v>
      </c>
      <c r="D5754" s="2">
        <v>1.9098691999999999E-4</v>
      </c>
      <c r="E5754" s="2">
        <v>1</v>
      </c>
      <c r="F5754" s="2">
        <v>3.7150957202131601E-2</v>
      </c>
      <c r="G5754" s="2">
        <v>2</v>
      </c>
    </row>
    <row r="5755" spans="1:7" x14ac:dyDescent="0.2">
      <c r="A5755" s="2" t="s">
        <v>85</v>
      </c>
      <c r="B5755" s="14">
        <v>39387</v>
      </c>
      <c r="C5755" s="2">
        <v>0</v>
      </c>
      <c r="D5755" s="2">
        <v>5.5759329999999999E-4</v>
      </c>
      <c r="E5755" s="2">
        <v>1</v>
      </c>
      <c r="F5755" s="2">
        <v>3.53923895009879E-2</v>
      </c>
      <c r="G5755" s="2">
        <v>2</v>
      </c>
    </row>
    <row r="5756" spans="1:7" x14ac:dyDescent="0.2">
      <c r="A5756" s="2" t="s">
        <v>85</v>
      </c>
      <c r="B5756" s="14">
        <v>39417</v>
      </c>
      <c r="C5756" s="2">
        <v>-2.9032258064000002E-2</v>
      </c>
      <c r="D5756" s="19">
        <v>9.5206568999999993E-6</v>
      </c>
      <c r="E5756" s="2">
        <v>1</v>
      </c>
      <c r="F5756" s="2">
        <v>3.3201936833795402E-2</v>
      </c>
      <c r="G5756" s="2">
        <v>2</v>
      </c>
    </row>
    <row r="5757" spans="1:7" x14ac:dyDescent="0.2">
      <c r="A5757" s="2" t="s">
        <v>85</v>
      </c>
      <c r="B5757" s="14">
        <v>39448</v>
      </c>
      <c r="C5757" s="2">
        <v>-3.3222591364E-3</v>
      </c>
      <c r="D5757" s="2">
        <v>7.0057314999999996E-4</v>
      </c>
      <c r="E5757" s="2">
        <v>1</v>
      </c>
      <c r="F5757" s="2">
        <v>3.2462630455581599E-2</v>
      </c>
      <c r="G5757" s="2">
        <v>2</v>
      </c>
    </row>
    <row r="5758" spans="1:7" x14ac:dyDescent="0.2">
      <c r="A5758" s="2" t="s">
        <v>85</v>
      </c>
      <c r="B5758" s="14">
        <v>39479</v>
      </c>
      <c r="C5758" s="2">
        <v>0</v>
      </c>
      <c r="D5758" s="19">
        <v>7.2297486999999995E-5</v>
      </c>
      <c r="E5758" s="2">
        <v>1</v>
      </c>
      <c r="F5758" s="2">
        <v>3.2364245041775902E-2</v>
      </c>
      <c r="G5758" s="2">
        <v>2</v>
      </c>
    </row>
    <row r="5759" spans="1:7" x14ac:dyDescent="0.2">
      <c r="A5759" s="2" t="s">
        <v>85</v>
      </c>
      <c r="B5759" s="14">
        <v>39508</v>
      </c>
      <c r="C5759" s="2">
        <v>-6.6666666666999996E-2</v>
      </c>
      <c r="D5759" s="19">
        <v>4.5422352000000003E-5</v>
      </c>
      <c r="E5759" s="2">
        <v>1</v>
      </c>
      <c r="F5759" s="2">
        <v>3.2350903068877002E-2</v>
      </c>
      <c r="G5759" s="2">
        <v>2</v>
      </c>
    </row>
    <row r="5760" spans="1:7" x14ac:dyDescent="0.2">
      <c r="A5760" s="2" t="s">
        <v>85</v>
      </c>
      <c r="B5760" s="14">
        <v>39539</v>
      </c>
      <c r="C5760" s="2">
        <v>0</v>
      </c>
      <c r="D5760" s="19">
        <v>1.1072014E-5</v>
      </c>
      <c r="E5760" s="2">
        <v>1</v>
      </c>
      <c r="F5760" s="2">
        <v>3.0702772980924099E-2</v>
      </c>
      <c r="G5760" s="2">
        <v>2</v>
      </c>
    </row>
    <row r="5761" spans="1:7" x14ac:dyDescent="0.2">
      <c r="A5761" s="2" t="s">
        <v>85</v>
      </c>
      <c r="B5761" s="14">
        <v>39569</v>
      </c>
      <c r="C5761" s="2">
        <v>5.0251256288999999E-3</v>
      </c>
      <c r="D5761" s="2">
        <v>5.6778605000000005E-4</v>
      </c>
      <c r="E5761" s="2">
        <v>1</v>
      </c>
      <c r="F5761" s="2">
        <v>3.0909447221621499E-2</v>
      </c>
      <c r="G5761" s="2">
        <v>2</v>
      </c>
    </row>
    <row r="5762" spans="1:7" x14ac:dyDescent="0.2">
      <c r="A5762" s="2" t="s">
        <v>85</v>
      </c>
      <c r="B5762" s="14">
        <v>39600</v>
      </c>
      <c r="C5762" s="2">
        <v>-1.7500000000000002E-2</v>
      </c>
      <c r="D5762" s="2">
        <v>4.1802427999999999E-4</v>
      </c>
      <c r="E5762" s="2">
        <v>1</v>
      </c>
      <c r="F5762" s="2">
        <v>3.0845913149865099E-2</v>
      </c>
      <c r="G5762" s="2">
        <v>2</v>
      </c>
    </row>
    <row r="5763" spans="1:7" x14ac:dyDescent="0.2">
      <c r="A5763" s="2" t="s">
        <v>85</v>
      </c>
      <c r="B5763" s="14">
        <v>39630</v>
      </c>
      <c r="C5763" s="2">
        <v>-1.8538713195999999E-2</v>
      </c>
      <c r="D5763" s="2">
        <v>0</v>
      </c>
      <c r="E5763" s="2">
        <v>1</v>
      </c>
      <c r="F5763" s="2">
        <v>3.1218378866542999E-2</v>
      </c>
      <c r="G5763" s="2">
        <v>2</v>
      </c>
    </row>
    <row r="5764" spans="1:7" x14ac:dyDescent="0.2">
      <c r="A5764" s="2" t="s">
        <v>85</v>
      </c>
      <c r="B5764" s="14">
        <v>39661</v>
      </c>
      <c r="D5764" s="2">
        <v>0</v>
      </c>
      <c r="E5764" s="2">
        <v>1</v>
      </c>
      <c r="F5764" s="2">
        <v>3.19726714950955E-2</v>
      </c>
      <c r="G5764" s="2">
        <v>2</v>
      </c>
    </row>
    <row r="5765" spans="1:7" x14ac:dyDescent="0.2">
      <c r="A5765" s="2" t="s">
        <v>85</v>
      </c>
      <c r="B5765" s="14">
        <v>39692</v>
      </c>
      <c r="C5765" s="2">
        <v>-9.2592592592999998E-2</v>
      </c>
      <c r="D5765" s="2">
        <v>2.6564332E-4</v>
      </c>
      <c r="E5765" s="2">
        <v>1</v>
      </c>
      <c r="G5765" s="2">
        <v>2</v>
      </c>
    </row>
    <row r="5766" spans="1:7" x14ac:dyDescent="0.2">
      <c r="A5766" s="2" t="s">
        <v>85</v>
      </c>
      <c r="B5766" s="14">
        <v>39722</v>
      </c>
      <c r="C5766" s="2">
        <v>-2.0408163266E-2</v>
      </c>
      <c r="D5766" s="2">
        <v>2.3928352999999999E-4</v>
      </c>
      <c r="E5766" s="2">
        <v>1</v>
      </c>
      <c r="F5766" s="2">
        <v>3.16529060945459E-2</v>
      </c>
      <c r="G5766" s="2">
        <v>2</v>
      </c>
    </row>
    <row r="5767" spans="1:7" x14ac:dyDescent="0.2">
      <c r="A5767" s="2" t="s">
        <v>85</v>
      </c>
      <c r="B5767" s="14">
        <v>39753</v>
      </c>
      <c r="D5767" s="2">
        <v>0</v>
      </c>
      <c r="E5767" s="2">
        <v>1</v>
      </c>
      <c r="F5767" s="2">
        <v>3.1105899125042399E-2</v>
      </c>
      <c r="G5767" s="2">
        <v>2</v>
      </c>
    </row>
    <row r="5768" spans="1:7" x14ac:dyDescent="0.2">
      <c r="A5768" s="2" t="s">
        <v>85</v>
      </c>
      <c r="B5768" s="14">
        <v>39783</v>
      </c>
      <c r="C5768" s="2">
        <v>-0.16666666666999999</v>
      </c>
      <c r="D5768" s="2">
        <v>4.3865415999999998E-4</v>
      </c>
      <c r="E5768" s="2">
        <v>1</v>
      </c>
      <c r="G5768" s="2">
        <v>2</v>
      </c>
    </row>
    <row r="5769" spans="1:7" x14ac:dyDescent="0.2">
      <c r="A5769" s="2" t="s">
        <v>86</v>
      </c>
      <c r="B5769" s="14">
        <v>37591</v>
      </c>
      <c r="C5769" s="2">
        <v>0.25</v>
      </c>
      <c r="D5769" s="2">
        <v>0</v>
      </c>
      <c r="E5769" s="2">
        <v>1</v>
      </c>
      <c r="G5769" s="2">
        <v>2</v>
      </c>
    </row>
    <row r="5770" spans="1:7" x14ac:dyDescent="0.2">
      <c r="A5770" s="2" t="s">
        <v>86</v>
      </c>
      <c r="B5770" s="14">
        <v>37622</v>
      </c>
      <c r="C5770" s="2">
        <v>-0.14814814813999999</v>
      </c>
      <c r="D5770" s="2">
        <v>0</v>
      </c>
      <c r="E5770" s="2">
        <v>1</v>
      </c>
      <c r="G5770" s="2">
        <v>2</v>
      </c>
    </row>
    <row r="5771" spans="1:7" x14ac:dyDescent="0.2">
      <c r="A5771" s="2" t="s">
        <v>86</v>
      </c>
      <c r="B5771" s="14">
        <v>37653</v>
      </c>
      <c r="D5771" s="2">
        <v>0</v>
      </c>
      <c r="E5771" s="2">
        <v>1</v>
      </c>
      <c r="G5771" s="2">
        <v>2</v>
      </c>
    </row>
    <row r="5772" spans="1:7" x14ac:dyDescent="0.2">
      <c r="A5772" s="2" t="s">
        <v>86</v>
      </c>
      <c r="B5772" s="14">
        <v>37681</v>
      </c>
      <c r="C5772" s="2">
        <v>2.1739130434000001E-2</v>
      </c>
      <c r="D5772" s="2">
        <v>0</v>
      </c>
      <c r="E5772" s="2">
        <v>1</v>
      </c>
      <c r="G5772" s="2">
        <v>2</v>
      </c>
    </row>
    <row r="5773" spans="1:7" x14ac:dyDescent="0.2">
      <c r="A5773" s="2" t="s">
        <v>86</v>
      </c>
      <c r="B5773" s="14">
        <v>37712</v>
      </c>
      <c r="C5773" s="2">
        <v>5.1063699920999997E-3</v>
      </c>
      <c r="D5773" s="2">
        <v>0</v>
      </c>
      <c r="E5773" s="2">
        <v>1</v>
      </c>
      <c r="G5773" s="2">
        <v>2</v>
      </c>
    </row>
    <row r="5774" spans="1:7" x14ac:dyDescent="0.2">
      <c r="A5774" s="2" t="s">
        <v>86</v>
      </c>
      <c r="B5774" s="14">
        <v>37742</v>
      </c>
      <c r="C5774" s="2">
        <v>0.16714699117000001</v>
      </c>
      <c r="D5774" s="2">
        <v>0</v>
      </c>
      <c r="E5774" s="2">
        <v>1</v>
      </c>
      <c r="G5774" s="2">
        <v>2</v>
      </c>
    </row>
    <row r="5775" spans="1:7" x14ac:dyDescent="0.2">
      <c r="A5775" s="2" t="s">
        <v>86</v>
      </c>
      <c r="B5775" s="14">
        <v>37773</v>
      </c>
      <c r="C5775" s="2">
        <v>-0.17695473250999999</v>
      </c>
      <c r="D5775" s="2">
        <v>0</v>
      </c>
      <c r="E5775" s="2">
        <v>1</v>
      </c>
      <c r="G5775" s="2">
        <v>2</v>
      </c>
    </row>
    <row r="5776" spans="1:7" x14ac:dyDescent="0.2">
      <c r="A5776" s="2" t="s">
        <v>86</v>
      </c>
      <c r="B5776" s="14">
        <v>37803</v>
      </c>
      <c r="C5776" s="2">
        <v>5.9999999998999999E-2</v>
      </c>
      <c r="D5776" s="2">
        <v>0</v>
      </c>
      <c r="E5776" s="2">
        <v>1</v>
      </c>
      <c r="G5776" s="2">
        <v>2</v>
      </c>
    </row>
    <row r="5777" spans="1:7" x14ac:dyDescent="0.2">
      <c r="A5777" s="2" t="s">
        <v>86</v>
      </c>
      <c r="B5777" s="14">
        <v>37834</v>
      </c>
      <c r="C5777" s="2">
        <v>0.30188679245</v>
      </c>
      <c r="D5777" s="2">
        <v>0</v>
      </c>
      <c r="E5777" s="2">
        <v>1</v>
      </c>
      <c r="F5777" s="2">
        <v>5.5735247464075099E-2</v>
      </c>
      <c r="G5777" s="2">
        <v>2</v>
      </c>
    </row>
    <row r="5778" spans="1:7" x14ac:dyDescent="0.2">
      <c r="A5778" s="2" t="s">
        <v>86</v>
      </c>
      <c r="B5778" s="14">
        <v>37865</v>
      </c>
      <c r="C5778" s="2">
        <v>-0.13043478259999999</v>
      </c>
      <c r="D5778" s="2">
        <v>0</v>
      </c>
      <c r="E5778" s="2">
        <v>1</v>
      </c>
      <c r="F5778" s="2">
        <v>6.4564679748744205E-2</v>
      </c>
      <c r="G5778" s="2">
        <v>2</v>
      </c>
    </row>
    <row r="5779" spans="1:7" x14ac:dyDescent="0.2">
      <c r="A5779" s="2" t="s">
        <v>86</v>
      </c>
      <c r="B5779" s="14">
        <v>37895</v>
      </c>
      <c r="C5779" s="2">
        <v>0.66666666666999996</v>
      </c>
      <c r="D5779" s="2">
        <v>0</v>
      </c>
      <c r="E5779" s="2">
        <v>1</v>
      </c>
      <c r="F5779" s="2">
        <v>6.0447892929136202E-2</v>
      </c>
      <c r="G5779" s="2">
        <v>2</v>
      </c>
    </row>
    <row r="5780" spans="1:7" x14ac:dyDescent="0.2">
      <c r="A5780" s="2" t="s">
        <v>86</v>
      </c>
      <c r="B5780" s="14">
        <v>37926</v>
      </c>
      <c r="C5780" s="2">
        <v>0</v>
      </c>
      <c r="D5780" s="2">
        <v>0</v>
      </c>
      <c r="E5780" s="2">
        <v>1</v>
      </c>
      <c r="F5780" s="2">
        <v>8.0306678557853006E-2</v>
      </c>
      <c r="G5780" s="2">
        <v>2</v>
      </c>
    </row>
    <row r="5781" spans="1:7" x14ac:dyDescent="0.2">
      <c r="A5781" s="2" t="s">
        <v>86</v>
      </c>
      <c r="B5781" s="14">
        <v>37956</v>
      </c>
      <c r="C5781" s="2">
        <v>0</v>
      </c>
      <c r="D5781" s="2">
        <v>0</v>
      </c>
      <c r="E5781" s="2">
        <v>1</v>
      </c>
      <c r="F5781" s="2">
        <v>7.5217886227214897E-2</v>
      </c>
      <c r="G5781" s="2">
        <v>2</v>
      </c>
    </row>
    <row r="5782" spans="1:7" x14ac:dyDescent="0.2">
      <c r="A5782" s="2" t="s">
        <v>86</v>
      </c>
      <c r="B5782" s="14">
        <v>37987</v>
      </c>
      <c r="C5782" s="2">
        <v>0</v>
      </c>
      <c r="E5782" s="2">
        <v>1</v>
      </c>
      <c r="F5782" s="2">
        <v>8.0107109604643595E-2</v>
      </c>
      <c r="G5782" s="2">
        <v>2</v>
      </c>
    </row>
    <row r="5783" spans="1:7" x14ac:dyDescent="0.2">
      <c r="A5783" s="2" t="s">
        <v>86</v>
      </c>
      <c r="B5783" s="14">
        <v>38018</v>
      </c>
      <c r="C5783" s="2">
        <v>0</v>
      </c>
      <c r="E5783" s="2">
        <v>1</v>
      </c>
      <c r="F5783" s="2">
        <v>7.8197365874842203E-2</v>
      </c>
      <c r="G5783" s="2">
        <v>2</v>
      </c>
    </row>
    <row r="5784" spans="1:7" x14ac:dyDescent="0.2">
      <c r="A5784" s="2" t="s">
        <v>86</v>
      </c>
      <c r="B5784" s="14">
        <v>38047</v>
      </c>
      <c r="C5784" s="2">
        <v>0</v>
      </c>
      <c r="D5784" s="2">
        <v>0</v>
      </c>
      <c r="E5784" s="2">
        <v>1</v>
      </c>
      <c r="F5784" s="2">
        <v>6.9297339659713894E-2</v>
      </c>
      <c r="G5784" s="2">
        <v>2</v>
      </c>
    </row>
    <row r="5785" spans="1:7" x14ac:dyDescent="0.2">
      <c r="A5785" s="2" t="s">
        <v>86</v>
      </c>
      <c r="B5785" s="14">
        <v>38078</v>
      </c>
      <c r="C5785" s="2">
        <v>2.5000000000000001E-2</v>
      </c>
      <c r="D5785" s="2">
        <v>0</v>
      </c>
      <c r="E5785" s="2">
        <v>1</v>
      </c>
      <c r="F5785" s="2">
        <v>7.3076405601248506E-2</v>
      </c>
      <c r="G5785" s="2">
        <v>2</v>
      </c>
    </row>
    <row r="5786" spans="1:7" x14ac:dyDescent="0.2">
      <c r="A5786" s="2" t="s">
        <v>86</v>
      </c>
      <c r="B5786" s="14">
        <v>38108</v>
      </c>
      <c r="C5786" s="2">
        <v>-7.3170731707000003E-2</v>
      </c>
      <c r="D5786" s="2">
        <v>0</v>
      </c>
      <c r="E5786" s="2">
        <v>1</v>
      </c>
      <c r="F5786" s="2">
        <v>5.44728344156322E-2</v>
      </c>
      <c r="G5786" s="2">
        <v>2</v>
      </c>
    </row>
    <row r="5787" spans="1:7" x14ac:dyDescent="0.2">
      <c r="A5787" s="2" t="s">
        <v>86</v>
      </c>
      <c r="B5787" s="14">
        <v>38139</v>
      </c>
      <c r="C5787" s="2">
        <v>0</v>
      </c>
      <c r="D5787" s="2">
        <v>0</v>
      </c>
      <c r="E5787" s="2">
        <v>1</v>
      </c>
      <c r="F5787" s="2">
        <v>5.2566694188393499E-2</v>
      </c>
      <c r="G5787" s="2">
        <v>2</v>
      </c>
    </row>
    <row r="5788" spans="1:7" x14ac:dyDescent="0.2">
      <c r="A5788" s="2" t="s">
        <v>86</v>
      </c>
      <c r="B5788" s="14">
        <v>38169</v>
      </c>
      <c r="C5788" s="2">
        <v>5.2631578948000003E-2</v>
      </c>
      <c r="D5788" s="2">
        <v>0</v>
      </c>
      <c r="E5788" s="2">
        <v>1</v>
      </c>
      <c r="F5788" s="2">
        <v>5.2357753633485E-2</v>
      </c>
      <c r="G5788" s="2">
        <v>2</v>
      </c>
    </row>
    <row r="5789" spans="1:7" x14ac:dyDescent="0.2">
      <c r="A5789" s="2" t="s">
        <v>86</v>
      </c>
      <c r="B5789" s="14">
        <v>38200</v>
      </c>
      <c r="C5789" s="2">
        <v>5.9999999998999999E-2</v>
      </c>
      <c r="D5789" s="2">
        <v>0</v>
      </c>
      <c r="E5789" s="2">
        <v>1</v>
      </c>
      <c r="F5789" s="2">
        <v>3.9258198366308603E-2</v>
      </c>
      <c r="G5789" s="2">
        <v>2</v>
      </c>
    </row>
    <row r="5790" spans="1:7" x14ac:dyDescent="0.2">
      <c r="A5790" s="2" t="s">
        <v>86</v>
      </c>
      <c r="B5790" s="14">
        <v>38231</v>
      </c>
      <c r="C5790" s="2">
        <v>0.13207547169</v>
      </c>
      <c r="D5790" s="2">
        <v>0</v>
      </c>
      <c r="E5790" s="2">
        <v>1</v>
      </c>
      <c r="F5790" s="2">
        <v>4.0618899842496801E-2</v>
      </c>
      <c r="G5790" s="2">
        <v>2</v>
      </c>
    </row>
    <row r="5791" spans="1:7" x14ac:dyDescent="0.2">
      <c r="A5791" s="2" t="s">
        <v>86</v>
      </c>
      <c r="B5791" s="14">
        <v>38261</v>
      </c>
      <c r="C5791" s="2">
        <v>8.3333333334000004E-2</v>
      </c>
      <c r="D5791" s="2">
        <v>0</v>
      </c>
      <c r="E5791" s="2">
        <v>1</v>
      </c>
      <c r="F5791" s="2">
        <v>4.4015982460378501E-2</v>
      </c>
      <c r="G5791" s="2">
        <v>2</v>
      </c>
    </row>
    <row r="5792" spans="1:7" x14ac:dyDescent="0.2">
      <c r="A5792" s="2" t="s">
        <v>86</v>
      </c>
      <c r="B5792" s="14">
        <v>38292</v>
      </c>
      <c r="C5792" s="2">
        <v>1.923076923E-2</v>
      </c>
      <c r="D5792" s="2">
        <v>0</v>
      </c>
      <c r="E5792" s="2">
        <v>1</v>
      </c>
      <c r="F5792" s="2">
        <v>4.2874067801005097E-2</v>
      </c>
      <c r="G5792" s="2">
        <v>2</v>
      </c>
    </row>
    <row r="5793" spans="1:7" x14ac:dyDescent="0.2">
      <c r="A5793" s="2" t="s">
        <v>86</v>
      </c>
      <c r="B5793" s="14">
        <v>38322</v>
      </c>
      <c r="C5793" s="2">
        <v>3.0188679246000001E-2</v>
      </c>
      <c r="D5793" s="2">
        <v>0</v>
      </c>
      <c r="E5793" s="2">
        <v>1</v>
      </c>
      <c r="F5793" s="2">
        <v>4.54911714439412E-2</v>
      </c>
      <c r="G5793" s="2">
        <v>2</v>
      </c>
    </row>
    <row r="5794" spans="1:7" x14ac:dyDescent="0.2">
      <c r="A5794" s="2" t="s">
        <v>86</v>
      </c>
      <c r="B5794" s="14">
        <v>38353</v>
      </c>
      <c r="C5794" s="2">
        <v>7.3260073259000004E-3</v>
      </c>
      <c r="D5794" s="2">
        <v>0</v>
      </c>
      <c r="E5794" s="2">
        <v>1</v>
      </c>
      <c r="F5794" s="2">
        <v>4.6284635174494403E-2</v>
      </c>
      <c r="G5794" s="2">
        <v>2</v>
      </c>
    </row>
    <row r="5795" spans="1:7" x14ac:dyDescent="0.2">
      <c r="A5795" s="2" t="s">
        <v>86</v>
      </c>
      <c r="B5795" s="14">
        <v>38384</v>
      </c>
      <c r="C5795" s="2">
        <v>0</v>
      </c>
      <c r="D5795" s="2">
        <v>0</v>
      </c>
      <c r="E5795" s="2">
        <v>1</v>
      </c>
      <c r="F5795" s="2">
        <v>4.4953242545920299E-2</v>
      </c>
      <c r="G5795" s="2">
        <v>2</v>
      </c>
    </row>
    <row r="5796" spans="1:7" x14ac:dyDescent="0.2">
      <c r="A5796" s="2" t="s">
        <v>86</v>
      </c>
      <c r="B5796" s="14">
        <v>38412</v>
      </c>
      <c r="C5796" s="2">
        <v>0</v>
      </c>
      <c r="D5796" s="2">
        <v>0</v>
      </c>
      <c r="E5796" s="2">
        <v>1</v>
      </c>
      <c r="F5796" s="2">
        <v>4.3219796013991403E-2</v>
      </c>
      <c r="G5796" s="2">
        <v>2</v>
      </c>
    </row>
    <row r="5797" spans="1:7" x14ac:dyDescent="0.2">
      <c r="A5797" s="2" t="s">
        <v>86</v>
      </c>
      <c r="B5797" s="14">
        <v>38443</v>
      </c>
      <c r="C5797" s="2">
        <v>0</v>
      </c>
      <c r="D5797" s="2">
        <v>0</v>
      </c>
      <c r="E5797" s="2">
        <v>1</v>
      </c>
      <c r="F5797" s="2">
        <v>3.9404033208029599E-2</v>
      </c>
      <c r="G5797" s="2">
        <v>2</v>
      </c>
    </row>
    <row r="5798" spans="1:7" x14ac:dyDescent="0.2">
      <c r="A5798" s="2" t="s">
        <v>86</v>
      </c>
      <c r="B5798" s="14">
        <v>38473</v>
      </c>
      <c r="C5798" s="2">
        <v>-0.12727272727</v>
      </c>
      <c r="D5798" s="2">
        <v>0</v>
      </c>
      <c r="E5798" s="2">
        <v>1</v>
      </c>
      <c r="F5798" s="2">
        <v>3.7008504990329497E-2</v>
      </c>
      <c r="G5798" s="2">
        <v>2</v>
      </c>
    </row>
    <row r="5799" spans="1:7" x14ac:dyDescent="0.2">
      <c r="A5799" s="2" t="s">
        <v>86</v>
      </c>
      <c r="B5799" s="14">
        <v>38504</v>
      </c>
      <c r="C5799" s="2">
        <v>-3.7616636678999997E-2</v>
      </c>
      <c r="D5799" s="2">
        <v>0</v>
      </c>
      <c r="E5799" s="2">
        <v>1</v>
      </c>
      <c r="F5799" s="2">
        <v>3.3295577977441197E-2</v>
      </c>
      <c r="G5799" s="2">
        <v>2</v>
      </c>
    </row>
    <row r="5800" spans="1:7" x14ac:dyDescent="0.2">
      <c r="A5800" s="2" t="s">
        <v>86</v>
      </c>
      <c r="B5800" s="14">
        <v>38534</v>
      </c>
      <c r="C5800" s="2">
        <v>-8.6956521738999995E-2</v>
      </c>
      <c r="D5800" s="2">
        <v>0</v>
      </c>
      <c r="E5800" s="2">
        <v>1</v>
      </c>
      <c r="F5800" s="2">
        <v>3.1462978867478099E-2</v>
      </c>
      <c r="G5800" s="2">
        <v>2</v>
      </c>
    </row>
    <row r="5801" spans="1:7" x14ac:dyDescent="0.2">
      <c r="A5801" s="2" t="s">
        <v>86</v>
      </c>
      <c r="B5801" s="14">
        <v>38565</v>
      </c>
      <c r="C5801" s="2">
        <v>0.20476190476</v>
      </c>
      <c r="D5801" s="2">
        <v>0</v>
      </c>
      <c r="E5801" s="2">
        <v>1</v>
      </c>
      <c r="F5801" s="2">
        <v>2.2282533049842498E-2</v>
      </c>
      <c r="G5801" s="2">
        <v>2</v>
      </c>
    </row>
    <row r="5802" spans="1:7" x14ac:dyDescent="0.2">
      <c r="A5802" s="2" t="s">
        <v>86</v>
      </c>
      <c r="B5802" s="14">
        <v>38596</v>
      </c>
      <c r="C5802" s="2">
        <v>3.1620553359999998E-2</v>
      </c>
      <c r="D5802" s="2">
        <v>0</v>
      </c>
      <c r="E5802" s="2">
        <v>1</v>
      </c>
      <c r="F5802" s="2">
        <v>2.8143792088647399E-2</v>
      </c>
      <c r="G5802" s="2">
        <v>2</v>
      </c>
    </row>
    <row r="5803" spans="1:7" x14ac:dyDescent="0.2">
      <c r="A5803" s="2" t="s">
        <v>86</v>
      </c>
      <c r="B5803" s="14">
        <v>38626</v>
      </c>
      <c r="C5803" s="2">
        <v>3.8314176235999999E-3</v>
      </c>
      <c r="D5803" s="2">
        <v>0</v>
      </c>
      <c r="E5803" s="2">
        <v>1</v>
      </c>
      <c r="F5803" s="2">
        <v>2.8852926346948402E-2</v>
      </c>
      <c r="G5803" s="2">
        <v>2</v>
      </c>
    </row>
    <row r="5804" spans="1:7" x14ac:dyDescent="0.2">
      <c r="A5804" s="2" t="s">
        <v>86</v>
      </c>
      <c r="B5804" s="14">
        <v>38657</v>
      </c>
      <c r="C5804" s="2">
        <v>-4.5801526718000002E-2</v>
      </c>
      <c r="D5804" s="2">
        <v>0</v>
      </c>
      <c r="E5804" s="2">
        <v>1</v>
      </c>
      <c r="F5804" s="2">
        <v>2.8893867593664999E-2</v>
      </c>
      <c r="G5804" s="2">
        <v>2</v>
      </c>
    </row>
    <row r="5805" spans="1:7" x14ac:dyDescent="0.2">
      <c r="A5805" s="2" t="s">
        <v>86</v>
      </c>
      <c r="B5805" s="14">
        <v>38687</v>
      </c>
      <c r="C5805" s="2">
        <v>-0.04</v>
      </c>
      <c r="D5805" s="2">
        <v>0</v>
      </c>
      <c r="E5805" s="2">
        <v>1</v>
      </c>
      <c r="F5805" s="2">
        <v>3.1374174352971802E-2</v>
      </c>
      <c r="G5805" s="2">
        <v>2</v>
      </c>
    </row>
    <row r="5806" spans="1:7" x14ac:dyDescent="0.2">
      <c r="A5806" s="2" t="s">
        <v>86</v>
      </c>
      <c r="B5806" s="14">
        <v>38718</v>
      </c>
      <c r="C5806" s="2">
        <v>8.3333333332000006E-3</v>
      </c>
      <c r="D5806" s="2">
        <v>0</v>
      </c>
      <c r="E5806" s="2">
        <v>1</v>
      </c>
      <c r="F5806" s="2">
        <v>3.13986671145563E-2</v>
      </c>
      <c r="G5806" s="2">
        <v>2</v>
      </c>
    </row>
    <row r="5807" spans="1:7" x14ac:dyDescent="0.2">
      <c r="A5807" s="2" t="s">
        <v>86</v>
      </c>
      <c r="B5807" s="14">
        <v>38749</v>
      </c>
      <c r="C5807" s="2">
        <v>-8.2644628092000006E-3</v>
      </c>
      <c r="D5807" s="2">
        <v>0</v>
      </c>
      <c r="E5807" s="2">
        <v>1</v>
      </c>
      <c r="F5807" s="2">
        <v>3.4133110898504598E-2</v>
      </c>
      <c r="G5807" s="2">
        <v>2</v>
      </c>
    </row>
    <row r="5808" spans="1:7" x14ac:dyDescent="0.2">
      <c r="A5808" s="2" t="s">
        <v>86</v>
      </c>
      <c r="B5808" s="14">
        <v>38777</v>
      </c>
      <c r="C5808" s="2">
        <v>-8.3333333334000004E-2</v>
      </c>
      <c r="D5808" s="2">
        <v>0</v>
      </c>
      <c r="E5808" s="2">
        <v>1</v>
      </c>
      <c r="F5808" s="2">
        <v>2.7996857709711401E-2</v>
      </c>
      <c r="G5808" s="2">
        <v>2</v>
      </c>
    </row>
    <row r="5809" spans="1:7" x14ac:dyDescent="0.2">
      <c r="A5809" s="2" t="s">
        <v>86</v>
      </c>
      <c r="B5809" s="14">
        <v>38808</v>
      </c>
      <c r="C5809" s="2">
        <v>4.5454545454000003E-2</v>
      </c>
      <c r="D5809" s="2">
        <v>0</v>
      </c>
      <c r="E5809" s="2">
        <v>1</v>
      </c>
      <c r="F5809" s="2">
        <v>2.4925894021628401E-2</v>
      </c>
      <c r="G5809" s="2">
        <v>2</v>
      </c>
    </row>
    <row r="5810" spans="1:7" x14ac:dyDescent="0.2">
      <c r="A5810" s="2" t="s">
        <v>86</v>
      </c>
      <c r="B5810" s="14">
        <v>38838</v>
      </c>
      <c r="C5810" s="2">
        <v>9.7019184340999993E-3</v>
      </c>
      <c r="D5810" s="2">
        <v>0</v>
      </c>
      <c r="E5810" s="2">
        <v>1</v>
      </c>
      <c r="F5810" s="2">
        <v>2.6060334069497801E-2</v>
      </c>
      <c r="G5810" s="2">
        <v>2</v>
      </c>
    </row>
    <row r="5811" spans="1:7" x14ac:dyDescent="0.2">
      <c r="A5811" s="2" t="s">
        <v>86</v>
      </c>
      <c r="B5811" s="14">
        <v>38869</v>
      </c>
      <c r="C5811" s="2">
        <v>4.347826087E-2</v>
      </c>
      <c r="D5811" s="2">
        <v>0</v>
      </c>
      <c r="E5811" s="2">
        <v>1</v>
      </c>
      <c r="F5811" s="2">
        <v>2.75103344573152E-2</v>
      </c>
      <c r="G5811" s="2">
        <v>2</v>
      </c>
    </row>
    <row r="5812" spans="1:7" x14ac:dyDescent="0.2">
      <c r="A5812" s="2" t="s">
        <v>86</v>
      </c>
      <c r="B5812" s="14">
        <v>38899</v>
      </c>
      <c r="C5812" s="2">
        <v>0</v>
      </c>
      <c r="D5812" s="2">
        <v>0</v>
      </c>
      <c r="E5812" s="2">
        <v>1</v>
      </c>
      <c r="F5812" s="2">
        <v>2.98241943107476E-2</v>
      </c>
      <c r="G5812" s="2">
        <v>2</v>
      </c>
    </row>
    <row r="5813" spans="1:7" x14ac:dyDescent="0.2">
      <c r="A5813" s="2" t="s">
        <v>86</v>
      </c>
      <c r="B5813" s="14">
        <v>38930</v>
      </c>
      <c r="C5813" s="2">
        <v>-4.1666666667000002E-2</v>
      </c>
      <c r="D5813" s="2">
        <v>0</v>
      </c>
      <c r="E5813" s="2">
        <v>1</v>
      </c>
      <c r="F5813" s="2">
        <v>3.14338834076675E-2</v>
      </c>
      <c r="G5813" s="2">
        <v>2</v>
      </c>
    </row>
    <row r="5814" spans="1:7" x14ac:dyDescent="0.2">
      <c r="A5814" s="2" t="s">
        <v>86</v>
      </c>
      <c r="B5814" s="14">
        <v>38961</v>
      </c>
      <c r="C5814" s="2">
        <v>0</v>
      </c>
      <c r="D5814" s="2">
        <v>0</v>
      </c>
      <c r="E5814" s="2">
        <v>1</v>
      </c>
      <c r="F5814" s="2">
        <v>2.9974867101282599E-2</v>
      </c>
      <c r="G5814" s="2">
        <v>2</v>
      </c>
    </row>
    <row r="5815" spans="1:7" x14ac:dyDescent="0.2">
      <c r="A5815" s="2" t="s">
        <v>86</v>
      </c>
      <c r="B5815" s="14">
        <v>38991</v>
      </c>
      <c r="C5815" s="2">
        <v>4.3478260868000003E-3</v>
      </c>
      <c r="D5815" s="2">
        <v>0</v>
      </c>
      <c r="E5815" s="2">
        <v>1</v>
      </c>
      <c r="F5815" s="2">
        <v>3.2349567111758501E-2</v>
      </c>
      <c r="G5815" s="2">
        <v>2</v>
      </c>
    </row>
    <row r="5816" spans="1:7" x14ac:dyDescent="0.2">
      <c r="A5816" s="2" t="s">
        <v>86</v>
      </c>
      <c r="B5816" s="14">
        <v>39022</v>
      </c>
      <c r="C5816" s="2">
        <v>0</v>
      </c>
      <c r="D5816" s="2">
        <v>0</v>
      </c>
      <c r="E5816" s="2">
        <v>1</v>
      </c>
      <c r="F5816" s="2">
        <v>3.1152397661527598E-2</v>
      </c>
      <c r="G5816" s="2">
        <v>2</v>
      </c>
    </row>
    <row r="5817" spans="1:7" x14ac:dyDescent="0.2">
      <c r="A5817" s="2" t="s">
        <v>86</v>
      </c>
      <c r="B5817" s="14">
        <v>39052</v>
      </c>
      <c r="C5817" s="2">
        <v>-2.1645021645000002E-2</v>
      </c>
      <c r="D5817" s="2">
        <v>0</v>
      </c>
      <c r="E5817" s="2">
        <v>1</v>
      </c>
      <c r="F5817" s="2">
        <v>3.0838525339586101E-2</v>
      </c>
      <c r="G5817" s="2">
        <v>2</v>
      </c>
    </row>
    <row r="5818" spans="1:7" x14ac:dyDescent="0.2">
      <c r="A5818" s="2" t="s">
        <v>86</v>
      </c>
      <c r="B5818" s="14">
        <v>39083</v>
      </c>
      <c r="C5818" s="2">
        <v>4.4247787627999999E-4</v>
      </c>
      <c r="D5818" s="2">
        <v>0</v>
      </c>
      <c r="E5818" s="2">
        <v>1</v>
      </c>
      <c r="F5818" s="2">
        <v>2.8983417166194798E-2</v>
      </c>
      <c r="G5818" s="2">
        <v>2</v>
      </c>
    </row>
    <row r="5819" spans="1:7" x14ac:dyDescent="0.2">
      <c r="A5819" s="2" t="s">
        <v>86</v>
      </c>
      <c r="B5819" s="14">
        <v>39114</v>
      </c>
      <c r="C5819" s="2">
        <v>6.1477222466999999E-2</v>
      </c>
      <c r="D5819" s="2">
        <v>0</v>
      </c>
      <c r="E5819" s="2">
        <v>1</v>
      </c>
      <c r="F5819" s="2">
        <v>2.8991945960611099E-2</v>
      </c>
      <c r="G5819" s="2">
        <v>2</v>
      </c>
    </row>
    <row r="5820" spans="1:7" x14ac:dyDescent="0.2">
      <c r="A5820" s="2" t="s">
        <v>86</v>
      </c>
      <c r="B5820" s="14">
        <v>39142</v>
      </c>
      <c r="C5820" s="2">
        <v>8.3333333332000006E-3</v>
      </c>
      <c r="D5820" s="2">
        <v>0</v>
      </c>
      <c r="E5820" s="2">
        <v>1</v>
      </c>
      <c r="F5820" s="2">
        <v>3.1926309114457603E-2</v>
      </c>
      <c r="G5820" s="2">
        <v>2</v>
      </c>
    </row>
    <row r="5821" spans="1:7" x14ac:dyDescent="0.2">
      <c r="A5821" s="2" t="s">
        <v>86</v>
      </c>
      <c r="B5821" s="14">
        <v>39173</v>
      </c>
      <c r="C5821" s="2">
        <v>0.19876033058000001</v>
      </c>
      <c r="D5821" s="2">
        <v>0</v>
      </c>
      <c r="E5821" s="2">
        <v>1</v>
      </c>
      <c r="F5821" s="2">
        <v>3.1951619164114001E-2</v>
      </c>
      <c r="G5821" s="2">
        <v>2</v>
      </c>
    </row>
    <row r="5822" spans="1:7" x14ac:dyDescent="0.2">
      <c r="A5822" s="2" t="s">
        <v>86</v>
      </c>
      <c r="B5822" s="14">
        <v>39203</v>
      </c>
      <c r="C5822" s="2">
        <v>7.6560547228E-2</v>
      </c>
      <c r="D5822" s="2">
        <v>0</v>
      </c>
      <c r="E5822" s="2">
        <v>1</v>
      </c>
      <c r="F5822" s="2">
        <v>3.7771419447619199E-2</v>
      </c>
      <c r="G5822" s="2">
        <v>2</v>
      </c>
    </row>
    <row r="5823" spans="1:7" x14ac:dyDescent="0.2">
      <c r="A5823" s="2" t="s">
        <v>86</v>
      </c>
      <c r="B5823" s="14">
        <v>39234</v>
      </c>
      <c r="C5823" s="2">
        <v>7.9369648124999997E-2</v>
      </c>
      <c r="D5823" s="2">
        <v>4.2382701999999998E-3</v>
      </c>
      <c r="E5823" s="2">
        <v>1</v>
      </c>
      <c r="F5823" s="2">
        <v>4.0114263435207798E-2</v>
      </c>
      <c r="G5823" s="2">
        <v>2</v>
      </c>
    </row>
    <row r="5824" spans="1:7" x14ac:dyDescent="0.2">
      <c r="A5824" s="2" t="s">
        <v>86</v>
      </c>
      <c r="B5824" s="14">
        <v>39264</v>
      </c>
      <c r="C5824" s="19">
        <v>3.3333331884999999E-5</v>
      </c>
      <c r="D5824" s="2">
        <v>0</v>
      </c>
      <c r="E5824" s="2">
        <v>1</v>
      </c>
      <c r="F5824" s="2">
        <v>4.28897457343334E-2</v>
      </c>
      <c r="G5824" s="2">
        <v>2</v>
      </c>
    </row>
    <row r="5825" spans="1:7" x14ac:dyDescent="0.2">
      <c r="A5825" s="2" t="s">
        <v>86</v>
      </c>
      <c r="B5825" s="14">
        <v>39295</v>
      </c>
      <c r="C5825" s="2">
        <v>0.23329222358999999</v>
      </c>
      <c r="D5825" s="2">
        <v>0</v>
      </c>
      <c r="E5825" s="2">
        <v>1</v>
      </c>
      <c r="F5825" s="2">
        <v>4.9643296133821402E-2</v>
      </c>
      <c r="G5825" s="2">
        <v>2</v>
      </c>
    </row>
    <row r="5826" spans="1:7" x14ac:dyDescent="0.2">
      <c r="A5826" s="2" t="s">
        <v>86</v>
      </c>
      <c r="B5826" s="14">
        <v>39326</v>
      </c>
      <c r="C5826" s="2">
        <v>0.35257242898000002</v>
      </c>
      <c r="D5826" s="2">
        <v>0</v>
      </c>
      <c r="E5826" s="2">
        <v>1</v>
      </c>
      <c r="F5826" s="2">
        <v>5.4569986646264099E-2</v>
      </c>
      <c r="G5826" s="2">
        <v>2</v>
      </c>
    </row>
    <row r="5827" spans="1:7" x14ac:dyDescent="0.2">
      <c r="A5827" s="2" t="s">
        <v>86</v>
      </c>
      <c r="B5827" s="14">
        <v>39356</v>
      </c>
      <c r="C5827" s="2">
        <v>-0.10229645093</v>
      </c>
      <c r="D5827" s="2">
        <v>0</v>
      </c>
      <c r="E5827" s="2">
        <v>1</v>
      </c>
      <c r="F5827" s="2">
        <v>6.37936420029106E-2</v>
      </c>
      <c r="G5827" s="2">
        <v>2</v>
      </c>
    </row>
    <row r="5828" spans="1:7" x14ac:dyDescent="0.2">
      <c r="A5828" s="2" t="s">
        <v>86</v>
      </c>
      <c r="B5828" s="14">
        <v>39387</v>
      </c>
      <c r="C5828" s="2">
        <v>-0.13953488372</v>
      </c>
      <c r="D5828" s="2">
        <v>0</v>
      </c>
      <c r="E5828" s="2">
        <v>1</v>
      </c>
      <c r="F5828" s="2">
        <v>5.5529813943020902E-2</v>
      </c>
      <c r="G5828" s="2">
        <v>2</v>
      </c>
    </row>
    <row r="5829" spans="1:7" x14ac:dyDescent="0.2">
      <c r="A5829" s="2" t="s">
        <v>86</v>
      </c>
      <c r="B5829" s="14">
        <v>39417</v>
      </c>
      <c r="C5829" s="2">
        <v>-5.4054054055000002E-2</v>
      </c>
      <c r="D5829" s="2">
        <v>0</v>
      </c>
      <c r="E5829" s="2">
        <v>1</v>
      </c>
      <c r="F5829" s="2">
        <v>4.9872550244926497E-2</v>
      </c>
      <c r="G5829" s="2">
        <v>2</v>
      </c>
    </row>
    <row r="5830" spans="1:7" x14ac:dyDescent="0.2">
      <c r="A5830" s="2" t="s">
        <v>86</v>
      </c>
      <c r="B5830" s="14">
        <v>39448</v>
      </c>
      <c r="C5830" s="2">
        <v>0</v>
      </c>
      <c r="D5830" s="2">
        <v>0</v>
      </c>
      <c r="E5830" s="2">
        <v>1</v>
      </c>
      <c r="F5830" s="2">
        <v>4.6182709637079399E-2</v>
      </c>
      <c r="G5830" s="2">
        <v>2</v>
      </c>
    </row>
    <row r="5831" spans="1:7" x14ac:dyDescent="0.2">
      <c r="A5831" s="2" t="s">
        <v>86</v>
      </c>
      <c r="B5831" s="14">
        <v>39479</v>
      </c>
      <c r="C5831" s="2">
        <v>0</v>
      </c>
      <c r="D5831" s="2">
        <v>0</v>
      </c>
      <c r="E5831" s="2">
        <v>1</v>
      </c>
      <c r="F5831" s="2">
        <v>4.6182059676026399E-2</v>
      </c>
      <c r="G5831" s="2">
        <v>2</v>
      </c>
    </row>
    <row r="5832" spans="1:7" x14ac:dyDescent="0.2">
      <c r="A5832" s="2" t="s">
        <v>86</v>
      </c>
      <c r="B5832" s="14">
        <v>39508</v>
      </c>
      <c r="C5832" s="2">
        <v>0</v>
      </c>
      <c r="D5832" s="2">
        <v>0</v>
      </c>
      <c r="E5832" s="2">
        <v>1</v>
      </c>
      <c r="F5832" s="2">
        <v>3.9461232776043603E-2</v>
      </c>
      <c r="G5832" s="2">
        <v>2</v>
      </c>
    </row>
    <row r="5833" spans="1:7" x14ac:dyDescent="0.2">
      <c r="A5833" s="2" t="s">
        <v>86</v>
      </c>
      <c r="B5833" s="14">
        <v>39539</v>
      </c>
      <c r="C5833" s="2">
        <v>-0.2</v>
      </c>
      <c r="D5833" s="2">
        <v>0</v>
      </c>
      <c r="E5833" s="2">
        <v>1</v>
      </c>
      <c r="F5833" s="2">
        <v>2.9280060519169499E-2</v>
      </c>
      <c r="G5833" s="2">
        <v>2</v>
      </c>
    </row>
    <row r="5834" spans="1:7" x14ac:dyDescent="0.2">
      <c r="A5834" s="2" t="s">
        <v>86</v>
      </c>
      <c r="B5834" s="14">
        <v>39569</v>
      </c>
      <c r="C5834" s="2">
        <v>7.1428571428E-3</v>
      </c>
      <c r="D5834" s="2">
        <v>0</v>
      </c>
      <c r="E5834" s="2">
        <v>1</v>
      </c>
      <c r="F5834" s="2">
        <v>2.7137279131172799E-2</v>
      </c>
      <c r="G5834" s="2">
        <v>2</v>
      </c>
    </row>
    <row r="5835" spans="1:7" x14ac:dyDescent="0.2">
      <c r="A5835" s="2" t="s">
        <v>86</v>
      </c>
      <c r="B5835" s="14">
        <v>39600</v>
      </c>
      <c r="C5835" s="2">
        <v>0</v>
      </c>
      <c r="D5835" s="2">
        <v>0</v>
      </c>
      <c r="E5835" s="2">
        <v>1</v>
      </c>
      <c r="F5835" s="2">
        <v>3.1339961064468201E-2</v>
      </c>
      <c r="G5835" s="2">
        <v>2</v>
      </c>
    </row>
    <row r="5836" spans="1:7" x14ac:dyDescent="0.2">
      <c r="A5836" s="2" t="s">
        <v>86</v>
      </c>
      <c r="B5836" s="14">
        <v>39630</v>
      </c>
      <c r="C5836" s="2">
        <v>-1.4184397163E-2</v>
      </c>
      <c r="D5836" s="2">
        <v>0</v>
      </c>
      <c r="E5836" s="2">
        <v>1</v>
      </c>
      <c r="F5836" s="2">
        <v>3.2876415786729903E-2</v>
      </c>
      <c r="G5836" s="2">
        <v>2</v>
      </c>
    </row>
    <row r="5837" spans="1:7" x14ac:dyDescent="0.2">
      <c r="A5837" s="2" t="s">
        <v>86</v>
      </c>
      <c r="B5837" s="14">
        <v>39661</v>
      </c>
      <c r="C5837" s="2">
        <v>-0.28057553956999998</v>
      </c>
      <c r="D5837" s="2">
        <v>0</v>
      </c>
      <c r="E5837" s="2">
        <v>1</v>
      </c>
      <c r="F5837" s="2">
        <v>2.17166854318478E-2</v>
      </c>
      <c r="G5837" s="2">
        <v>2</v>
      </c>
    </row>
    <row r="5838" spans="1:7" x14ac:dyDescent="0.2">
      <c r="A5838" s="2" t="s">
        <v>86</v>
      </c>
      <c r="B5838" s="14">
        <v>39692</v>
      </c>
      <c r="C5838" s="2">
        <v>-9.9949999999999997E-2</v>
      </c>
      <c r="D5838" s="2">
        <v>-9.9585261000000001E-3</v>
      </c>
      <c r="E5838" s="2">
        <v>1</v>
      </c>
      <c r="F5838" s="2">
        <v>1.44122894692121E-2</v>
      </c>
      <c r="G5838" s="2">
        <v>2</v>
      </c>
    </row>
    <row r="5839" spans="1:7" x14ac:dyDescent="0.2">
      <c r="A5839" s="2" t="s">
        <v>86</v>
      </c>
      <c r="B5839" s="14">
        <v>39722</v>
      </c>
      <c r="C5839" s="2">
        <v>0</v>
      </c>
      <c r="D5839" s="2">
        <v>0</v>
      </c>
      <c r="E5839" s="2">
        <v>1</v>
      </c>
      <c r="F5839" s="2">
        <v>1.0637334340219099E-2</v>
      </c>
      <c r="G5839" s="2">
        <v>2</v>
      </c>
    </row>
    <row r="5840" spans="1:7" x14ac:dyDescent="0.2">
      <c r="A5840" s="2" t="s">
        <v>86</v>
      </c>
      <c r="B5840" s="14">
        <v>39753</v>
      </c>
      <c r="C5840" s="2">
        <v>0</v>
      </c>
      <c r="D5840" s="2">
        <v>0</v>
      </c>
      <c r="E5840" s="2">
        <v>1</v>
      </c>
      <c r="F5840" s="2">
        <v>1.6449001659208599E-2</v>
      </c>
      <c r="G5840" s="2">
        <v>2</v>
      </c>
    </row>
    <row r="5841" spans="1:7" x14ac:dyDescent="0.2">
      <c r="A5841" s="2" t="s">
        <v>86</v>
      </c>
      <c r="B5841" s="14">
        <v>39783</v>
      </c>
      <c r="C5841" s="2">
        <v>0</v>
      </c>
      <c r="D5841" s="2">
        <v>0</v>
      </c>
      <c r="E5841" s="2">
        <v>1</v>
      </c>
      <c r="F5841" s="2">
        <v>1.6216373250459298E-2</v>
      </c>
      <c r="G5841" s="2">
        <v>2</v>
      </c>
    </row>
    <row r="5842" spans="1:7" x14ac:dyDescent="0.2">
      <c r="A5842" s="2" t="s">
        <v>87</v>
      </c>
      <c r="B5842" s="14">
        <v>37591</v>
      </c>
      <c r="E5842" s="2">
        <v>1</v>
      </c>
      <c r="G5842" s="2">
        <v>2</v>
      </c>
    </row>
    <row r="5843" spans="1:7" x14ac:dyDescent="0.2">
      <c r="A5843" s="2" t="s">
        <v>87</v>
      </c>
      <c r="B5843" s="14">
        <v>37622</v>
      </c>
      <c r="E5843" s="2">
        <v>1</v>
      </c>
      <c r="G5843" s="2">
        <v>2</v>
      </c>
    </row>
    <row r="5844" spans="1:7" x14ac:dyDescent="0.2">
      <c r="A5844" s="2" t="s">
        <v>87</v>
      </c>
      <c r="B5844" s="14">
        <v>37653</v>
      </c>
      <c r="E5844" s="2">
        <v>1</v>
      </c>
      <c r="G5844" s="2">
        <v>2</v>
      </c>
    </row>
    <row r="5845" spans="1:7" x14ac:dyDescent="0.2">
      <c r="A5845" s="2" t="s">
        <v>87</v>
      </c>
      <c r="B5845" s="14">
        <v>37681</v>
      </c>
      <c r="E5845" s="2">
        <v>1</v>
      </c>
      <c r="G5845" s="2">
        <v>2</v>
      </c>
    </row>
    <row r="5846" spans="1:7" x14ac:dyDescent="0.2">
      <c r="A5846" s="2" t="s">
        <v>87</v>
      </c>
      <c r="B5846" s="14">
        <v>37712</v>
      </c>
      <c r="E5846" s="2">
        <v>1</v>
      </c>
      <c r="G5846" s="2">
        <v>2</v>
      </c>
    </row>
    <row r="5847" spans="1:7" x14ac:dyDescent="0.2">
      <c r="A5847" s="2" t="s">
        <v>87</v>
      </c>
      <c r="B5847" s="14">
        <v>37742</v>
      </c>
      <c r="E5847" s="2">
        <v>1</v>
      </c>
      <c r="G5847" s="2">
        <v>2</v>
      </c>
    </row>
    <row r="5848" spans="1:7" x14ac:dyDescent="0.2">
      <c r="A5848" s="2" t="s">
        <v>87</v>
      </c>
      <c r="B5848" s="14">
        <v>37773</v>
      </c>
      <c r="E5848" s="2">
        <v>1</v>
      </c>
      <c r="G5848" s="2">
        <v>2</v>
      </c>
    </row>
    <row r="5849" spans="1:7" x14ac:dyDescent="0.2">
      <c r="A5849" s="2" t="s">
        <v>87</v>
      </c>
      <c r="B5849" s="14">
        <v>37803</v>
      </c>
      <c r="E5849" s="2">
        <v>1</v>
      </c>
      <c r="G5849" s="2">
        <v>2</v>
      </c>
    </row>
    <row r="5850" spans="1:7" x14ac:dyDescent="0.2">
      <c r="A5850" s="2" t="s">
        <v>87</v>
      </c>
      <c r="B5850" s="14">
        <v>37834</v>
      </c>
      <c r="E5850" s="2">
        <v>1</v>
      </c>
      <c r="G5850" s="2">
        <v>2</v>
      </c>
    </row>
    <row r="5851" spans="1:7" x14ac:dyDescent="0.2">
      <c r="A5851" s="2" t="s">
        <v>87</v>
      </c>
      <c r="B5851" s="14">
        <v>37865</v>
      </c>
      <c r="E5851" s="2">
        <v>1</v>
      </c>
      <c r="G5851" s="2">
        <v>2</v>
      </c>
    </row>
    <row r="5852" spans="1:7" x14ac:dyDescent="0.2">
      <c r="A5852" s="2" t="s">
        <v>87</v>
      </c>
      <c r="B5852" s="14">
        <v>37895</v>
      </c>
      <c r="E5852" s="2">
        <v>1</v>
      </c>
      <c r="G5852" s="2">
        <v>2</v>
      </c>
    </row>
    <row r="5853" spans="1:7" x14ac:dyDescent="0.2">
      <c r="A5853" s="2" t="s">
        <v>87</v>
      </c>
      <c r="B5853" s="14">
        <v>37926</v>
      </c>
      <c r="E5853" s="2">
        <v>1</v>
      </c>
      <c r="G5853" s="2">
        <v>2</v>
      </c>
    </row>
    <row r="5854" spans="1:7" x14ac:dyDescent="0.2">
      <c r="A5854" s="2" t="s">
        <v>87</v>
      </c>
      <c r="B5854" s="14">
        <v>37956</v>
      </c>
      <c r="E5854" s="2">
        <v>1</v>
      </c>
      <c r="G5854" s="2">
        <v>2</v>
      </c>
    </row>
    <row r="5855" spans="1:7" x14ac:dyDescent="0.2">
      <c r="A5855" s="2" t="s">
        <v>87</v>
      </c>
      <c r="B5855" s="14">
        <v>37987</v>
      </c>
      <c r="E5855" s="2">
        <v>1</v>
      </c>
      <c r="G5855" s="2">
        <v>2</v>
      </c>
    </row>
    <row r="5856" spans="1:7" x14ac:dyDescent="0.2">
      <c r="A5856" s="2" t="s">
        <v>87</v>
      </c>
      <c r="B5856" s="14">
        <v>38018</v>
      </c>
      <c r="E5856" s="2">
        <v>1</v>
      </c>
      <c r="G5856" s="2">
        <v>2</v>
      </c>
    </row>
    <row r="5857" spans="1:7" x14ac:dyDescent="0.2">
      <c r="A5857" s="2" t="s">
        <v>87</v>
      </c>
      <c r="B5857" s="14">
        <v>38047</v>
      </c>
      <c r="E5857" s="2">
        <v>1</v>
      </c>
      <c r="G5857" s="2">
        <v>2</v>
      </c>
    </row>
    <row r="5858" spans="1:7" x14ac:dyDescent="0.2">
      <c r="A5858" s="2" t="s">
        <v>87</v>
      </c>
      <c r="B5858" s="14">
        <v>38078</v>
      </c>
      <c r="E5858" s="2">
        <v>1</v>
      </c>
      <c r="G5858" s="2">
        <v>2</v>
      </c>
    </row>
    <row r="5859" spans="1:7" x14ac:dyDescent="0.2">
      <c r="A5859" s="2" t="s">
        <v>87</v>
      </c>
      <c r="B5859" s="14">
        <v>38108</v>
      </c>
      <c r="E5859" s="2">
        <v>1</v>
      </c>
      <c r="G5859" s="2">
        <v>2</v>
      </c>
    </row>
    <row r="5860" spans="1:7" x14ac:dyDescent="0.2">
      <c r="A5860" s="2" t="s">
        <v>87</v>
      </c>
      <c r="B5860" s="14">
        <v>38139</v>
      </c>
      <c r="E5860" s="2">
        <v>1</v>
      </c>
      <c r="G5860" s="2">
        <v>2</v>
      </c>
    </row>
    <row r="5861" spans="1:7" x14ac:dyDescent="0.2">
      <c r="A5861" s="2" t="s">
        <v>87</v>
      </c>
      <c r="B5861" s="14">
        <v>38169</v>
      </c>
      <c r="E5861" s="2">
        <v>1</v>
      </c>
      <c r="G5861" s="2">
        <v>2</v>
      </c>
    </row>
    <row r="5862" spans="1:7" x14ac:dyDescent="0.2">
      <c r="A5862" s="2" t="s">
        <v>87</v>
      </c>
      <c r="B5862" s="14">
        <v>38200</v>
      </c>
      <c r="E5862" s="2">
        <v>1</v>
      </c>
      <c r="G5862" s="2">
        <v>2</v>
      </c>
    </row>
    <row r="5863" spans="1:7" x14ac:dyDescent="0.2">
      <c r="A5863" s="2" t="s">
        <v>87</v>
      </c>
      <c r="B5863" s="14">
        <v>38231</v>
      </c>
      <c r="E5863" s="2">
        <v>1</v>
      </c>
      <c r="G5863" s="2">
        <v>2</v>
      </c>
    </row>
    <row r="5864" spans="1:7" x14ac:dyDescent="0.2">
      <c r="A5864" s="2" t="s">
        <v>87</v>
      </c>
      <c r="B5864" s="14">
        <v>38261</v>
      </c>
      <c r="E5864" s="2">
        <v>1</v>
      </c>
      <c r="G5864" s="2">
        <v>2</v>
      </c>
    </row>
    <row r="5865" spans="1:7" x14ac:dyDescent="0.2">
      <c r="A5865" s="2" t="s">
        <v>87</v>
      </c>
      <c r="B5865" s="14">
        <v>38292</v>
      </c>
      <c r="E5865" s="2">
        <v>1</v>
      </c>
      <c r="G5865" s="2">
        <v>2</v>
      </c>
    </row>
    <row r="5866" spans="1:7" x14ac:dyDescent="0.2">
      <c r="A5866" s="2" t="s">
        <v>87</v>
      </c>
      <c r="B5866" s="14">
        <v>38322</v>
      </c>
      <c r="E5866" s="2">
        <v>1</v>
      </c>
      <c r="G5866" s="2">
        <v>2</v>
      </c>
    </row>
    <row r="5867" spans="1:7" x14ac:dyDescent="0.2">
      <c r="A5867" s="2" t="s">
        <v>87</v>
      </c>
      <c r="B5867" s="14">
        <v>38353</v>
      </c>
      <c r="E5867" s="2">
        <v>1</v>
      </c>
      <c r="G5867" s="2">
        <v>2</v>
      </c>
    </row>
    <row r="5868" spans="1:7" x14ac:dyDescent="0.2">
      <c r="A5868" s="2" t="s">
        <v>87</v>
      </c>
      <c r="B5868" s="14">
        <v>38384</v>
      </c>
      <c r="E5868" s="2">
        <v>1</v>
      </c>
      <c r="G5868" s="2">
        <v>2</v>
      </c>
    </row>
    <row r="5869" spans="1:7" x14ac:dyDescent="0.2">
      <c r="A5869" s="2" t="s">
        <v>87</v>
      </c>
      <c r="B5869" s="14">
        <v>38412</v>
      </c>
      <c r="E5869" s="2">
        <v>1</v>
      </c>
      <c r="G5869" s="2">
        <v>2</v>
      </c>
    </row>
    <row r="5870" spans="1:7" x14ac:dyDescent="0.2">
      <c r="A5870" s="2" t="s">
        <v>87</v>
      </c>
      <c r="B5870" s="14">
        <v>38443</v>
      </c>
      <c r="E5870" s="2">
        <v>1</v>
      </c>
      <c r="G5870" s="2">
        <v>2</v>
      </c>
    </row>
    <row r="5871" spans="1:7" x14ac:dyDescent="0.2">
      <c r="A5871" s="2" t="s">
        <v>87</v>
      </c>
      <c r="B5871" s="14">
        <v>38473</v>
      </c>
      <c r="E5871" s="2">
        <v>1</v>
      </c>
      <c r="G5871" s="2">
        <v>2</v>
      </c>
    </row>
    <row r="5872" spans="1:7" x14ac:dyDescent="0.2">
      <c r="A5872" s="2" t="s">
        <v>87</v>
      </c>
      <c r="B5872" s="14">
        <v>38504</v>
      </c>
      <c r="E5872" s="2">
        <v>1</v>
      </c>
      <c r="G5872" s="2">
        <v>2</v>
      </c>
    </row>
    <row r="5873" spans="1:7" x14ac:dyDescent="0.2">
      <c r="A5873" s="2" t="s">
        <v>87</v>
      </c>
      <c r="B5873" s="14">
        <v>38534</v>
      </c>
      <c r="E5873" s="2">
        <v>1</v>
      </c>
      <c r="G5873" s="2">
        <v>2</v>
      </c>
    </row>
    <row r="5874" spans="1:7" x14ac:dyDescent="0.2">
      <c r="A5874" s="2" t="s">
        <v>87</v>
      </c>
      <c r="B5874" s="14">
        <v>38565</v>
      </c>
      <c r="E5874" s="2">
        <v>1</v>
      </c>
      <c r="G5874" s="2">
        <v>2</v>
      </c>
    </row>
    <row r="5875" spans="1:7" x14ac:dyDescent="0.2">
      <c r="A5875" s="2" t="s">
        <v>87</v>
      </c>
      <c r="B5875" s="14">
        <v>38596</v>
      </c>
      <c r="E5875" s="2">
        <v>1</v>
      </c>
      <c r="G5875" s="2">
        <v>2</v>
      </c>
    </row>
    <row r="5876" spans="1:7" x14ac:dyDescent="0.2">
      <c r="A5876" s="2" t="s">
        <v>87</v>
      </c>
      <c r="B5876" s="14">
        <v>38626</v>
      </c>
      <c r="E5876" s="2">
        <v>1</v>
      </c>
      <c r="G5876" s="2">
        <v>2</v>
      </c>
    </row>
    <row r="5877" spans="1:7" x14ac:dyDescent="0.2">
      <c r="A5877" s="2" t="s">
        <v>87</v>
      </c>
      <c r="B5877" s="14">
        <v>38657</v>
      </c>
      <c r="C5877" s="2">
        <v>-2.7431421447E-2</v>
      </c>
      <c r="D5877" s="2">
        <v>1.2737499999999999E-3</v>
      </c>
      <c r="E5877" s="2">
        <v>1</v>
      </c>
      <c r="G5877" s="2">
        <v>2</v>
      </c>
    </row>
    <row r="5878" spans="1:7" x14ac:dyDescent="0.2">
      <c r="A5878" s="2" t="s">
        <v>87</v>
      </c>
      <c r="B5878" s="14">
        <v>38687</v>
      </c>
      <c r="C5878" s="2">
        <v>-7.0299883480000006E-2</v>
      </c>
      <c r="D5878" s="2">
        <v>2.02525E-4</v>
      </c>
      <c r="E5878" s="2">
        <v>1</v>
      </c>
      <c r="G5878" s="2">
        <v>2</v>
      </c>
    </row>
    <row r="5879" spans="1:7" x14ac:dyDescent="0.2">
      <c r="A5879" s="2" t="s">
        <v>87</v>
      </c>
      <c r="B5879" s="14">
        <v>38718</v>
      </c>
      <c r="C5879" s="2">
        <v>-3.3305555557000002E-2</v>
      </c>
      <c r="D5879" s="2">
        <v>1.1816925E-3</v>
      </c>
      <c r="E5879" s="2">
        <v>1</v>
      </c>
      <c r="G5879" s="2">
        <v>2</v>
      </c>
    </row>
    <row r="5880" spans="1:7" x14ac:dyDescent="0.2">
      <c r="A5880" s="2" t="s">
        <v>87</v>
      </c>
      <c r="B5880" s="14">
        <v>38749</v>
      </c>
      <c r="C5880" s="2">
        <v>2.8447458408E-3</v>
      </c>
      <c r="D5880" s="2">
        <v>7.8159873E-4</v>
      </c>
      <c r="E5880" s="2">
        <v>1</v>
      </c>
      <c r="G5880" s="2">
        <v>2</v>
      </c>
    </row>
    <row r="5881" spans="1:7" x14ac:dyDescent="0.2">
      <c r="A5881" s="2" t="s">
        <v>87</v>
      </c>
      <c r="B5881" s="14">
        <v>38777</v>
      </c>
      <c r="C5881" s="2">
        <v>6.5902578796999997E-2</v>
      </c>
      <c r="D5881" s="2">
        <v>1.0456475E-3</v>
      </c>
      <c r="E5881" s="2">
        <v>1</v>
      </c>
      <c r="G5881" s="2">
        <v>2</v>
      </c>
    </row>
    <row r="5882" spans="1:7" x14ac:dyDescent="0.2">
      <c r="A5882" s="2" t="s">
        <v>87</v>
      </c>
      <c r="B5882" s="14">
        <v>38808</v>
      </c>
      <c r="C5882" s="2">
        <v>-2.1505376343E-2</v>
      </c>
      <c r="D5882" s="2">
        <v>1.6494000000000001E-3</v>
      </c>
      <c r="E5882" s="2">
        <v>1</v>
      </c>
      <c r="G5882" s="2">
        <v>2</v>
      </c>
    </row>
    <row r="5883" spans="1:7" x14ac:dyDescent="0.2">
      <c r="A5883" s="2" t="s">
        <v>87</v>
      </c>
      <c r="B5883" s="14">
        <v>38838</v>
      </c>
      <c r="C5883" s="2">
        <v>-2.4375108683999998E-2</v>
      </c>
      <c r="D5883" s="2">
        <v>3.5752126000000001E-4</v>
      </c>
      <c r="E5883" s="2">
        <v>1</v>
      </c>
      <c r="G5883" s="2">
        <v>2</v>
      </c>
    </row>
    <row r="5884" spans="1:7" x14ac:dyDescent="0.2">
      <c r="A5884" s="2" t="s">
        <v>87</v>
      </c>
      <c r="B5884" s="14">
        <v>38869</v>
      </c>
      <c r="C5884" s="2">
        <v>2.1528140627000002E-2</v>
      </c>
      <c r="D5884" s="2">
        <v>6.2144751000000004E-4</v>
      </c>
      <c r="E5884" s="2">
        <v>1</v>
      </c>
      <c r="G5884" s="2">
        <v>2</v>
      </c>
    </row>
    <row r="5885" spans="1:7" x14ac:dyDescent="0.2">
      <c r="A5885" s="2" t="s">
        <v>87</v>
      </c>
      <c r="B5885" s="14">
        <v>38899</v>
      </c>
      <c r="C5885" s="2">
        <v>0</v>
      </c>
      <c r="D5885" s="2">
        <v>1.6121625E-4</v>
      </c>
      <c r="E5885" s="2">
        <v>1</v>
      </c>
      <c r="G5885" s="2">
        <v>2</v>
      </c>
    </row>
    <row r="5886" spans="1:7" x14ac:dyDescent="0.2">
      <c r="A5886" s="2" t="s">
        <v>87</v>
      </c>
      <c r="B5886" s="14">
        <v>38930</v>
      </c>
      <c r="C5886" s="2">
        <v>8.7570621469999999E-2</v>
      </c>
      <c r="D5886" s="2">
        <v>8.3005101999999997E-3</v>
      </c>
      <c r="E5886" s="2">
        <v>1</v>
      </c>
      <c r="F5886" s="2">
        <v>2.3372252100943298E-2</v>
      </c>
      <c r="G5886" s="2">
        <v>2</v>
      </c>
    </row>
    <row r="5887" spans="1:7" x14ac:dyDescent="0.2">
      <c r="A5887" s="2" t="s">
        <v>87</v>
      </c>
      <c r="B5887" s="14">
        <v>38961</v>
      </c>
      <c r="C5887" s="2">
        <v>1.2048192772E-2</v>
      </c>
      <c r="D5887" s="2">
        <v>7.7272124999999995E-4</v>
      </c>
      <c r="E5887" s="2">
        <v>1</v>
      </c>
      <c r="F5887" s="2">
        <v>2.5799046299228499E-2</v>
      </c>
      <c r="G5887" s="2">
        <v>2</v>
      </c>
    </row>
    <row r="5888" spans="1:7" x14ac:dyDescent="0.2">
      <c r="A5888" s="2" t="s">
        <v>87</v>
      </c>
      <c r="B5888" s="14">
        <v>38991</v>
      </c>
      <c r="C5888" s="2">
        <v>1.2987012988E-2</v>
      </c>
      <c r="D5888" s="2">
        <v>5.2997950000000004E-3</v>
      </c>
      <c r="E5888" s="2">
        <v>1</v>
      </c>
      <c r="F5888" s="2">
        <v>2.4200128371092901E-2</v>
      </c>
      <c r="G5888" s="2">
        <v>2</v>
      </c>
    </row>
    <row r="5889" spans="1:7" x14ac:dyDescent="0.2">
      <c r="A5889" s="2" t="s">
        <v>87</v>
      </c>
      <c r="B5889" s="14">
        <v>39022</v>
      </c>
      <c r="C5889" s="2">
        <v>6.4102564102999998E-2</v>
      </c>
      <c r="D5889" s="2">
        <v>1.43822E-3</v>
      </c>
      <c r="E5889" s="2">
        <v>1</v>
      </c>
      <c r="F5889" s="2">
        <v>2.5130345602307501E-2</v>
      </c>
      <c r="G5889" s="2">
        <v>2</v>
      </c>
    </row>
    <row r="5890" spans="1:7" x14ac:dyDescent="0.2">
      <c r="A5890" s="2" t="s">
        <v>87</v>
      </c>
      <c r="B5890" s="14">
        <v>39052</v>
      </c>
      <c r="C5890" s="2">
        <v>4.8801161774000004E-3</v>
      </c>
      <c r="D5890" s="2">
        <v>3.8185399E-3</v>
      </c>
      <c r="E5890" s="2">
        <v>1</v>
      </c>
      <c r="F5890" s="2">
        <v>2.7588547546963001E-2</v>
      </c>
      <c r="G5890" s="2">
        <v>2</v>
      </c>
    </row>
    <row r="5891" spans="1:7" x14ac:dyDescent="0.2">
      <c r="A5891" s="2" t="s">
        <v>87</v>
      </c>
      <c r="B5891" s="14">
        <v>39083</v>
      </c>
      <c r="C5891" s="2">
        <v>0.1140776699</v>
      </c>
      <c r="D5891" s="2">
        <v>1.1487450000000001E-3</v>
      </c>
      <c r="E5891" s="2">
        <v>1</v>
      </c>
      <c r="F5891" s="2">
        <v>2.6984484717947201E-2</v>
      </c>
      <c r="G5891" s="2">
        <v>2</v>
      </c>
    </row>
    <row r="5892" spans="1:7" x14ac:dyDescent="0.2">
      <c r="A5892" s="2" t="s">
        <v>87</v>
      </c>
      <c r="B5892" s="14">
        <v>39114</v>
      </c>
      <c r="C5892" s="2">
        <v>-8.4967320260000007E-2</v>
      </c>
      <c r="D5892" s="19">
        <v>7.5326249999999994E-5</v>
      </c>
      <c r="E5892" s="2">
        <v>1</v>
      </c>
      <c r="F5892" s="2">
        <v>3.0145602638047001E-2</v>
      </c>
      <c r="G5892" s="2">
        <v>2</v>
      </c>
    </row>
    <row r="5893" spans="1:7" x14ac:dyDescent="0.2">
      <c r="A5893" s="2" t="s">
        <v>87</v>
      </c>
      <c r="B5893" s="14">
        <v>39142</v>
      </c>
      <c r="C5893" s="2">
        <v>4.9999999998999997E-2</v>
      </c>
      <c r="D5893" s="2">
        <v>0</v>
      </c>
      <c r="E5893" s="2">
        <v>1</v>
      </c>
      <c r="F5893" s="2">
        <v>2.55619983183289E-2</v>
      </c>
      <c r="G5893" s="2">
        <v>2</v>
      </c>
    </row>
    <row r="5894" spans="1:7" x14ac:dyDescent="0.2">
      <c r="A5894" s="2" t="s">
        <v>87</v>
      </c>
      <c r="B5894" s="14">
        <v>39173</v>
      </c>
      <c r="C5894" s="2">
        <v>7.7097505667999999E-2</v>
      </c>
      <c r="D5894" s="2">
        <v>-7.9240999000000005E-4</v>
      </c>
      <c r="E5894" s="2">
        <v>1</v>
      </c>
      <c r="F5894" s="2">
        <v>2.6528663807642201E-2</v>
      </c>
      <c r="G5894" s="2">
        <v>2</v>
      </c>
    </row>
    <row r="5895" spans="1:7" x14ac:dyDescent="0.2">
      <c r="A5895" s="2" t="s">
        <v>87</v>
      </c>
      <c r="B5895" s="14">
        <v>39203</v>
      </c>
      <c r="C5895" s="2">
        <v>0.11064128498</v>
      </c>
      <c r="D5895" s="2">
        <v>2.9026250999999997E-4</v>
      </c>
      <c r="E5895" s="2">
        <v>1</v>
      </c>
      <c r="F5895" s="2">
        <v>2.82243088004588E-2</v>
      </c>
      <c r="G5895" s="2">
        <v>2</v>
      </c>
    </row>
    <row r="5896" spans="1:7" x14ac:dyDescent="0.2">
      <c r="A5896" s="2" t="s">
        <v>87</v>
      </c>
      <c r="B5896" s="14">
        <v>39234</v>
      </c>
      <c r="C5896" s="2">
        <v>2.5918585718999999E-2</v>
      </c>
      <c r="D5896" s="2">
        <v>-2.4615462999999999E-3</v>
      </c>
      <c r="E5896" s="2">
        <v>1</v>
      </c>
      <c r="F5896" s="2">
        <v>2.9402263379197598E-2</v>
      </c>
      <c r="G5896" s="2">
        <v>2</v>
      </c>
    </row>
    <row r="5897" spans="1:7" x14ac:dyDescent="0.2">
      <c r="A5897" s="2" t="s">
        <v>87</v>
      </c>
      <c r="B5897" s="14">
        <v>39264</v>
      </c>
      <c r="C5897" s="2">
        <v>-4.7169811321000003E-2</v>
      </c>
      <c r="D5897" s="2">
        <v>2.3584874999999999E-4</v>
      </c>
      <c r="E5897" s="2">
        <v>1</v>
      </c>
      <c r="F5897" s="2">
        <v>2.9965155691798501E-2</v>
      </c>
      <c r="G5897" s="2">
        <v>2</v>
      </c>
    </row>
    <row r="5898" spans="1:7" x14ac:dyDescent="0.2">
      <c r="A5898" s="2" t="s">
        <v>87</v>
      </c>
      <c r="B5898" s="14">
        <v>39295</v>
      </c>
      <c r="C5898" s="2">
        <v>-4.5544554456000003E-2</v>
      </c>
      <c r="D5898" s="19">
        <v>-6.3951250999999998E-5</v>
      </c>
      <c r="E5898" s="2">
        <v>1</v>
      </c>
      <c r="F5898" s="2">
        <v>2.4151212832025499E-2</v>
      </c>
      <c r="G5898" s="2">
        <v>2</v>
      </c>
    </row>
    <row r="5899" spans="1:7" x14ac:dyDescent="0.2">
      <c r="A5899" s="2" t="s">
        <v>87</v>
      </c>
      <c r="B5899" s="14">
        <v>39326</v>
      </c>
      <c r="C5899" s="2">
        <v>4.2389356494999999E-3</v>
      </c>
      <c r="D5899" s="2">
        <v>0</v>
      </c>
      <c r="E5899" s="2">
        <v>1</v>
      </c>
      <c r="F5899" s="2">
        <v>2.54294222801815E-2</v>
      </c>
      <c r="G5899" s="2">
        <v>2</v>
      </c>
    </row>
    <row r="5900" spans="1:7" x14ac:dyDescent="0.2">
      <c r="A5900" s="2" t="s">
        <v>87</v>
      </c>
      <c r="B5900" s="14">
        <v>39356</v>
      </c>
      <c r="C5900" s="2">
        <v>6.4926931100000003E-3</v>
      </c>
      <c r="D5900" s="2">
        <v>0</v>
      </c>
      <c r="E5900" s="2">
        <v>1</v>
      </c>
      <c r="F5900" s="2">
        <v>2.4124956136393101E-2</v>
      </c>
      <c r="G5900" s="2">
        <v>2</v>
      </c>
    </row>
    <row r="5901" spans="1:7" x14ac:dyDescent="0.2">
      <c r="A5901" s="2" t="s">
        <v>87</v>
      </c>
      <c r="B5901" s="14">
        <v>39387</v>
      </c>
      <c r="C5901" s="2">
        <v>-0.10808736595</v>
      </c>
      <c r="D5901" s="2">
        <v>-2.0882799E-3</v>
      </c>
      <c r="E5901" s="2">
        <v>1</v>
      </c>
      <c r="F5901" s="2">
        <v>2.20728412751868E-2</v>
      </c>
      <c r="G5901" s="2">
        <v>2</v>
      </c>
    </row>
    <row r="5902" spans="1:7" x14ac:dyDescent="0.2">
      <c r="A5902" s="2" t="s">
        <v>87</v>
      </c>
      <c r="B5902" s="14">
        <v>39417</v>
      </c>
      <c r="C5902" s="2">
        <v>3.0508864838000001E-3</v>
      </c>
      <c r="D5902" s="19">
        <v>-3.0843748000000002E-5</v>
      </c>
      <c r="E5902" s="2">
        <v>1</v>
      </c>
      <c r="F5902" s="2">
        <v>1.6179887362684799E-2</v>
      </c>
      <c r="G5902" s="2">
        <v>2</v>
      </c>
    </row>
    <row r="5903" spans="1:7" x14ac:dyDescent="0.2">
      <c r="A5903" s="2" t="s">
        <v>87</v>
      </c>
      <c r="B5903" s="14">
        <v>39448</v>
      </c>
      <c r="C5903" s="2">
        <v>-5.8823529412000003E-2</v>
      </c>
      <c r="D5903" s="2">
        <v>2.5472376000000001E-3</v>
      </c>
      <c r="E5903" s="2">
        <v>1</v>
      </c>
      <c r="F5903" s="2">
        <v>1.5546044658554E-2</v>
      </c>
      <c r="G5903" s="2">
        <v>2</v>
      </c>
    </row>
    <row r="5904" spans="1:7" x14ac:dyDescent="0.2">
      <c r="A5904" s="2" t="s">
        <v>87</v>
      </c>
      <c r="B5904" s="14">
        <v>39479</v>
      </c>
      <c r="C5904" s="2">
        <v>0</v>
      </c>
      <c r="D5904" s="2">
        <v>9.5157127000000002E-4</v>
      </c>
      <c r="E5904" s="2">
        <v>1</v>
      </c>
      <c r="F5904" s="2">
        <v>1.52359460361591E-2</v>
      </c>
      <c r="G5904" s="2">
        <v>2</v>
      </c>
    </row>
    <row r="5905" spans="1:7" x14ac:dyDescent="0.2">
      <c r="A5905" s="2" t="s">
        <v>87</v>
      </c>
      <c r="B5905" s="14">
        <v>39508</v>
      </c>
      <c r="C5905" s="2">
        <v>-5.0000000001E-3</v>
      </c>
      <c r="D5905" s="2">
        <v>3.4061999999999997E-4</v>
      </c>
      <c r="E5905" s="2">
        <v>1</v>
      </c>
      <c r="F5905" s="2">
        <v>1.6459462972712901E-2</v>
      </c>
      <c r="G5905" s="2">
        <v>2</v>
      </c>
    </row>
    <row r="5906" spans="1:7" x14ac:dyDescent="0.2">
      <c r="A5906" s="2" t="s">
        <v>87</v>
      </c>
      <c r="B5906" s="14">
        <v>39539</v>
      </c>
      <c r="C5906" s="2">
        <v>3.7688442210999998E-2</v>
      </c>
      <c r="D5906" s="19">
        <v>4.1249998999999998E-7</v>
      </c>
      <c r="E5906" s="2">
        <v>1</v>
      </c>
      <c r="F5906" s="2">
        <v>1.61675291217338E-2</v>
      </c>
      <c r="G5906" s="2">
        <v>2</v>
      </c>
    </row>
    <row r="5907" spans="1:7" x14ac:dyDescent="0.2">
      <c r="A5907" s="2" t="s">
        <v>87</v>
      </c>
      <c r="B5907" s="14">
        <v>39569</v>
      </c>
      <c r="C5907" s="2">
        <v>-4.8060804013000002E-2</v>
      </c>
      <c r="D5907" s="2">
        <v>2.8468375000000002E-4</v>
      </c>
      <c r="E5907" s="2">
        <v>1</v>
      </c>
      <c r="F5907" s="2">
        <v>1.6911502371080401E-2</v>
      </c>
      <c r="G5907" s="2">
        <v>2</v>
      </c>
    </row>
    <row r="5908" spans="1:7" x14ac:dyDescent="0.2">
      <c r="A5908" s="2" t="s">
        <v>87</v>
      </c>
      <c r="B5908" s="14">
        <v>39600</v>
      </c>
      <c r="C5908" s="2">
        <v>-3.3842045413999999E-3</v>
      </c>
      <c r="D5908" s="19">
        <v>-9.6762495999999993E-6</v>
      </c>
      <c r="E5908" s="2">
        <v>1</v>
      </c>
      <c r="F5908" s="2">
        <v>1.8558585456887999E-2</v>
      </c>
      <c r="G5908" s="2">
        <v>2</v>
      </c>
    </row>
    <row r="5909" spans="1:7" x14ac:dyDescent="0.2">
      <c r="A5909" s="2" t="s">
        <v>87</v>
      </c>
      <c r="B5909" s="14">
        <v>39630</v>
      </c>
      <c r="C5909" s="2">
        <v>-2.6315789474000002E-2</v>
      </c>
      <c r="D5909" s="2">
        <v>0</v>
      </c>
      <c r="E5909" s="2">
        <v>1</v>
      </c>
      <c r="F5909" s="2">
        <v>1.8363207991476799E-2</v>
      </c>
      <c r="G5909" s="2">
        <v>2</v>
      </c>
    </row>
    <row r="5910" spans="1:7" x14ac:dyDescent="0.2">
      <c r="A5910" s="2" t="s">
        <v>87</v>
      </c>
      <c r="B5910" s="14">
        <v>39661</v>
      </c>
      <c r="C5910" s="2">
        <v>9.4621621621999996E-2</v>
      </c>
      <c r="D5910" s="2">
        <v>3.7500000000000001E-4</v>
      </c>
      <c r="E5910" s="2">
        <v>1</v>
      </c>
      <c r="F5910" s="2">
        <v>2.0097059500932799E-2</v>
      </c>
      <c r="G5910" s="2">
        <v>2</v>
      </c>
    </row>
    <row r="5911" spans="1:7" x14ac:dyDescent="0.2">
      <c r="A5911" s="2" t="s">
        <v>87</v>
      </c>
      <c r="B5911" s="14">
        <v>39692</v>
      </c>
      <c r="C5911" s="2">
        <v>-9.5707342459999997E-2</v>
      </c>
      <c r="D5911" s="2">
        <v>-2.8721999999999998E-4</v>
      </c>
      <c r="E5911" s="2">
        <v>1</v>
      </c>
      <c r="F5911" s="2">
        <v>2.2833716568829401E-2</v>
      </c>
      <c r="G5911" s="2">
        <v>2</v>
      </c>
    </row>
    <row r="5912" spans="1:7" x14ac:dyDescent="0.2">
      <c r="A5912" s="2" t="s">
        <v>87</v>
      </c>
      <c r="B5912" s="14">
        <v>39722</v>
      </c>
      <c r="C5912" s="2">
        <v>-0.12867891126</v>
      </c>
      <c r="D5912" s="2">
        <v>4.0077586000000004E-3</v>
      </c>
      <c r="E5912" s="2">
        <v>1</v>
      </c>
      <c r="F5912" s="2">
        <v>2.0577293718604901E-2</v>
      </c>
      <c r="G5912" s="2">
        <v>2</v>
      </c>
    </row>
    <row r="5913" spans="1:7" x14ac:dyDescent="0.2">
      <c r="A5913" s="2" t="s">
        <v>87</v>
      </c>
      <c r="B5913" s="14">
        <v>39753</v>
      </c>
      <c r="C5913" s="2">
        <v>0.14285714285000001</v>
      </c>
      <c r="D5913" s="2">
        <v>1.276625E-3</v>
      </c>
      <c r="E5913" s="2">
        <v>1</v>
      </c>
      <c r="F5913" s="2">
        <v>1.62324178132476E-2</v>
      </c>
      <c r="G5913" s="2">
        <v>2</v>
      </c>
    </row>
    <row r="5914" spans="1:7" x14ac:dyDescent="0.2">
      <c r="A5914" s="2" t="s">
        <v>87</v>
      </c>
      <c r="B5914" s="14">
        <v>39783</v>
      </c>
      <c r="C5914" s="2">
        <v>5.6338028169E-2</v>
      </c>
      <c r="D5914" s="2">
        <v>4.4730626000000001E-4</v>
      </c>
      <c r="E5914" s="2">
        <v>1</v>
      </c>
      <c r="F5914" s="2">
        <v>2.16605225556607E-2</v>
      </c>
      <c r="G5914" s="2">
        <v>2</v>
      </c>
    </row>
    <row r="5915" spans="1:7" x14ac:dyDescent="0.2">
      <c r="A5915" s="2" t="s">
        <v>88</v>
      </c>
      <c r="B5915" s="14">
        <v>37591</v>
      </c>
      <c r="C5915" s="2">
        <v>6.4000000000000001E-2</v>
      </c>
      <c r="D5915" s="19">
        <v>1.5362358000000001E-6</v>
      </c>
      <c r="E5915" s="2">
        <v>1</v>
      </c>
      <c r="G5915" s="2">
        <v>2</v>
      </c>
    </row>
    <row r="5916" spans="1:7" x14ac:dyDescent="0.2">
      <c r="A5916" s="2" t="s">
        <v>88</v>
      </c>
      <c r="B5916" s="14">
        <v>37622</v>
      </c>
      <c r="C5916" s="2">
        <v>3.3834586466000002E-2</v>
      </c>
      <c r="D5916" s="2">
        <v>0</v>
      </c>
      <c r="E5916" s="2">
        <v>1</v>
      </c>
      <c r="G5916" s="2">
        <v>2</v>
      </c>
    </row>
    <row r="5917" spans="1:7" x14ac:dyDescent="0.2">
      <c r="A5917" s="2" t="s">
        <v>88</v>
      </c>
      <c r="B5917" s="14">
        <v>37653</v>
      </c>
      <c r="C5917" s="2">
        <v>-2.7272727273000001E-2</v>
      </c>
      <c r="D5917" s="19">
        <v>7.2897484000000003E-7</v>
      </c>
      <c r="E5917" s="2">
        <v>1</v>
      </c>
      <c r="G5917" s="2">
        <v>2</v>
      </c>
    </row>
    <row r="5918" spans="1:7" x14ac:dyDescent="0.2">
      <c r="A5918" s="2" t="s">
        <v>88</v>
      </c>
      <c r="B5918" s="14">
        <v>37681</v>
      </c>
      <c r="C5918" s="2">
        <v>-5.5241006644000001E-2</v>
      </c>
      <c r="D5918" s="2">
        <v>0</v>
      </c>
      <c r="E5918" s="2">
        <v>1</v>
      </c>
      <c r="G5918" s="2">
        <v>2</v>
      </c>
    </row>
    <row r="5919" spans="1:7" x14ac:dyDescent="0.2">
      <c r="A5919" s="2" t="s">
        <v>88</v>
      </c>
      <c r="B5919" s="14">
        <v>37712</v>
      </c>
      <c r="C5919" s="2">
        <v>0.12107623318000001</v>
      </c>
      <c r="D5919" s="2">
        <v>0</v>
      </c>
      <c r="E5919" s="2">
        <v>1</v>
      </c>
      <c r="G5919" s="2">
        <v>2</v>
      </c>
    </row>
    <row r="5920" spans="1:7" x14ac:dyDescent="0.2">
      <c r="A5920" s="2" t="s">
        <v>88</v>
      </c>
      <c r="B5920" s="14">
        <v>37742</v>
      </c>
      <c r="C5920" s="2">
        <v>2.9090909091000001E-2</v>
      </c>
      <c r="D5920" s="2">
        <v>0</v>
      </c>
      <c r="E5920" s="2">
        <v>1</v>
      </c>
      <c r="G5920" s="2">
        <v>2</v>
      </c>
    </row>
    <row r="5921" spans="1:7" x14ac:dyDescent="0.2">
      <c r="A5921" s="2" t="s">
        <v>88</v>
      </c>
      <c r="B5921" s="14">
        <v>37773</v>
      </c>
      <c r="C5921" s="2">
        <v>-7.4204946995000007E-2</v>
      </c>
      <c r="D5921" s="19">
        <v>-5.7788665999999998E-6</v>
      </c>
      <c r="E5921" s="2">
        <v>1</v>
      </c>
      <c r="G5921" s="2">
        <v>2</v>
      </c>
    </row>
    <row r="5922" spans="1:7" x14ac:dyDescent="0.2">
      <c r="A5922" s="2" t="s">
        <v>88</v>
      </c>
      <c r="B5922" s="14">
        <v>37803</v>
      </c>
      <c r="C5922" s="2">
        <v>4.9618320611000001E-2</v>
      </c>
      <c r="D5922" s="19">
        <v>3.4061215999999999E-6</v>
      </c>
      <c r="E5922" s="2">
        <v>1</v>
      </c>
      <c r="G5922" s="2">
        <v>2</v>
      </c>
    </row>
    <row r="5923" spans="1:7" x14ac:dyDescent="0.2">
      <c r="A5923" s="2" t="s">
        <v>88</v>
      </c>
      <c r="B5923" s="14">
        <v>37834</v>
      </c>
      <c r="C5923" s="2">
        <v>2.9090909091000001E-2</v>
      </c>
      <c r="D5923" s="19">
        <v>-3.3616135999999999E-6</v>
      </c>
      <c r="E5923" s="2">
        <v>1</v>
      </c>
      <c r="G5923" s="2">
        <v>2</v>
      </c>
    </row>
    <row r="5924" spans="1:7" x14ac:dyDescent="0.2">
      <c r="A5924" s="2" t="s">
        <v>88</v>
      </c>
      <c r="B5924" s="14">
        <v>37865</v>
      </c>
      <c r="C5924" s="2">
        <v>-1.0600706712E-2</v>
      </c>
      <c r="D5924" s="19">
        <v>3.2577357000000001E-6</v>
      </c>
      <c r="E5924" s="2">
        <v>1</v>
      </c>
      <c r="G5924" s="2">
        <v>2</v>
      </c>
    </row>
    <row r="5925" spans="1:7" x14ac:dyDescent="0.2">
      <c r="A5925" s="2" t="s">
        <v>88</v>
      </c>
      <c r="B5925" s="14">
        <v>37895</v>
      </c>
      <c r="C5925" s="2">
        <v>0.19642857143</v>
      </c>
      <c r="D5925" s="19">
        <v>-2.8367389999999999E-6</v>
      </c>
      <c r="E5925" s="2">
        <v>1</v>
      </c>
      <c r="G5925" s="2">
        <v>2</v>
      </c>
    </row>
    <row r="5926" spans="1:7" x14ac:dyDescent="0.2">
      <c r="A5926" s="2" t="s">
        <v>88</v>
      </c>
      <c r="B5926" s="14">
        <v>37926</v>
      </c>
      <c r="C5926" s="2">
        <v>-8.9552238805999995E-2</v>
      </c>
      <c r="D5926" s="19">
        <v>1.8640837E-6</v>
      </c>
      <c r="E5926" s="2">
        <v>1</v>
      </c>
      <c r="G5926" s="2">
        <v>2</v>
      </c>
    </row>
    <row r="5927" spans="1:7" x14ac:dyDescent="0.2">
      <c r="A5927" s="2" t="s">
        <v>88</v>
      </c>
      <c r="B5927" s="14">
        <v>37956</v>
      </c>
      <c r="C5927" s="2">
        <v>4.9180327869E-2</v>
      </c>
      <c r="D5927" s="2">
        <v>-3.755691E-4</v>
      </c>
      <c r="E5927" s="2">
        <v>1</v>
      </c>
      <c r="G5927" s="2">
        <v>2</v>
      </c>
    </row>
    <row r="5928" spans="1:7" x14ac:dyDescent="0.2">
      <c r="A5928" s="2" t="s">
        <v>88</v>
      </c>
      <c r="B5928" s="14">
        <v>37987</v>
      </c>
      <c r="C5928" s="2">
        <v>0</v>
      </c>
      <c r="E5928" s="2">
        <v>1</v>
      </c>
      <c r="G5928" s="2">
        <v>2</v>
      </c>
    </row>
    <row r="5929" spans="1:7" x14ac:dyDescent="0.2">
      <c r="A5929" s="2" t="s">
        <v>88</v>
      </c>
      <c r="B5929" s="14">
        <v>38018</v>
      </c>
      <c r="C5929" s="2">
        <v>4.0625000000000001E-2</v>
      </c>
      <c r="E5929" s="2">
        <v>1</v>
      </c>
      <c r="G5929" s="2">
        <v>2</v>
      </c>
    </row>
    <row r="5930" spans="1:7" x14ac:dyDescent="0.2">
      <c r="A5930" s="2" t="s">
        <v>88</v>
      </c>
      <c r="B5930" s="14">
        <v>38047</v>
      </c>
      <c r="C5930" s="2">
        <v>-4.1643233905E-2</v>
      </c>
      <c r="D5930" s="2">
        <v>0</v>
      </c>
      <c r="E5930" s="2">
        <v>1</v>
      </c>
      <c r="G5930" s="2">
        <v>2</v>
      </c>
    </row>
    <row r="5931" spans="1:7" x14ac:dyDescent="0.2">
      <c r="A5931" s="2" t="s">
        <v>88</v>
      </c>
      <c r="B5931" s="14">
        <v>38078</v>
      </c>
      <c r="C5931" s="2">
        <v>5.5869637511999998E-2</v>
      </c>
      <c r="D5931" s="2">
        <v>0</v>
      </c>
      <c r="E5931" s="2">
        <v>1</v>
      </c>
      <c r="G5931" s="2">
        <v>2</v>
      </c>
    </row>
    <row r="5932" spans="1:7" x14ac:dyDescent="0.2">
      <c r="A5932" s="2" t="s">
        <v>88</v>
      </c>
      <c r="B5932" s="14">
        <v>38108</v>
      </c>
      <c r="C5932" s="2">
        <v>7.0866141731999996E-2</v>
      </c>
      <c r="D5932" s="2">
        <v>0</v>
      </c>
      <c r="E5932" s="2">
        <v>1</v>
      </c>
      <c r="G5932" s="2">
        <v>2</v>
      </c>
    </row>
    <row r="5933" spans="1:7" x14ac:dyDescent="0.2">
      <c r="A5933" s="2" t="s">
        <v>88</v>
      </c>
      <c r="B5933" s="14">
        <v>38139</v>
      </c>
      <c r="C5933" s="2">
        <v>6.1764705883000003E-2</v>
      </c>
      <c r="D5933" s="2">
        <v>0</v>
      </c>
      <c r="E5933" s="2">
        <v>1</v>
      </c>
      <c r="G5933" s="2">
        <v>2</v>
      </c>
    </row>
    <row r="5934" spans="1:7" x14ac:dyDescent="0.2">
      <c r="A5934" s="2" t="s">
        <v>88</v>
      </c>
      <c r="B5934" s="14">
        <v>38169</v>
      </c>
      <c r="C5934" s="2">
        <v>4.5706371191000003E-2</v>
      </c>
      <c r="D5934" s="2">
        <v>0</v>
      </c>
      <c r="E5934" s="2">
        <v>1</v>
      </c>
      <c r="G5934" s="2">
        <v>2</v>
      </c>
    </row>
    <row r="5935" spans="1:7" x14ac:dyDescent="0.2">
      <c r="A5935" s="2" t="s">
        <v>88</v>
      </c>
      <c r="B5935" s="14">
        <v>38200</v>
      </c>
      <c r="C5935" s="2">
        <v>3.5761589405000002E-2</v>
      </c>
      <c r="D5935" s="2">
        <v>0</v>
      </c>
      <c r="E5935" s="2">
        <v>1</v>
      </c>
      <c r="G5935" s="2">
        <v>2</v>
      </c>
    </row>
    <row r="5936" spans="1:7" x14ac:dyDescent="0.2">
      <c r="A5936" s="2" t="s">
        <v>88</v>
      </c>
      <c r="B5936" s="14">
        <v>38231</v>
      </c>
      <c r="C5936" s="2">
        <v>0.17647058824</v>
      </c>
      <c r="D5936" s="2">
        <v>0</v>
      </c>
      <c r="E5936" s="2">
        <v>1</v>
      </c>
      <c r="G5936" s="2">
        <v>2</v>
      </c>
    </row>
    <row r="5937" spans="1:7" x14ac:dyDescent="0.2">
      <c r="A5937" s="2" t="s">
        <v>88</v>
      </c>
      <c r="B5937" s="14">
        <v>38261</v>
      </c>
      <c r="C5937" s="2">
        <v>6.5217391304000005E-2</v>
      </c>
      <c r="D5937" s="2">
        <v>0</v>
      </c>
      <c r="E5937" s="2">
        <v>1</v>
      </c>
      <c r="G5937" s="2">
        <v>2</v>
      </c>
    </row>
    <row r="5938" spans="1:7" x14ac:dyDescent="0.2">
      <c r="A5938" s="2" t="s">
        <v>88</v>
      </c>
      <c r="B5938" s="14">
        <v>38292</v>
      </c>
      <c r="C5938" s="2">
        <v>-2.0408163346E-4</v>
      </c>
      <c r="D5938" s="2">
        <v>0</v>
      </c>
      <c r="E5938" s="2">
        <v>1</v>
      </c>
      <c r="G5938" s="2">
        <v>2</v>
      </c>
    </row>
    <row r="5939" spans="1:7" x14ac:dyDescent="0.2">
      <c r="A5939" s="2" t="s">
        <v>88</v>
      </c>
      <c r="B5939" s="14">
        <v>38322</v>
      </c>
      <c r="C5939" s="2">
        <v>-2.4290671566E-2</v>
      </c>
      <c r="D5939" s="2">
        <v>0</v>
      </c>
      <c r="E5939" s="2">
        <v>1</v>
      </c>
      <c r="G5939" s="2">
        <v>2</v>
      </c>
    </row>
    <row r="5940" spans="1:7" x14ac:dyDescent="0.2">
      <c r="A5940" s="2" t="s">
        <v>88</v>
      </c>
      <c r="B5940" s="14">
        <v>38353</v>
      </c>
      <c r="C5940" s="2">
        <v>-5.8577405858000003E-2</v>
      </c>
      <c r="D5940" s="2">
        <v>0</v>
      </c>
      <c r="E5940" s="2">
        <v>1</v>
      </c>
      <c r="G5940" s="2">
        <v>2</v>
      </c>
    </row>
    <row r="5941" spans="1:7" x14ac:dyDescent="0.2">
      <c r="A5941" s="2" t="s">
        <v>88</v>
      </c>
      <c r="B5941" s="14">
        <v>38384</v>
      </c>
      <c r="C5941" s="2">
        <v>4.4444444446E-2</v>
      </c>
      <c r="D5941" s="2">
        <v>0</v>
      </c>
      <c r="E5941" s="2">
        <v>1</v>
      </c>
      <c r="G5941" s="2">
        <v>2</v>
      </c>
    </row>
    <row r="5942" spans="1:7" x14ac:dyDescent="0.2">
      <c r="A5942" s="2" t="s">
        <v>88</v>
      </c>
      <c r="B5942" s="14">
        <v>38412</v>
      </c>
      <c r="C5942" s="2">
        <v>-5.3654254020999999E-2</v>
      </c>
      <c r="D5942" s="2">
        <v>0</v>
      </c>
      <c r="E5942" s="2">
        <v>1</v>
      </c>
      <c r="G5942" s="2">
        <v>2</v>
      </c>
    </row>
    <row r="5943" spans="1:7" x14ac:dyDescent="0.2">
      <c r="A5943" s="2" t="s">
        <v>88</v>
      </c>
      <c r="B5943" s="14">
        <v>38443</v>
      </c>
      <c r="C5943" s="2">
        <v>0</v>
      </c>
      <c r="D5943" s="2">
        <v>0</v>
      </c>
      <c r="E5943" s="2">
        <v>1</v>
      </c>
      <c r="G5943" s="2">
        <v>2</v>
      </c>
    </row>
    <row r="5944" spans="1:7" x14ac:dyDescent="0.2">
      <c r="A5944" s="2" t="s">
        <v>88</v>
      </c>
      <c r="B5944" s="14">
        <v>38473</v>
      </c>
      <c r="C5944" s="2">
        <v>-5.4373522458999998E-2</v>
      </c>
      <c r="D5944" s="2">
        <v>0</v>
      </c>
      <c r="E5944" s="2">
        <v>1</v>
      </c>
      <c r="G5944" s="2">
        <v>2</v>
      </c>
    </row>
    <row r="5945" spans="1:7" x14ac:dyDescent="0.2">
      <c r="A5945" s="2" t="s">
        <v>88</v>
      </c>
      <c r="B5945" s="14">
        <v>38504</v>
      </c>
      <c r="C5945" s="2">
        <v>3.5000000000000003E-2</v>
      </c>
      <c r="D5945" s="2">
        <v>1.3649723E-3</v>
      </c>
      <c r="E5945" s="2">
        <v>1</v>
      </c>
      <c r="G5945" s="2">
        <v>2</v>
      </c>
    </row>
    <row r="5946" spans="1:7" x14ac:dyDescent="0.2">
      <c r="A5946" s="2" t="s">
        <v>88</v>
      </c>
      <c r="B5946" s="14">
        <v>38534</v>
      </c>
      <c r="C5946" s="2">
        <v>0.13526570048</v>
      </c>
      <c r="D5946" s="2">
        <v>0</v>
      </c>
      <c r="E5946" s="2">
        <v>1</v>
      </c>
      <c r="G5946" s="2">
        <v>2</v>
      </c>
    </row>
    <row r="5947" spans="1:7" x14ac:dyDescent="0.2">
      <c r="A5947" s="2" t="s">
        <v>88</v>
      </c>
      <c r="B5947" s="14">
        <v>38565</v>
      </c>
      <c r="C5947" s="2">
        <v>-4.2553191487999997E-3</v>
      </c>
      <c r="D5947" s="2">
        <v>0</v>
      </c>
      <c r="E5947" s="2">
        <v>1</v>
      </c>
      <c r="G5947" s="2">
        <v>2</v>
      </c>
    </row>
    <row r="5948" spans="1:7" x14ac:dyDescent="0.2">
      <c r="A5948" s="2" t="s">
        <v>88</v>
      </c>
      <c r="B5948" s="14">
        <v>38596</v>
      </c>
      <c r="C5948" s="2">
        <v>6.4102564102000003E-3</v>
      </c>
      <c r="D5948" s="2">
        <v>0</v>
      </c>
      <c r="E5948" s="2">
        <v>1</v>
      </c>
      <c r="G5948" s="2">
        <v>2</v>
      </c>
    </row>
    <row r="5949" spans="1:7" x14ac:dyDescent="0.2">
      <c r="A5949" s="2" t="s">
        <v>88</v>
      </c>
      <c r="B5949" s="14">
        <v>38626</v>
      </c>
      <c r="C5949" s="2">
        <v>8.4925690026000002E-3</v>
      </c>
      <c r="D5949" s="2">
        <v>0</v>
      </c>
      <c r="E5949" s="2">
        <v>1</v>
      </c>
      <c r="G5949" s="2">
        <v>2</v>
      </c>
    </row>
    <row r="5950" spans="1:7" x14ac:dyDescent="0.2">
      <c r="A5950" s="2" t="s">
        <v>88</v>
      </c>
      <c r="B5950" s="14">
        <v>38657</v>
      </c>
      <c r="C5950" s="2">
        <v>-5.2631578948000003E-2</v>
      </c>
      <c r="D5950" s="2">
        <v>0</v>
      </c>
      <c r="E5950" s="2">
        <v>1</v>
      </c>
      <c r="G5950" s="2">
        <v>2</v>
      </c>
    </row>
    <row r="5951" spans="1:7" x14ac:dyDescent="0.2">
      <c r="A5951" s="2" t="s">
        <v>88</v>
      </c>
      <c r="B5951" s="14">
        <v>38687</v>
      </c>
      <c r="C5951" s="2">
        <v>-7.7777777778000004E-2</v>
      </c>
      <c r="D5951" s="2">
        <v>0</v>
      </c>
      <c r="E5951" s="2">
        <v>1</v>
      </c>
      <c r="G5951" s="2">
        <v>2</v>
      </c>
    </row>
    <row r="5952" spans="1:7" x14ac:dyDescent="0.2">
      <c r="A5952" s="2" t="s">
        <v>88</v>
      </c>
      <c r="B5952" s="14">
        <v>38718</v>
      </c>
      <c r="C5952" s="2">
        <v>7.2289156625999995E-2</v>
      </c>
      <c r="D5952" s="2">
        <v>0</v>
      </c>
      <c r="E5952" s="2">
        <v>1</v>
      </c>
      <c r="G5952" s="2">
        <v>2</v>
      </c>
    </row>
    <row r="5953" spans="1:7" x14ac:dyDescent="0.2">
      <c r="A5953" s="2" t="s">
        <v>88</v>
      </c>
      <c r="B5953" s="14">
        <v>38749</v>
      </c>
      <c r="C5953" s="2">
        <v>-7.8651685379999992E-3</v>
      </c>
      <c r="D5953" s="2">
        <v>0</v>
      </c>
      <c r="E5953" s="2">
        <v>1</v>
      </c>
      <c r="G5953" s="2">
        <v>2</v>
      </c>
    </row>
    <row r="5954" spans="1:7" x14ac:dyDescent="0.2">
      <c r="A5954" s="2" t="s">
        <v>88</v>
      </c>
      <c r="B5954" s="14">
        <v>38777</v>
      </c>
      <c r="C5954" s="2">
        <v>3.9528070636000001E-2</v>
      </c>
      <c r="D5954" s="2">
        <v>0</v>
      </c>
      <c r="E5954" s="2">
        <v>1</v>
      </c>
      <c r="G5954" s="2">
        <v>2</v>
      </c>
    </row>
    <row r="5955" spans="1:7" x14ac:dyDescent="0.2">
      <c r="A5955" s="2" t="s">
        <v>88</v>
      </c>
      <c r="B5955" s="14">
        <v>38808</v>
      </c>
      <c r="C5955" s="2">
        <v>0</v>
      </c>
      <c r="D5955" s="2">
        <v>0</v>
      </c>
      <c r="E5955" s="2">
        <v>1</v>
      </c>
      <c r="G5955" s="2">
        <v>2</v>
      </c>
    </row>
    <row r="5956" spans="1:7" x14ac:dyDescent="0.2">
      <c r="A5956" s="2" t="s">
        <v>88</v>
      </c>
      <c r="B5956" s="14">
        <v>38838</v>
      </c>
      <c r="C5956" s="2">
        <v>-6.8181818182000004E-2</v>
      </c>
      <c r="D5956" s="2">
        <v>0</v>
      </c>
      <c r="E5956" s="2">
        <v>1</v>
      </c>
      <c r="G5956" s="2">
        <v>2</v>
      </c>
    </row>
    <row r="5957" spans="1:7" x14ac:dyDescent="0.2">
      <c r="A5957" s="2" t="s">
        <v>88</v>
      </c>
      <c r="B5957" s="14">
        <v>38869</v>
      </c>
      <c r="C5957" s="2">
        <v>4.8780487813999997E-3</v>
      </c>
      <c r="D5957" s="2">
        <v>1.6916819999999999E-4</v>
      </c>
      <c r="E5957" s="2">
        <v>1</v>
      </c>
      <c r="G5957" s="2">
        <v>2</v>
      </c>
    </row>
    <row r="5958" spans="1:7" x14ac:dyDescent="0.2">
      <c r="A5958" s="2" t="s">
        <v>88</v>
      </c>
      <c r="B5958" s="14">
        <v>38899</v>
      </c>
      <c r="C5958" s="2">
        <v>-1.6990291263000001E-2</v>
      </c>
      <c r="D5958" s="2">
        <v>4.2937134E-4</v>
      </c>
      <c r="E5958" s="2">
        <v>1</v>
      </c>
      <c r="G5958" s="2">
        <v>2</v>
      </c>
    </row>
    <row r="5959" spans="1:7" x14ac:dyDescent="0.2">
      <c r="A5959" s="2" t="s">
        <v>88</v>
      </c>
      <c r="B5959" s="14">
        <v>38930</v>
      </c>
      <c r="C5959" s="2">
        <v>8.0246913579999996E-2</v>
      </c>
      <c r="D5959" s="2">
        <v>0</v>
      </c>
      <c r="E5959" s="2">
        <v>1</v>
      </c>
      <c r="G5959" s="2">
        <v>2</v>
      </c>
    </row>
    <row r="5960" spans="1:7" x14ac:dyDescent="0.2">
      <c r="A5960" s="2" t="s">
        <v>88</v>
      </c>
      <c r="B5960" s="14">
        <v>38961</v>
      </c>
      <c r="C5960" s="2">
        <v>1.7142857143000002E-2</v>
      </c>
      <c r="D5960" s="2">
        <v>3.8989298999999997E-4</v>
      </c>
      <c r="E5960" s="2">
        <v>1</v>
      </c>
      <c r="G5960" s="2">
        <v>2</v>
      </c>
    </row>
    <row r="5961" spans="1:7" x14ac:dyDescent="0.2">
      <c r="A5961" s="2" t="s">
        <v>88</v>
      </c>
      <c r="B5961" s="14">
        <v>38991</v>
      </c>
      <c r="C5961" s="2">
        <v>7.8651685379999992E-3</v>
      </c>
      <c r="D5961" s="19">
        <v>5.6488009999999999E-5</v>
      </c>
      <c r="E5961" s="2">
        <v>1</v>
      </c>
      <c r="G5961" s="2">
        <v>2</v>
      </c>
    </row>
    <row r="5962" spans="1:7" x14ac:dyDescent="0.2">
      <c r="A5962" s="2" t="s">
        <v>88</v>
      </c>
      <c r="B5962" s="14">
        <v>39022</v>
      </c>
      <c r="C5962" s="2">
        <v>0.11482720178</v>
      </c>
      <c r="D5962" s="2">
        <v>7.3704315999999995E-4</v>
      </c>
      <c r="E5962" s="2">
        <v>1</v>
      </c>
      <c r="G5962" s="2">
        <v>2</v>
      </c>
    </row>
    <row r="5963" spans="1:7" x14ac:dyDescent="0.2">
      <c r="A5963" s="2" t="s">
        <v>88</v>
      </c>
      <c r="B5963" s="14">
        <v>39052</v>
      </c>
      <c r="C5963" s="2">
        <v>0.187</v>
      </c>
      <c r="D5963" s="2">
        <v>1.5029195999999999E-3</v>
      </c>
      <c r="E5963" s="2">
        <v>1</v>
      </c>
      <c r="G5963" s="2">
        <v>2</v>
      </c>
    </row>
    <row r="5964" spans="1:7" x14ac:dyDescent="0.2">
      <c r="A5964" s="2" t="s">
        <v>88</v>
      </c>
      <c r="B5964" s="14">
        <v>39083</v>
      </c>
      <c r="C5964" s="2">
        <v>-0.12384161752</v>
      </c>
      <c r="D5964" s="2">
        <v>5.0212757E-4</v>
      </c>
      <c r="E5964" s="2">
        <v>1</v>
      </c>
      <c r="G5964" s="2">
        <v>2</v>
      </c>
    </row>
    <row r="5965" spans="1:7" x14ac:dyDescent="0.2">
      <c r="A5965" s="2" t="s">
        <v>88</v>
      </c>
      <c r="B5965" s="14">
        <v>39114</v>
      </c>
      <c r="C5965" s="2">
        <v>-7.6923076922000002E-3</v>
      </c>
      <c r="D5965" s="19">
        <v>2.4714739999999998E-5</v>
      </c>
      <c r="E5965" s="2">
        <v>1</v>
      </c>
      <c r="G5965" s="2">
        <v>2</v>
      </c>
    </row>
    <row r="5966" spans="1:7" x14ac:dyDescent="0.2">
      <c r="A5966" s="2" t="s">
        <v>88</v>
      </c>
      <c r="B5966" s="14">
        <v>39142</v>
      </c>
      <c r="C5966" s="2">
        <v>0.15017844623000001</v>
      </c>
      <c r="D5966" s="2">
        <v>3.7786623999999999E-4</v>
      </c>
      <c r="E5966" s="2">
        <v>1</v>
      </c>
      <c r="G5966" s="2">
        <v>2</v>
      </c>
    </row>
    <row r="5967" spans="1:7" x14ac:dyDescent="0.2">
      <c r="A5967" s="2" t="s">
        <v>88</v>
      </c>
      <c r="B5967" s="14">
        <v>39173</v>
      </c>
      <c r="C5967" s="2">
        <v>-2.5201260063000001E-2</v>
      </c>
      <c r="D5967" s="2">
        <v>2.9960281000000001E-4</v>
      </c>
      <c r="E5967" s="2">
        <v>1</v>
      </c>
      <c r="G5967" s="2">
        <v>2</v>
      </c>
    </row>
    <row r="5968" spans="1:7" x14ac:dyDescent="0.2">
      <c r="A5968" s="2" t="s">
        <v>88</v>
      </c>
      <c r="B5968" s="14">
        <v>39203</v>
      </c>
      <c r="C5968" s="2">
        <v>-1.2567324955999999E-2</v>
      </c>
      <c r="D5968" s="2">
        <v>1.9143042E-4</v>
      </c>
      <c r="E5968" s="2">
        <v>1</v>
      </c>
      <c r="G5968" s="2">
        <v>2</v>
      </c>
    </row>
    <row r="5969" spans="1:7" x14ac:dyDescent="0.2">
      <c r="A5969" s="2" t="s">
        <v>88</v>
      </c>
      <c r="B5969" s="14">
        <v>39234</v>
      </c>
      <c r="C5969" s="2">
        <v>9.1447289727999995E-2</v>
      </c>
      <c r="D5969" s="19">
        <v>7.9094338000000003E-5</v>
      </c>
      <c r="E5969" s="2">
        <v>1</v>
      </c>
      <c r="G5969" s="2">
        <v>2</v>
      </c>
    </row>
    <row r="5970" spans="1:7" x14ac:dyDescent="0.2">
      <c r="A5970" s="2" t="s">
        <v>88</v>
      </c>
      <c r="B5970" s="14">
        <v>39264</v>
      </c>
      <c r="C5970" s="2">
        <v>-2.5369623656000002E-2</v>
      </c>
      <c r="D5970" s="2">
        <v>0</v>
      </c>
      <c r="E5970" s="2">
        <v>1</v>
      </c>
      <c r="G5970" s="2">
        <v>2</v>
      </c>
    </row>
    <row r="5971" spans="1:7" x14ac:dyDescent="0.2">
      <c r="A5971" s="2" t="s">
        <v>88</v>
      </c>
      <c r="B5971" s="14">
        <v>39295</v>
      </c>
      <c r="C5971" s="2">
        <v>4.2923633857000001E-2</v>
      </c>
      <c r="D5971" s="2">
        <v>0</v>
      </c>
      <c r="E5971" s="2">
        <v>1</v>
      </c>
      <c r="G5971" s="2">
        <v>2</v>
      </c>
    </row>
    <row r="5972" spans="1:7" x14ac:dyDescent="0.2">
      <c r="A5972" s="2" t="s">
        <v>88</v>
      </c>
      <c r="B5972" s="14">
        <v>39326</v>
      </c>
      <c r="C5972" s="2">
        <v>-3.4710743812000002E-3</v>
      </c>
      <c r="D5972" s="2">
        <v>0</v>
      </c>
      <c r="E5972" s="2">
        <v>1</v>
      </c>
      <c r="G5972" s="2">
        <v>2</v>
      </c>
    </row>
    <row r="5973" spans="1:7" x14ac:dyDescent="0.2">
      <c r="A5973" s="2" t="s">
        <v>88</v>
      </c>
      <c r="B5973" s="14">
        <v>39356</v>
      </c>
      <c r="C5973" s="2">
        <v>3.4831647044000001E-3</v>
      </c>
      <c r="D5973" s="2">
        <v>0</v>
      </c>
      <c r="E5973" s="2">
        <v>1</v>
      </c>
      <c r="G5973" s="2">
        <v>2</v>
      </c>
    </row>
    <row r="5974" spans="1:7" x14ac:dyDescent="0.2">
      <c r="A5974" s="2" t="s">
        <v>88</v>
      </c>
      <c r="B5974" s="14">
        <v>39387</v>
      </c>
      <c r="C5974" s="2">
        <v>-2.8925619834999999E-2</v>
      </c>
      <c r="D5974" s="2">
        <v>-2.9961483000000001E-4</v>
      </c>
      <c r="E5974" s="2">
        <v>1</v>
      </c>
      <c r="G5974" s="2">
        <v>2</v>
      </c>
    </row>
    <row r="5975" spans="1:7" x14ac:dyDescent="0.2">
      <c r="A5975" s="2" t="s">
        <v>88</v>
      </c>
      <c r="B5975" s="14">
        <v>39417</v>
      </c>
      <c r="C5975" s="2">
        <v>1.5659574467999999E-2</v>
      </c>
      <c r="D5975" s="2">
        <v>0</v>
      </c>
      <c r="E5975" s="2">
        <v>1</v>
      </c>
      <c r="G5975" s="2">
        <v>2</v>
      </c>
    </row>
    <row r="5976" spans="1:7" x14ac:dyDescent="0.2">
      <c r="A5976" s="2" t="s">
        <v>88</v>
      </c>
      <c r="B5976" s="14">
        <v>39448</v>
      </c>
      <c r="C5976" s="2">
        <v>-7.1560248029999995E-2</v>
      </c>
      <c r="D5976" s="2">
        <v>0</v>
      </c>
      <c r="E5976" s="2">
        <v>1</v>
      </c>
      <c r="G5976" s="2">
        <v>2</v>
      </c>
    </row>
    <row r="5977" spans="1:7" x14ac:dyDescent="0.2">
      <c r="A5977" s="2" t="s">
        <v>88</v>
      </c>
      <c r="B5977" s="14">
        <v>39479</v>
      </c>
      <c r="C5977" s="2">
        <v>8.3032490974999998E-2</v>
      </c>
      <c r="D5977" s="2">
        <v>-1.4911226000000001E-3</v>
      </c>
      <c r="E5977" s="2">
        <v>1</v>
      </c>
      <c r="G5977" s="2">
        <v>2</v>
      </c>
    </row>
    <row r="5978" spans="1:7" x14ac:dyDescent="0.2">
      <c r="A5978" s="2" t="s">
        <v>88</v>
      </c>
      <c r="B5978" s="14">
        <v>39508</v>
      </c>
      <c r="C5978" s="2">
        <v>3.1578539842E-2</v>
      </c>
      <c r="D5978" s="2">
        <v>0</v>
      </c>
      <c r="E5978" s="2">
        <v>1</v>
      </c>
      <c r="G5978" s="2">
        <v>2</v>
      </c>
    </row>
    <row r="5979" spans="1:7" x14ac:dyDescent="0.2">
      <c r="A5979" s="2" t="s">
        <v>88</v>
      </c>
      <c r="B5979" s="14">
        <v>39539</v>
      </c>
      <c r="C5979" s="2">
        <v>-1.1283980167E-2</v>
      </c>
      <c r="D5979" s="2">
        <v>0</v>
      </c>
      <c r="E5979" s="2">
        <v>1</v>
      </c>
      <c r="G5979" s="2">
        <v>2</v>
      </c>
    </row>
    <row r="5980" spans="1:7" x14ac:dyDescent="0.2">
      <c r="A5980" s="2" t="s">
        <v>88</v>
      </c>
      <c r="B5980" s="14">
        <v>39569</v>
      </c>
      <c r="C5980" s="2">
        <v>5.4815839529000002E-2</v>
      </c>
      <c r="D5980" s="2">
        <v>0</v>
      </c>
      <c r="E5980" s="2">
        <v>1</v>
      </c>
      <c r="G5980" s="2">
        <v>2</v>
      </c>
    </row>
    <row r="5981" spans="1:7" x14ac:dyDescent="0.2">
      <c r="A5981" s="2" t="s">
        <v>88</v>
      </c>
      <c r="B5981" s="14">
        <v>39600</v>
      </c>
      <c r="C5981" s="2">
        <v>-4.5081967212000001E-2</v>
      </c>
      <c r="D5981" s="2">
        <v>0</v>
      </c>
      <c r="E5981" s="2">
        <v>1</v>
      </c>
      <c r="G5981" s="2">
        <v>2</v>
      </c>
    </row>
    <row r="5982" spans="1:7" x14ac:dyDescent="0.2">
      <c r="A5982" s="2" t="s">
        <v>88</v>
      </c>
      <c r="B5982" s="14">
        <v>39630</v>
      </c>
      <c r="C5982" s="2">
        <v>-7.2961373391000006E-2</v>
      </c>
      <c r="D5982" s="2">
        <v>0</v>
      </c>
      <c r="E5982" s="2">
        <v>1</v>
      </c>
      <c r="G5982" s="2">
        <v>2</v>
      </c>
    </row>
    <row r="5983" spans="1:7" x14ac:dyDescent="0.2">
      <c r="A5983" s="2" t="s">
        <v>88</v>
      </c>
      <c r="B5983" s="14">
        <v>39661</v>
      </c>
      <c r="C5983" s="2">
        <v>1.8518518482E-4</v>
      </c>
      <c r="D5983" s="19">
        <v>-5.7667729999999999E-5</v>
      </c>
      <c r="E5983" s="2">
        <v>1</v>
      </c>
      <c r="G5983" s="2">
        <v>2</v>
      </c>
    </row>
    <row r="5984" spans="1:7" x14ac:dyDescent="0.2">
      <c r="A5984" s="2" t="s">
        <v>88</v>
      </c>
      <c r="B5984" s="14">
        <v>39692</v>
      </c>
      <c r="C5984" s="2">
        <v>-1.8700240696000001E-2</v>
      </c>
      <c r="D5984" s="2">
        <v>0</v>
      </c>
      <c r="E5984" s="2">
        <v>1</v>
      </c>
      <c r="G5984" s="2">
        <v>2</v>
      </c>
    </row>
    <row r="5985" spans="1:7" x14ac:dyDescent="0.2">
      <c r="A5985" s="2" t="s">
        <v>88</v>
      </c>
      <c r="B5985" s="14">
        <v>39722</v>
      </c>
      <c r="C5985" s="2">
        <v>-0.11320754717000001</v>
      </c>
      <c r="D5985" s="2">
        <v>0</v>
      </c>
      <c r="E5985" s="2">
        <v>1</v>
      </c>
      <c r="G5985" s="2">
        <v>2</v>
      </c>
    </row>
    <row r="5986" spans="1:7" x14ac:dyDescent="0.2">
      <c r="A5986" s="2" t="s">
        <v>88</v>
      </c>
      <c r="B5986" s="14">
        <v>39753</v>
      </c>
      <c r="C5986" s="2">
        <v>-2.1276595745000002E-2</v>
      </c>
      <c r="D5986" s="2">
        <v>0</v>
      </c>
      <c r="E5986" s="2">
        <v>1</v>
      </c>
      <c r="G5986" s="2">
        <v>2</v>
      </c>
    </row>
    <row r="5987" spans="1:7" x14ac:dyDescent="0.2">
      <c r="A5987" s="2" t="s">
        <v>88</v>
      </c>
      <c r="B5987" s="14">
        <v>39783</v>
      </c>
      <c r="C5987" s="2">
        <v>0</v>
      </c>
      <c r="D5987" s="2">
        <v>0</v>
      </c>
      <c r="E5987" s="2">
        <v>1</v>
      </c>
      <c r="G5987" s="2">
        <v>2</v>
      </c>
    </row>
    <row r="5988" spans="1:7" x14ac:dyDescent="0.2">
      <c r="A5988" s="2" t="s">
        <v>89</v>
      </c>
      <c r="B5988" s="14">
        <v>37591</v>
      </c>
      <c r="C5988" s="2">
        <v>1.3550134941E-2</v>
      </c>
      <c r="E5988" s="2">
        <v>1</v>
      </c>
      <c r="G5988" s="2">
        <v>2</v>
      </c>
    </row>
    <row r="5989" spans="1:7" x14ac:dyDescent="0.2">
      <c r="A5989" s="2" t="s">
        <v>89</v>
      </c>
      <c r="B5989" s="14">
        <v>37622</v>
      </c>
      <c r="C5989" s="2">
        <v>4.2780706118999999E-2</v>
      </c>
      <c r="E5989" s="2">
        <v>1</v>
      </c>
      <c r="G5989" s="2">
        <v>2</v>
      </c>
    </row>
    <row r="5990" spans="1:7" x14ac:dyDescent="0.2">
      <c r="A5990" s="2" t="s">
        <v>89</v>
      </c>
      <c r="B5990" s="14">
        <v>37653</v>
      </c>
      <c r="C5990" s="2">
        <v>5.1282051283000001E-2</v>
      </c>
      <c r="E5990" s="2">
        <v>1</v>
      </c>
      <c r="G5990" s="2">
        <v>2</v>
      </c>
    </row>
    <row r="5991" spans="1:7" x14ac:dyDescent="0.2">
      <c r="A5991" s="2" t="s">
        <v>89</v>
      </c>
      <c r="B5991" s="14">
        <v>37681</v>
      </c>
      <c r="C5991" s="2">
        <v>-9.0348677259000001E-4</v>
      </c>
      <c r="D5991" s="2">
        <v>0</v>
      </c>
      <c r="E5991" s="2">
        <v>1</v>
      </c>
      <c r="G5991" s="2">
        <v>2</v>
      </c>
    </row>
    <row r="5992" spans="1:7" x14ac:dyDescent="0.2">
      <c r="A5992" s="2" t="s">
        <v>89</v>
      </c>
      <c r="B5992" s="14">
        <v>37712</v>
      </c>
      <c r="C5992" s="2">
        <v>9.1370516109000002E-2</v>
      </c>
      <c r="D5992" s="2">
        <v>0</v>
      </c>
      <c r="E5992" s="2">
        <v>1</v>
      </c>
      <c r="G5992" s="2">
        <v>2</v>
      </c>
    </row>
    <row r="5993" spans="1:7" x14ac:dyDescent="0.2">
      <c r="A5993" s="2" t="s">
        <v>89</v>
      </c>
      <c r="B5993" s="14">
        <v>37742</v>
      </c>
      <c r="C5993" s="2">
        <v>3.2558175020000003E-2</v>
      </c>
      <c r="D5993" s="2">
        <v>0</v>
      </c>
      <c r="E5993" s="2">
        <v>1</v>
      </c>
      <c r="G5993" s="2">
        <v>2</v>
      </c>
    </row>
    <row r="5994" spans="1:7" x14ac:dyDescent="0.2">
      <c r="A5994" s="2" t="s">
        <v>89</v>
      </c>
      <c r="B5994" s="14">
        <v>37773</v>
      </c>
      <c r="C5994" s="2">
        <v>4.5044356156999999E-3</v>
      </c>
      <c r="D5994" s="2">
        <v>0</v>
      </c>
      <c r="E5994" s="2">
        <v>1</v>
      </c>
      <c r="G5994" s="2">
        <v>2</v>
      </c>
    </row>
    <row r="5995" spans="1:7" x14ac:dyDescent="0.2">
      <c r="A5995" s="2" t="s">
        <v>89</v>
      </c>
      <c r="B5995" s="14">
        <v>37803</v>
      </c>
      <c r="C5995" s="2">
        <v>-1.3452881046000001E-2</v>
      </c>
      <c r="D5995" s="2">
        <v>0</v>
      </c>
      <c r="E5995" s="2">
        <v>1</v>
      </c>
      <c r="G5995" s="2">
        <v>2</v>
      </c>
    </row>
    <row r="5996" spans="1:7" x14ac:dyDescent="0.2">
      <c r="A5996" s="2" t="s">
        <v>89</v>
      </c>
      <c r="B5996" s="14">
        <v>37834</v>
      </c>
      <c r="C5996" s="2">
        <v>0.13636363636000001</v>
      </c>
      <c r="D5996" s="2">
        <v>0</v>
      </c>
      <c r="E5996" s="2">
        <v>1</v>
      </c>
      <c r="G5996" s="2">
        <v>2</v>
      </c>
    </row>
    <row r="5997" spans="1:7" x14ac:dyDescent="0.2">
      <c r="A5997" s="2" t="s">
        <v>89</v>
      </c>
      <c r="B5997" s="14">
        <v>37865</v>
      </c>
      <c r="C5997" s="2">
        <v>-0.04</v>
      </c>
      <c r="D5997" s="2">
        <v>0</v>
      </c>
      <c r="E5997" s="2">
        <v>1</v>
      </c>
      <c r="G5997" s="2">
        <v>2</v>
      </c>
    </row>
    <row r="5998" spans="1:7" x14ac:dyDescent="0.2">
      <c r="A5998" s="2" t="s">
        <v>89</v>
      </c>
      <c r="B5998" s="14">
        <v>37895</v>
      </c>
      <c r="C5998" s="2">
        <v>0.125</v>
      </c>
      <c r="D5998" s="2">
        <v>0</v>
      </c>
      <c r="E5998" s="2">
        <v>1</v>
      </c>
      <c r="G5998" s="2">
        <v>2</v>
      </c>
    </row>
    <row r="5999" spans="1:7" x14ac:dyDescent="0.2">
      <c r="A5999" s="2" t="s">
        <v>89</v>
      </c>
      <c r="B5999" s="14">
        <v>37926</v>
      </c>
      <c r="C5999" s="2">
        <v>-5.5555555556000003E-2</v>
      </c>
      <c r="D5999" s="2">
        <v>0</v>
      </c>
      <c r="E5999" s="2">
        <v>1</v>
      </c>
      <c r="G5999" s="2">
        <v>2</v>
      </c>
    </row>
    <row r="6000" spans="1:7" x14ac:dyDescent="0.2">
      <c r="A6000" s="2" t="s">
        <v>89</v>
      </c>
      <c r="B6000" s="14">
        <v>37956</v>
      </c>
      <c r="C6000" s="2">
        <v>3.9215686274000003E-2</v>
      </c>
      <c r="D6000" s="2">
        <v>0</v>
      </c>
      <c r="E6000" s="2">
        <v>1</v>
      </c>
      <c r="G6000" s="2">
        <v>2</v>
      </c>
    </row>
    <row r="6001" spans="1:7" x14ac:dyDescent="0.2">
      <c r="A6001" s="2" t="s">
        <v>89</v>
      </c>
      <c r="B6001" s="14">
        <v>37987</v>
      </c>
      <c r="C6001" s="2">
        <v>1.8867924529000001E-2</v>
      </c>
      <c r="E6001" s="2">
        <v>1</v>
      </c>
      <c r="G6001" s="2">
        <v>2</v>
      </c>
    </row>
    <row r="6002" spans="1:7" x14ac:dyDescent="0.2">
      <c r="A6002" s="2" t="s">
        <v>89</v>
      </c>
      <c r="B6002" s="14">
        <v>38018</v>
      </c>
      <c r="C6002" s="2">
        <v>8.1481481482000004E-2</v>
      </c>
      <c r="E6002" s="2">
        <v>1</v>
      </c>
      <c r="G6002" s="2">
        <v>2</v>
      </c>
    </row>
    <row r="6003" spans="1:7" x14ac:dyDescent="0.2">
      <c r="A6003" s="2" t="s">
        <v>89</v>
      </c>
      <c r="B6003" s="14">
        <v>38047</v>
      </c>
      <c r="C6003" s="2">
        <v>-1.0135890103999999E-2</v>
      </c>
      <c r="D6003" s="2">
        <v>0</v>
      </c>
      <c r="E6003" s="2">
        <v>1</v>
      </c>
      <c r="G6003" s="2">
        <v>2</v>
      </c>
    </row>
    <row r="6004" spans="1:7" x14ac:dyDescent="0.2">
      <c r="A6004" s="2" t="s">
        <v>89</v>
      </c>
      <c r="B6004" s="14">
        <v>38078</v>
      </c>
      <c r="C6004" s="2">
        <v>0</v>
      </c>
      <c r="D6004" s="2">
        <v>0</v>
      </c>
      <c r="E6004" s="2">
        <v>1</v>
      </c>
      <c r="G6004" s="2">
        <v>2</v>
      </c>
    </row>
    <row r="6005" spans="1:7" x14ac:dyDescent="0.2">
      <c r="A6005" s="2" t="s">
        <v>89</v>
      </c>
      <c r="B6005" s="14">
        <v>38108</v>
      </c>
      <c r="C6005" s="2">
        <v>6.6666666666000005E-2</v>
      </c>
      <c r="D6005" s="2">
        <v>0</v>
      </c>
      <c r="E6005" s="2">
        <v>1</v>
      </c>
      <c r="G6005" s="2">
        <v>2</v>
      </c>
    </row>
    <row r="6006" spans="1:7" x14ac:dyDescent="0.2">
      <c r="A6006" s="2" t="s">
        <v>89</v>
      </c>
      <c r="B6006" s="14">
        <v>38139</v>
      </c>
      <c r="C6006" s="2">
        <v>5.9027777777000003E-2</v>
      </c>
      <c r="D6006" s="2">
        <v>0</v>
      </c>
      <c r="E6006" s="2">
        <v>1</v>
      </c>
      <c r="G6006" s="2">
        <v>2</v>
      </c>
    </row>
    <row r="6007" spans="1:7" x14ac:dyDescent="0.2">
      <c r="A6007" s="2" t="s">
        <v>89</v>
      </c>
      <c r="B6007" s="14">
        <v>38169</v>
      </c>
      <c r="C6007" s="2">
        <v>6.7213114753E-2</v>
      </c>
      <c r="D6007" s="2">
        <v>0</v>
      </c>
      <c r="E6007" s="2">
        <v>1</v>
      </c>
      <c r="G6007" s="2">
        <v>2</v>
      </c>
    </row>
    <row r="6008" spans="1:7" x14ac:dyDescent="0.2">
      <c r="A6008" s="2" t="s">
        <v>89</v>
      </c>
      <c r="B6008" s="14">
        <v>38200</v>
      </c>
      <c r="C6008" s="2">
        <v>2.1505376343999998E-2</v>
      </c>
      <c r="D6008" s="2">
        <v>0</v>
      </c>
      <c r="E6008" s="2">
        <v>1</v>
      </c>
      <c r="G6008" s="2">
        <v>2</v>
      </c>
    </row>
    <row r="6009" spans="1:7" x14ac:dyDescent="0.2">
      <c r="A6009" s="2" t="s">
        <v>89</v>
      </c>
      <c r="B6009" s="14">
        <v>38231</v>
      </c>
      <c r="C6009" s="2">
        <v>2.2556390977000001E-2</v>
      </c>
      <c r="D6009" s="2">
        <v>0</v>
      </c>
      <c r="E6009" s="2">
        <v>1</v>
      </c>
      <c r="G6009" s="2">
        <v>2</v>
      </c>
    </row>
    <row r="6010" spans="1:7" x14ac:dyDescent="0.2">
      <c r="A6010" s="2" t="s">
        <v>89</v>
      </c>
      <c r="B6010" s="14">
        <v>38261</v>
      </c>
      <c r="C6010" s="2">
        <v>1.4705882353000001E-2</v>
      </c>
      <c r="D6010" s="2">
        <v>0</v>
      </c>
      <c r="E6010" s="2">
        <v>1</v>
      </c>
      <c r="G6010" s="2">
        <v>2</v>
      </c>
    </row>
    <row r="6011" spans="1:7" x14ac:dyDescent="0.2">
      <c r="A6011" s="2" t="s">
        <v>89</v>
      </c>
      <c r="B6011" s="14">
        <v>38292</v>
      </c>
      <c r="C6011" s="2">
        <v>1.4492753624E-2</v>
      </c>
      <c r="D6011" s="2">
        <v>0</v>
      </c>
      <c r="E6011" s="2">
        <v>1</v>
      </c>
      <c r="G6011" s="2">
        <v>2</v>
      </c>
    </row>
    <row r="6012" spans="1:7" x14ac:dyDescent="0.2">
      <c r="A6012" s="2" t="s">
        <v>89</v>
      </c>
      <c r="B6012" s="14">
        <v>38322</v>
      </c>
      <c r="C6012" s="2">
        <v>-1.1428571429999999E-2</v>
      </c>
      <c r="D6012" s="2">
        <v>0</v>
      </c>
      <c r="E6012" s="2">
        <v>1</v>
      </c>
      <c r="G6012" s="2">
        <v>2</v>
      </c>
    </row>
    <row r="6013" spans="1:7" x14ac:dyDescent="0.2">
      <c r="A6013" s="2" t="s">
        <v>89</v>
      </c>
      <c r="B6013" s="14">
        <v>38353</v>
      </c>
      <c r="C6013" s="2">
        <v>-4.6242774564999999E-2</v>
      </c>
      <c r="D6013" s="2">
        <v>0</v>
      </c>
      <c r="E6013" s="2">
        <v>1</v>
      </c>
      <c r="G6013" s="2">
        <v>2</v>
      </c>
    </row>
    <row r="6014" spans="1:7" x14ac:dyDescent="0.2">
      <c r="A6014" s="2" t="s">
        <v>89</v>
      </c>
      <c r="B6014" s="14">
        <v>38384</v>
      </c>
      <c r="C6014" s="2">
        <v>3.0303030302E-2</v>
      </c>
      <c r="D6014" s="2">
        <v>0</v>
      </c>
      <c r="E6014" s="2">
        <v>1</v>
      </c>
      <c r="G6014" s="2">
        <v>2</v>
      </c>
    </row>
    <row r="6015" spans="1:7" x14ac:dyDescent="0.2">
      <c r="A6015" s="2" t="s">
        <v>89</v>
      </c>
      <c r="B6015" s="14">
        <v>38412</v>
      </c>
      <c r="C6015" s="2">
        <v>5.4573575417000003E-2</v>
      </c>
      <c r="D6015" s="2">
        <v>0</v>
      </c>
      <c r="E6015" s="2">
        <v>1</v>
      </c>
      <c r="G6015" s="2">
        <v>2</v>
      </c>
    </row>
    <row r="6016" spans="1:7" x14ac:dyDescent="0.2">
      <c r="A6016" s="2" t="s">
        <v>89</v>
      </c>
      <c r="B6016" s="14">
        <v>38443</v>
      </c>
      <c r="C6016" s="2">
        <v>-5.9701492538000001E-2</v>
      </c>
      <c r="D6016" s="2">
        <v>0</v>
      </c>
      <c r="E6016" s="2">
        <v>1</v>
      </c>
      <c r="G6016" s="2">
        <v>2</v>
      </c>
    </row>
    <row r="6017" spans="1:7" x14ac:dyDescent="0.2">
      <c r="A6017" s="2" t="s">
        <v>89</v>
      </c>
      <c r="B6017" s="14">
        <v>38473</v>
      </c>
      <c r="C6017" s="2">
        <v>4.761904762E-2</v>
      </c>
      <c r="D6017" s="2">
        <v>0</v>
      </c>
      <c r="E6017" s="2">
        <v>1</v>
      </c>
      <c r="G6017" s="2">
        <v>2</v>
      </c>
    </row>
    <row r="6018" spans="1:7" x14ac:dyDescent="0.2">
      <c r="A6018" s="2" t="s">
        <v>89</v>
      </c>
      <c r="B6018" s="14">
        <v>38504</v>
      </c>
      <c r="C6018" s="2">
        <v>1.0606060605E-2</v>
      </c>
      <c r="D6018" s="2">
        <v>0</v>
      </c>
      <c r="E6018" s="2">
        <v>1</v>
      </c>
      <c r="G6018" s="2">
        <v>2</v>
      </c>
    </row>
    <row r="6019" spans="1:7" x14ac:dyDescent="0.2">
      <c r="A6019" s="2" t="s">
        <v>89</v>
      </c>
      <c r="B6019" s="14">
        <v>38534</v>
      </c>
      <c r="C6019" s="2">
        <v>3.4482758620999997E-2</v>
      </c>
      <c r="D6019" s="2">
        <v>0</v>
      </c>
      <c r="E6019" s="2">
        <v>1</v>
      </c>
      <c r="G6019" s="2">
        <v>2</v>
      </c>
    </row>
    <row r="6020" spans="1:7" x14ac:dyDescent="0.2">
      <c r="A6020" s="2" t="s">
        <v>89</v>
      </c>
      <c r="B6020" s="14">
        <v>38565</v>
      </c>
      <c r="C6020" s="2">
        <v>1.4492753624E-2</v>
      </c>
      <c r="D6020" s="2">
        <v>0</v>
      </c>
      <c r="E6020" s="2">
        <v>1</v>
      </c>
      <c r="G6020" s="2">
        <v>2</v>
      </c>
    </row>
    <row r="6021" spans="1:7" x14ac:dyDescent="0.2">
      <c r="A6021" s="2" t="s">
        <v>89</v>
      </c>
      <c r="B6021" s="14">
        <v>38596</v>
      </c>
      <c r="C6021" s="2">
        <v>3.1428571437999999E-3</v>
      </c>
      <c r="D6021" s="2">
        <v>0</v>
      </c>
      <c r="E6021" s="2">
        <v>1</v>
      </c>
      <c r="G6021" s="2">
        <v>2</v>
      </c>
    </row>
    <row r="6022" spans="1:7" x14ac:dyDescent="0.2">
      <c r="A6022" s="2" t="s">
        <v>89</v>
      </c>
      <c r="B6022" s="14">
        <v>38626</v>
      </c>
      <c r="C6022" s="2">
        <v>-3.1330105385000001E-3</v>
      </c>
      <c r="D6022" s="2">
        <v>0</v>
      </c>
      <c r="E6022" s="2">
        <v>1</v>
      </c>
      <c r="G6022" s="2">
        <v>2</v>
      </c>
    </row>
    <row r="6023" spans="1:7" x14ac:dyDescent="0.2">
      <c r="A6023" s="2" t="s">
        <v>89</v>
      </c>
      <c r="B6023" s="14">
        <v>38657</v>
      </c>
      <c r="C6023" s="2">
        <v>-2.8571428570000001E-2</v>
      </c>
      <c r="D6023" s="2">
        <v>0</v>
      </c>
      <c r="E6023" s="2">
        <v>1</v>
      </c>
      <c r="G6023" s="2">
        <v>2</v>
      </c>
    </row>
    <row r="6024" spans="1:7" x14ac:dyDescent="0.2">
      <c r="A6024" s="2" t="s">
        <v>89</v>
      </c>
      <c r="B6024" s="14">
        <v>38687</v>
      </c>
      <c r="C6024" s="2">
        <v>0</v>
      </c>
      <c r="D6024" s="2">
        <v>0</v>
      </c>
      <c r="E6024" s="2">
        <v>1</v>
      </c>
      <c r="G6024" s="2">
        <v>2</v>
      </c>
    </row>
    <row r="6025" spans="1:7" x14ac:dyDescent="0.2">
      <c r="A6025" s="2" t="s">
        <v>89</v>
      </c>
      <c r="B6025" s="14">
        <v>38718</v>
      </c>
      <c r="C6025" s="2">
        <v>7.3529411764000005E-2</v>
      </c>
      <c r="D6025" s="2">
        <v>0</v>
      </c>
      <c r="E6025" s="2">
        <v>1</v>
      </c>
      <c r="G6025" s="2">
        <v>2</v>
      </c>
    </row>
    <row r="6026" spans="1:7" x14ac:dyDescent="0.2">
      <c r="A6026" s="2" t="s">
        <v>89</v>
      </c>
      <c r="B6026" s="14">
        <v>38749</v>
      </c>
      <c r="C6026" s="2">
        <v>0</v>
      </c>
      <c r="D6026" s="2">
        <v>0</v>
      </c>
      <c r="E6026" s="2">
        <v>1</v>
      </c>
      <c r="G6026" s="2">
        <v>2</v>
      </c>
    </row>
    <row r="6027" spans="1:7" x14ac:dyDescent="0.2">
      <c r="A6027" s="2" t="s">
        <v>89</v>
      </c>
      <c r="B6027" s="14">
        <v>38777</v>
      </c>
      <c r="C6027" s="2">
        <v>0</v>
      </c>
      <c r="D6027" s="2">
        <v>0</v>
      </c>
      <c r="E6027" s="2">
        <v>1</v>
      </c>
      <c r="G6027" s="2">
        <v>2</v>
      </c>
    </row>
    <row r="6028" spans="1:7" x14ac:dyDescent="0.2">
      <c r="A6028" s="2" t="s">
        <v>89</v>
      </c>
      <c r="B6028" s="14">
        <v>38808</v>
      </c>
      <c r="C6028" s="2">
        <v>-3.2960181052999998E-2</v>
      </c>
      <c r="D6028" s="2">
        <v>0</v>
      </c>
      <c r="E6028" s="2">
        <v>1</v>
      </c>
      <c r="G6028" s="2">
        <v>2</v>
      </c>
    </row>
    <row r="6029" spans="1:7" x14ac:dyDescent="0.2">
      <c r="A6029" s="2" t="s">
        <v>89</v>
      </c>
      <c r="B6029" s="14">
        <v>38838</v>
      </c>
      <c r="C6029" s="2">
        <v>-4.1791044776E-2</v>
      </c>
      <c r="D6029" s="2">
        <v>0</v>
      </c>
      <c r="E6029" s="2">
        <v>1</v>
      </c>
      <c r="G6029" s="2">
        <v>2</v>
      </c>
    </row>
    <row r="6030" spans="1:7" x14ac:dyDescent="0.2">
      <c r="A6030" s="2" t="s">
        <v>89</v>
      </c>
      <c r="B6030" s="14">
        <v>38869</v>
      </c>
      <c r="C6030" s="2">
        <v>1.246105919E-2</v>
      </c>
      <c r="D6030" s="2">
        <v>0</v>
      </c>
      <c r="E6030" s="2">
        <v>1</v>
      </c>
      <c r="G6030" s="2">
        <v>2</v>
      </c>
    </row>
    <row r="6031" spans="1:7" x14ac:dyDescent="0.2">
      <c r="A6031" s="2" t="s">
        <v>89</v>
      </c>
      <c r="B6031" s="14">
        <v>38899</v>
      </c>
      <c r="C6031" s="2">
        <v>1.5384615383999999E-2</v>
      </c>
      <c r="D6031" s="2">
        <v>0</v>
      </c>
      <c r="E6031" s="2">
        <v>1</v>
      </c>
      <c r="G6031" s="2">
        <v>2</v>
      </c>
    </row>
    <row r="6032" spans="1:7" x14ac:dyDescent="0.2">
      <c r="A6032" s="2" t="s">
        <v>89</v>
      </c>
      <c r="B6032" s="14">
        <v>38930</v>
      </c>
      <c r="C6032" s="2">
        <v>9.0909090976999999E-4</v>
      </c>
      <c r="D6032" s="2">
        <v>0</v>
      </c>
      <c r="E6032" s="2">
        <v>1</v>
      </c>
      <c r="G6032" s="2">
        <v>2</v>
      </c>
    </row>
    <row r="6033" spans="1:7" x14ac:dyDescent="0.2">
      <c r="A6033" s="2" t="s">
        <v>89</v>
      </c>
      <c r="B6033" s="14">
        <v>38961</v>
      </c>
      <c r="C6033" s="2">
        <v>5.9642749016000002E-2</v>
      </c>
      <c r="D6033" s="2">
        <v>0</v>
      </c>
      <c r="E6033" s="2">
        <v>1</v>
      </c>
      <c r="G6033" s="2">
        <v>2</v>
      </c>
    </row>
    <row r="6034" spans="1:7" x14ac:dyDescent="0.2">
      <c r="A6034" s="2" t="s">
        <v>89</v>
      </c>
      <c r="B6034" s="14">
        <v>38991</v>
      </c>
      <c r="C6034" s="2">
        <v>8.5714285706000003E-3</v>
      </c>
      <c r="D6034" s="2">
        <v>0</v>
      </c>
      <c r="E6034" s="2">
        <v>1</v>
      </c>
      <c r="G6034" s="2">
        <v>2</v>
      </c>
    </row>
    <row r="6035" spans="1:7" x14ac:dyDescent="0.2">
      <c r="A6035" s="2" t="s">
        <v>89</v>
      </c>
      <c r="B6035" s="14">
        <v>39022</v>
      </c>
      <c r="C6035" s="2">
        <v>3.5410764873000003E-2</v>
      </c>
      <c r="D6035" s="2">
        <v>0</v>
      </c>
      <c r="E6035" s="2">
        <v>1</v>
      </c>
      <c r="G6035" s="2">
        <v>2</v>
      </c>
    </row>
    <row r="6036" spans="1:7" x14ac:dyDescent="0.2">
      <c r="A6036" s="2" t="s">
        <v>89</v>
      </c>
      <c r="B6036" s="14">
        <v>39052</v>
      </c>
      <c r="C6036" s="2">
        <v>0.17647058823</v>
      </c>
      <c r="D6036" s="2">
        <v>0</v>
      </c>
      <c r="E6036" s="2">
        <v>1</v>
      </c>
      <c r="G6036" s="2">
        <v>2</v>
      </c>
    </row>
    <row r="6037" spans="1:7" x14ac:dyDescent="0.2">
      <c r="A6037" s="2" t="s">
        <v>89</v>
      </c>
      <c r="B6037" s="14">
        <v>39083</v>
      </c>
      <c r="C6037" s="2">
        <v>-8.1395348837000003E-2</v>
      </c>
      <c r="D6037" s="2">
        <v>0</v>
      </c>
      <c r="E6037" s="2">
        <v>1</v>
      </c>
      <c r="G6037" s="2">
        <v>2</v>
      </c>
    </row>
    <row r="6038" spans="1:7" x14ac:dyDescent="0.2">
      <c r="A6038" s="2" t="s">
        <v>89</v>
      </c>
      <c r="B6038" s="14">
        <v>39114</v>
      </c>
      <c r="C6038" s="2">
        <v>1.265822785E-2</v>
      </c>
      <c r="D6038" s="2">
        <v>0</v>
      </c>
      <c r="E6038" s="2">
        <v>1</v>
      </c>
      <c r="G6038" s="2">
        <v>2</v>
      </c>
    </row>
    <row r="6039" spans="1:7" x14ac:dyDescent="0.2">
      <c r="A6039" s="2" t="s">
        <v>89</v>
      </c>
      <c r="B6039" s="14">
        <v>39142</v>
      </c>
      <c r="C6039" s="2">
        <v>7.8236773324999995E-2</v>
      </c>
      <c r="D6039" s="2">
        <v>0</v>
      </c>
      <c r="E6039" s="2">
        <v>1</v>
      </c>
      <c r="G6039" s="2">
        <v>2</v>
      </c>
    </row>
    <row r="6040" spans="1:7" x14ac:dyDescent="0.2">
      <c r="A6040" s="2" t="s">
        <v>89</v>
      </c>
      <c r="B6040" s="14">
        <v>39173</v>
      </c>
      <c r="C6040" s="2">
        <v>-6.0975609755E-2</v>
      </c>
      <c r="D6040" s="2">
        <v>0</v>
      </c>
      <c r="E6040" s="2">
        <v>1</v>
      </c>
      <c r="G6040" s="2">
        <v>2</v>
      </c>
    </row>
    <row r="6041" spans="1:7" x14ac:dyDescent="0.2">
      <c r="A6041" s="2" t="s">
        <v>89</v>
      </c>
      <c r="B6041" s="14">
        <v>39203</v>
      </c>
      <c r="C6041" s="2">
        <v>-6.4935064937999996E-3</v>
      </c>
      <c r="D6041" s="2">
        <v>0</v>
      </c>
      <c r="E6041" s="2">
        <v>1</v>
      </c>
      <c r="G6041" s="2">
        <v>2</v>
      </c>
    </row>
    <row r="6042" spans="1:7" x14ac:dyDescent="0.2">
      <c r="A6042" s="2" t="s">
        <v>89</v>
      </c>
      <c r="B6042" s="14">
        <v>39234</v>
      </c>
      <c r="C6042" s="2">
        <v>-4.7438242209000003E-3</v>
      </c>
      <c r="D6042" s="2">
        <v>0</v>
      </c>
      <c r="E6042" s="2">
        <v>1</v>
      </c>
      <c r="G6042" s="2">
        <v>2</v>
      </c>
    </row>
    <row r="6043" spans="1:7" x14ac:dyDescent="0.2">
      <c r="A6043" s="2" t="s">
        <v>89</v>
      </c>
      <c r="B6043" s="14">
        <v>39264</v>
      </c>
      <c r="C6043" s="2">
        <v>4.8754914809000002E-2</v>
      </c>
      <c r="D6043" s="2">
        <v>0</v>
      </c>
      <c r="E6043" s="2">
        <v>1</v>
      </c>
      <c r="G6043" s="2">
        <v>2</v>
      </c>
    </row>
    <row r="6044" spans="1:7" x14ac:dyDescent="0.2">
      <c r="A6044" s="2" t="s">
        <v>89</v>
      </c>
      <c r="B6044" s="14">
        <v>39295</v>
      </c>
      <c r="C6044" s="2">
        <v>-5.0237440639E-2</v>
      </c>
      <c r="D6044" s="2">
        <v>0</v>
      </c>
      <c r="E6044" s="2">
        <v>1</v>
      </c>
      <c r="G6044" s="2">
        <v>2</v>
      </c>
    </row>
    <row r="6045" spans="1:7" x14ac:dyDescent="0.2">
      <c r="A6045" s="2" t="s">
        <v>89</v>
      </c>
      <c r="B6045" s="14">
        <v>39326</v>
      </c>
      <c r="C6045" s="2">
        <v>2.6315789472999999E-2</v>
      </c>
      <c r="D6045" s="2">
        <v>0</v>
      </c>
      <c r="E6045" s="2">
        <v>1</v>
      </c>
      <c r="G6045" s="2">
        <v>2</v>
      </c>
    </row>
    <row r="6046" spans="1:7" x14ac:dyDescent="0.2">
      <c r="A6046" s="2" t="s">
        <v>89</v>
      </c>
      <c r="B6046" s="14">
        <v>39356</v>
      </c>
      <c r="C6046" s="2">
        <v>2.6923076923E-2</v>
      </c>
      <c r="D6046" s="2">
        <v>0</v>
      </c>
      <c r="E6046" s="2">
        <v>1</v>
      </c>
      <c r="G6046" s="2">
        <v>2</v>
      </c>
    </row>
    <row r="6047" spans="1:7" x14ac:dyDescent="0.2">
      <c r="A6047" s="2" t="s">
        <v>89</v>
      </c>
      <c r="B6047" s="14">
        <v>39387</v>
      </c>
      <c r="C6047" s="2">
        <v>-1.3732833955999999E-2</v>
      </c>
      <c r="D6047" s="2">
        <v>0</v>
      </c>
      <c r="E6047" s="2">
        <v>1</v>
      </c>
      <c r="G6047" s="2">
        <v>2</v>
      </c>
    </row>
    <row r="6048" spans="1:7" x14ac:dyDescent="0.2">
      <c r="A6048" s="2" t="s">
        <v>89</v>
      </c>
      <c r="B6048" s="14">
        <v>39417</v>
      </c>
      <c r="C6048" s="2">
        <v>-2.0253164556E-2</v>
      </c>
      <c r="D6048" s="2">
        <v>0</v>
      </c>
      <c r="E6048" s="2">
        <v>1</v>
      </c>
      <c r="G6048" s="2">
        <v>2</v>
      </c>
    </row>
    <row r="6049" spans="1:7" x14ac:dyDescent="0.2">
      <c r="A6049" s="2" t="s">
        <v>89</v>
      </c>
      <c r="B6049" s="14">
        <v>39448</v>
      </c>
      <c r="C6049" s="2">
        <v>2.5839793125000002E-4</v>
      </c>
      <c r="D6049" s="2">
        <v>0</v>
      </c>
      <c r="E6049" s="2">
        <v>1</v>
      </c>
      <c r="G6049" s="2">
        <v>2</v>
      </c>
    </row>
    <row r="6050" spans="1:7" x14ac:dyDescent="0.2">
      <c r="A6050" s="2" t="s">
        <v>89</v>
      </c>
      <c r="B6050" s="14">
        <v>39479</v>
      </c>
      <c r="C6050" s="2">
        <v>0</v>
      </c>
      <c r="D6050" s="2">
        <v>0</v>
      </c>
      <c r="E6050" s="2">
        <v>1</v>
      </c>
      <c r="G6050" s="2">
        <v>2</v>
      </c>
    </row>
    <row r="6051" spans="1:7" x14ac:dyDescent="0.2">
      <c r="A6051" s="2" t="s">
        <v>89</v>
      </c>
      <c r="B6051" s="14">
        <v>39508</v>
      </c>
      <c r="C6051" s="2">
        <v>8.9107888292000004E-2</v>
      </c>
      <c r="D6051" s="2">
        <v>0</v>
      </c>
      <c r="E6051" s="2">
        <v>1</v>
      </c>
      <c r="G6051" s="2">
        <v>2</v>
      </c>
    </row>
    <row r="6052" spans="1:7" x14ac:dyDescent="0.2">
      <c r="A6052" s="2" t="s">
        <v>89</v>
      </c>
      <c r="B6052" s="14">
        <v>39539</v>
      </c>
      <c r="C6052" s="2">
        <v>-3.7451235370000002E-2</v>
      </c>
      <c r="D6052" s="2">
        <v>0</v>
      </c>
      <c r="E6052" s="2">
        <v>1</v>
      </c>
      <c r="G6052" s="2">
        <v>2</v>
      </c>
    </row>
    <row r="6053" spans="1:7" x14ac:dyDescent="0.2">
      <c r="A6053" s="2" t="s">
        <v>89</v>
      </c>
      <c r="B6053" s="14">
        <v>39569</v>
      </c>
      <c r="C6053" s="2">
        <v>0</v>
      </c>
      <c r="D6053" s="2">
        <v>0</v>
      </c>
      <c r="E6053" s="2">
        <v>1</v>
      </c>
      <c r="G6053" s="2">
        <v>2</v>
      </c>
    </row>
    <row r="6054" spans="1:7" x14ac:dyDescent="0.2">
      <c r="A6054" s="2" t="s">
        <v>89</v>
      </c>
      <c r="B6054" s="14">
        <v>39600</v>
      </c>
      <c r="C6054" s="2">
        <v>-2.7019724348000001E-4</v>
      </c>
      <c r="D6054" s="2">
        <v>0</v>
      </c>
      <c r="E6054" s="2">
        <v>1</v>
      </c>
      <c r="G6054" s="2">
        <v>2</v>
      </c>
    </row>
    <row r="6055" spans="1:7" x14ac:dyDescent="0.2">
      <c r="A6055" s="2" t="s">
        <v>89</v>
      </c>
      <c r="B6055" s="14">
        <v>39630</v>
      </c>
      <c r="C6055" s="2">
        <v>-8.1081081082000003E-2</v>
      </c>
      <c r="D6055" s="2">
        <v>0</v>
      </c>
      <c r="E6055" s="2">
        <v>1</v>
      </c>
      <c r="G6055" s="2">
        <v>2</v>
      </c>
    </row>
    <row r="6056" spans="1:7" x14ac:dyDescent="0.2">
      <c r="A6056" s="2" t="s">
        <v>89</v>
      </c>
      <c r="B6056" s="14">
        <v>39661</v>
      </c>
      <c r="C6056" s="2">
        <v>-5.8823529407000001E-3</v>
      </c>
      <c r="D6056" s="2">
        <v>0</v>
      </c>
      <c r="E6056" s="2">
        <v>1</v>
      </c>
      <c r="G6056" s="2">
        <v>2</v>
      </c>
    </row>
    <row r="6057" spans="1:7" x14ac:dyDescent="0.2">
      <c r="A6057" s="2" t="s">
        <v>89</v>
      </c>
      <c r="B6057" s="14">
        <v>39692</v>
      </c>
      <c r="C6057" s="2">
        <v>5.9171597622000001E-3</v>
      </c>
      <c r="D6057" s="2">
        <v>0</v>
      </c>
      <c r="E6057" s="2">
        <v>1</v>
      </c>
      <c r="G6057" s="2">
        <v>2</v>
      </c>
    </row>
    <row r="6058" spans="1:7" x14ac:dyDescent="0.2">
      <c r="A6058" s="2" t="s">
        <v>89</v>
      </c>
      <c r="B6058" s="14">
        <v>39722</v>
      </c>
      <c r="C6058" s="2">
        <v>0</v>
      </c>
      <c r="D6058" s="2">
        <v>0</v>
      </c>
      <c r="E6058" s="2">
        <v>1</v>
      </c>
      <c r="G6058" s="2">
        <v>2</v>
      </c>
    </row>
    <row r="6059" spans="1:7" x14ac:dyDescent="0.2">
      <c r="A6059" s="2" t="s">
        <v>89</v>
      </c>
      <c r="B6059" s="14">
        <v>39753</v>
      </c>
      <c r="D6059" s="2">
        <v>0</v>
      </c>
      <c r="E6059" s="2">
        <v>1</v>
      </c>
      <c r="G6059" s="2">
        <v>2</v>
      </c>
    </row>
    <row r="6060" spans="1:7" x14ac:dyDescent="0.2">
      <c r="A6060" s="2" t="s">
        <v>89</v>
      </c>
      <c r="B6060" s="14">
        <v>39783</v>
      </c>
      <c r="C6060" s="2">
        <v>-0.11735294117</v>
      </c>
      <c r="D6060" s="2">
        <v>0</v>
      </c>
      <c r="E6060" s="2">
        <v>1</v>
      </c>
      <c r="G6060" s="2">
        <v>2</v>
      </c>
    </row>
    <row r="6061" spans="1:7" x14ac:dyDescent="0.2">
      <c r="A6061" s="2" t="s">
        <v>90</v>
      </c>
      <c r="B6061" s="14">
        <v>37591</v>
      </c>
      <c r="E6061" s="2">
        <v>1</v>
      </c>
      <c r="G6061" s="2">
        <v>2</v>
      </c>
    </row>
    <row r="6062" spans="1:7" x14ac:dyDescent="0.2">
      <c r="A6062" s="2" t="s">
        <v>90</v>
      </c>
      <c r="B6062" s="14">
        <v>37622</v>
      </c>
      <c r="E6062" s="2">
        <v>1</v>
      </c>
      <c r="G6062" s="2">
        <v>2</v>
      </c>
    </row>
    <row r="6063" spans="1:7" x14ac:dyDescent="0.2">
      <c r="A6063" s="2" t="s">
        <v>90</v>
      </c>
      <c r="B6063" s="14">
        <v>37653</v>
      </c>
      <c r="E6063" s="2">
        <v>1</v>
      </c>
      <c r="G6063" s="2">
        <v>2</v>
      </c>
    </row>
    <row r="6064" spans="1:7" x14ac:dyDescent="0.2">
      <c r="A6064" s="2" t="s">
        <v>90</v>
      </c>
      <c r="B6064" s="14">
        <v>37681</v>
      </c>
      <c r="E6064" s="2">
        <v>1</v>
      </c>
      <c r="G6064" s="2">
        <v>2</v>
      </c>
    </row>
    <row r="6065" spans="1:7" x14ac:dyDescent="0.2">
      <c r="A6065" s="2" t="s">
        <v>90</v>
      </c>
      <c r="B6065" s="14">
        <v>37712</v>
      </c>
      <c r="E6065" s="2">
        <v>1</v>
      </c>
      <c r="G6065" s="2">
        <v>2</v>
      </c>
    </row>
    <row r="6066" spans="1:7" x14ac:dyDescent="0.2">
      <c r="A6066" s="2" t="s">
        <v>90</v>
      </c>
      <c r="B6066" s="14">
        <v>37742</v>
      </c>
      <c r="E6066" s="2">
        <v>1</v>
      </c>
      <c r="G6066" s="2">
        <v>2</v>
      </c>
    </row>
    <row r="6067" spans="1:7" x14ac:dyDescent="0.2">
      <c r="A6067" s="2" t="s">
        <v>90</v>
      </c>
      <c r="B6067" s="14">
        <v>37773</v>
      </c>
      <c r="E6067" s="2">
        <v>1</v>
      </c>
      <c r="G6067" s="2">
        <v>2</v>
      </c>
    </row>
    <row r="6068" spans="1:7" x14ac:dyDescent="0.2">
      <c r="A6068" s="2" t="s">
        <v>90</v>
      </c>
      <c r="B6068" s="14">
        <v>37803</v>
      </c>
      <c r="E6068" s="2">
        <v>1</v>
      </c>
      <c r="G6068" s="2">
        <v>2</v>
      </c>
    </row>
    <row r="6069" spans="1:7" x14ac:dyDescent="0.2">
      <c r="A6069" s="2" t="s">
        <v>90</v>
      </c>
      <c r="B6069" s="14">
        <v>37834</v>
      </c>
      <c r="E6069" s="2">
        <v>1</v>
      </c>
      <c r="G6069" s="2">
        <v>2</v>
      </c>
    </row>
    <row r="6070" spans="1:7" x14ac:dyDescent="0.2">
      <c r="A6070" s="2" t="s">
        <v>90</v>
      </c>
      <c r="B6070" s="14">
        <v>37865</v>
      </c>
      <c r="E6070" s="2">
        <v>1</v>
      </c>
      <c r="G6070" s="2">
        <v>2</v>
      </c>
    </row>
    <row r="6071" spans="1:7" x14ac:dyDescent="0.2">
      <c r="A6071" s="2" t="s">
        <v>90</v>
      </c>
      <c r="B6071" s="14">
        <v>37895</v>
      </c>
      <c r="E6071" s="2">
        <v>1</v>
      </c>
      <c r="G6071" s="2">
        <v>2</v>
      </c>
    </row>
    <row r="6072" spans="1:7" x14ac:dyDescent="0.2">
      <c r="A6072" s="2" t="s">
        <v>90</v>
      </c>
      <c r="B6072" s="14">
        <v>37926</v>
      </c>
      <c r="E6072" s="2">
        <v>1</v>
      </c>
      <c r="G6072" s="2">
        <v>2</v>
      </c>
    </row>
    <row r="6073" spans="1:7" x14ac:dyDescent="0.2">
      <c r="A6073" s="2" t="s">
        <v>90</v>
      </c>
      <c r="B6073" s="14">
        <v>37956</v>
      </c>
      <c r="E6073" s="2">
        <v>1</v>
      </c>
      <c r="G6073" s="2">
        <v>2</v>
      </c>
    </row>
    <row r="6074" spans="1:7" x14ac:dyDescent="0.2">
      <c r="A6074" s="2" t="s">
        <v>90</v>
      </c>
      <c r="B6074" s="14">
        <v>37987</v>
      </c>
      <c r="E6074" s="2">
        <v>1</v>
      </c>
      <c r="G6074" s="2">
        <v>2</v>
      </c>
    </row>
    <row r="6075" spans="1:7" x14ac:dyDescent="0.2">
      <c r="A6075" s="2" t="s">
        <v>90</v>
      </c>
      <c r="B6075" s="14">
        <v>38018</v>
      </c>
      <c r="E6075" s="2">
        <v>1</v>
      </c>
      <c r="G6075" s="2">
        <v>2</v>
      </c>
    </row>
    <row r="6076" spans="1:7" x14ac:dyDescent="0.2">
      <c r="A6076" s="2" t="s">
        <v>90</v>
      </c>
      <c r="B6076" s="14">
        <v>38047</v>
      </c>
      <c r="E6076" s="2">
        <v>1</v>
      </c>
      <c r="G6076" s="2">
        <v>2</v>
      </c>
    </row>
    <row r="6077" spans="1:7" x14ac:dyDescent="0.2">
      <c r="A6077" s="2" t="s">
        <v>90</v>
      </c>
      <c r="B6077" s="14">
        <v>38078</v>
      </c>
      <c r="E6077" s="2">
        <v>1</v>
      </c>
      <c r="G6077" s="2">
        <v>2</v>
      </c>
    </row>
    <row r="6078" spans="1:7" x14ac:dyDescent="0.2">
      <c r="A6078" s="2" t="s">
        <v>90</v>
      </c>
      <c r="B6078" s="14">
        <v>38108</v>
      </c>
      <c r="E6078" s="2">
        <v>1</v>
      </c>
      <c r="G6078" s="2">
        <v>2</v>
      </c>
    </row>
    <row r="6079" spans="1:7" x14ac:dyDescent="0.2">
      <c r="A6079" s="2" t="s">
        <v>90</v>
      </c>
      <c r="B6079" s="14">
        <v>38139</v>
      </c>
      <c r="E6079" s="2">
        <v>1</v>
      </c>
      <c r="G6079" s="2">
        <v>2</v>
      </c>
    </row>
    <row r="6080" spans="1:7" x14ac:dyDescent="0.2">
      <c r="A6080" s="2" t="s">
        <v>90</v>
      </c>
      <c r="B6080" s="14">
        <v>38169</v>
      </c>
      <c r="E6080" s="2">
        <v>1</v>
      </c>
      <c r="G6080" s="2">
        <v>2</v>
      </c>
    </row>
    <row r="6081" spans="1:7" x14ac:dyDescent="0.2">
      <c r="A6081" s="2" t="s">
        <v>90</v>
      </c>
      <c r="B6081" s="14">
        <v>38200</v>
      </c>
      <c r="E6081" s="2">
        <v>1</v>
      </c>
      <c r="G6081" s="2">
        <v>2</v>
      </c>
    </row>
    <row r="6082" spans="1:7" x14ac:dyDescent="0.2">
      <c r="A6082" s="2" t="s">
        <v>90</v>
      </c>
      <c r="B6082" s="14">
        <v>38231</v>
      </c>
      <c r="E6082" s="2">
        <v>1</v>
      </c>
      <c r="G6082" s="2">
        <v>2</v>
      </c>
    </row>
    <row r="6083" spans="1:7" x14ac:dyDescent="0.2">
      <c r="A6083" s="2" t="s">
        <v>90</v>
      </c>
      <c r="B6083" s="14">
        <v>38261</v>
      </c>
      <c r="E6083" s="2">
        <v>1</v>
      </c>
      <c r="G6083" s="2">
        <v>2</v>
      </c>
    </row>
    <row r="6084" spans="1:7" x14ac:dyDescent="0.2">
      <c r="A6084" s="2" t="s">
        <v>90</v>
      </c>
      <c r="B6084" s="14">
        <v>38292</v>
      </c>
      <c r="E6084" s="2">
        <v>1</v>
      </c>
      <c r="G6084" s="2">
        <v>2</v>
      </c>
    </row>
    <row r="6085" spans="1:7" x14ac:dyDescent="0.2">
      <c r="A6085" s="2" t="s">
        <v>90</v>
      </c>
      <c r="B6085" s="14">
        <v>38322</v>
      </c>
      <c r="E6085" s="2">
        <v>1</v>
      </c>
      <c r="G6085" s="2">
        <v>2</v>
      </c>
    </row>
    <row r="6086" spans="1:7" x14ac:dyDescent="0.2">
      <c r="A6086" s="2" t="s">
        <v>90</v>
      </c>
      <c r="B6086" s="14">
        <v>38353</v>
      </c>
      <c r="E6086" s="2">
        <v>1</v>
      </c>
      <c r="G6086" s="2">
        <v>2</v>
      </c>
    </row>
    <row r="6087" spans="1:7" x14ac:dyDescent="0.2">
      <c r="A6087" s="2" t="s">
        <v>90</v>
      </c>
      <c r="B6087" s="14">
        <v>38384</v>
      </c>
      <c r="E6087" s="2">
        <v>1</v>
      </c>
      <c r="G6087" s="2">
        <v>2</v>
      </c>
    </row>
    <row r="6088" spans="1:7" x14ac:dyDescent="0.2">
      <c r="A6088" s="2" t="s">
        <v>90</v>
      </c>
      <c r="B6088" s="14">
        <v>38412</v>
      </c>
      <c r="E6088" s="2">
        <v>1</v>
      </c>
      <c r="G6088" s="2">
        <v>2</v>
      </c>
    </row>
    <row r="6089" spans="1:7" x14ac:dyDescent="0.2">
      <c r="A6089" s="2" t="s">
        <v>90</v>
      </c>
      <c r="B6089" s="14">
        <v>38443</v>
      </c>
      <c r="E6089" s="2">
        <v>1</v>
      </c>
      <c r="G6089" s="2">
        <v>2</v>
      </c>
    </row>
    <row r="6090" spans="1:7" x14ac:dyDescent="0.2">
      <c r="A6090" s="2" t="s">
        <v>90</v>
      </c>
      <c r="B6090" s="14">
        <v>38473</v>
      </c>
      <c r="E6090" s="2">
        <v>1</v>
      </c>
      <c r="G6090" s="2">
        <v>2</v>
      </c>
    </row>
    <row r="6091" spans="1:7" x14ac:dyDescent="0.2">
      <c r="A6091" s="2" t="s">
        <v>90</v>
      </c>
      <c r="B6091" s="14">
        <v>38504</v>
      </c>
      <c r="E6091" s="2">
        <v>1</v>
      </c>
      <c r="G6091" s="2">
        <v>2</v>
      </c>
    </row>
    <row r="6092" spans="1:7" x14ac:dyDescent="0.2">
      <c r="A6092" s="2" t="s">
        <v>90</v>
      </c>
      <c r="B6092" s="14">
        <v>38534</v>
      </c>
      <c r="E6092" s="2">
        <v>1</v>
      </c>
      <c r="G6092" s="2">
        <v>2</v>
      </c>
    </row>
    <row r="6093" spans="1:7" x14ac:dyDescent="0.2">
      <c r="A6093" s="2" t="s">
        <v>90</v>
      </c>
      <c r="B6093" s="14">
        <v>38565</v>
      </c>
      <c r="E6093" s="2">
        <v>1</v>
      </c>
      <c r="G6093" s="2">
        <v>2</v>
      </c>
    </row>
    <row r="6094" spans="1:7" x14ac:dyDescent="0.2">
      <c r="A6094" s="2" t="s">
        <v>90</v>
      </c>
      <c r="B6094" s="14">
        <v>38596</v>
      </c>
      <c r="E6094" s="2">
        <v>1</v>
      </c>
      <c r="G6094" s="2">
        <v>2</v>
      </c>
    </row>
    <row r="6095" spans="1:7" x14ac:dyDescent="0.2">
      <c r="A6095" s="2" t="s">
        <v>90</v>
      </c>
      <c r="B6095" s="14">
        <v>38626</v>
      </c>
      <c r="E6095" s="2">
        <v>1</v>
      </c>
      <c r="G6095" s="2">
        <v>2</v>
      </c>
    </row>
    <row r="6096" spans="1:7" x14ac:dyDescent="0.2">
      <c r="A6096" s="2" t="s">
        <v>90</v>
      </c>
      <c r="B6096" s="14">
        <v>38657</v>
      </c>
      <c r="E6096" s="2">
        <v>1</v>
      </c>
      <c r="G6096" s="2">
        <v>2</v>
      </c>
    </row>
    <row r="6097" spans="1:7" x14ac:dyDescent="0.2">
      <c r="A6097" s="2" t="s">
        <v>90</v>
      </c>
      <c r="B6097" s="14">
        <v>38687</v>
      </c>
      <c r="E6097" s="2">
        <v>1</v>
      </c>
      <c r="G6097" s="2">
        <v>2</v>
      </c>
    </row>
    <row r="6098" spans="1:7" x14ac:dyDescent="0.2">
      <c r="A6098" s="2" t="s">
        <v>90</v>
      </c>
      <c r="B6098" s="14">
        <v>38718</v>
      </c>
      <c r="E6098" s="2">
        <v>1</v>
      </c>
      <c r="G6098" s="2">
        <v>2</v>
      </c>
    </row>
    <row r="6099" spans="1:7" x14ac:dyDescent="0.2">
      <c r="A6099" s="2" t="s">
        <v>90</v>
      </c>
      <c r="B6099" s="14">
        <v>38749</v>
      </c>
      <c r="E6099" s="2">
        <v>1</v>
      </c>
      <c r="G6099" s="2">
        <v>2</v>
      </c>
    </row>
    <row r="6100" spans="1:7" x14ac:dyDescent="0.2">
      <c r="A6100" s="2" t="s">
        <v>90</v>
      </c>
      <c r="B6100" s="14">
        <v>38777</v>
      </c>
      <c r="E6100" s="2">
        <v>1</v>
      </c>
      <c r="G6100" s="2">
        <v>2</v>
      </c>
    </row>
    <row r="6101" spans="1:7" x14ac:dyDescent="0.2">
      <c r="A6101" s="2" t="s">
        <v>90</v>
      </c>
      <c r="B6101" s="14">
        <v>38808</v>
      </c>
      <c r="E6101" s="2">
        <v>1</v>
      </c>
      <c r="G6101" s="2">
        <v>2</v>
      </c>
    </row>
    <row r="6102" spans="1:7" x14ac:dyDescent="0.2">
      <c r="A6102" s="2" t="s">
        <v>90</v>
      </c>
      <c r="B6102" s="14">
        <v>38838</v>
      </c>
      <c r="E6102" s="2">
        <v>1</v>
      </c>
      <c r="G6102" s="2">
        <v>2</v>
      </c>
    </row>
    <row r="6103" spans="1:7" x14ac:dyDescent="0.2">
      <c r="A6103" s="2" t="s">
        <v>90</v>
      </c>
      <c r="B6103" s="14">
        <v>38869</v>
      </c>
      <c r="E6103" s="2">
        <v>1</v>
      </c>
      <c r="G6103" s="2">
        <v>2</v>
      </c>
    </row>
    <row r="6104" spans="1:7" x14ac:dyDescent="0.2">
      <c r="A6104" s="2" t="s">
        <v>90</v>
      </c>
      <c r="B6104" s="14">
        <v>38899</v>
      </c>
      <c r="E6104" s="2">
        <v>1</v>
      </c>
      <c r="G6104" s="2">
        <v>2</v>
      </c>
    </row>
    <row r="6105" spans="1:7" x14ac:dyDescent="0.2">
      <c r="A6105" s="2" t="s">
        <v>90</v>
      </c>
      <c r="B6105" s="14">
        <v>38930</v>
      </c>
      <c r="E6105" s="2">
        <v>1</v>
      </c>
      <c r="G6105" s="2">
        <v>2</v>
      </c>
    </row>
    <row r="6106" spans="1:7" x14ac:dyDescent="0.2">
      <c r="A6106" s="2" t="s">
        <v>90</v>
      </c>
      <c r="B6106" s="14">
        <v>38961</v>
      </c>
      <c r="E6106" s="2">
        <v>1</v>
      </c>
      <c r="G6106" s="2">
        <v>2</v>
      </c>
    </row>
    <row r="6107" spans="1:7" x14ac:dyDescent="0.2">
      <c r="A6107" s="2" t="s">
        <v>90</v>
      </c>
      <c r="B6107" s="14">
        <v>38991</v>
      </c>
      <c r="E6107" s="2">
        <v>1</v>
      </c>
      <c r="G6107" s="2">
        <v>2</v>
      </c>
    </row>
    <row r="6108" spans="1:7" x14ac:dyDescent="0.2">
      <c r="A6108" s="2" t="s">
        <v>90</v>
      </c>
      <c r="B6108" s="14">
        <v>39022</v>
      </c>
      <c r="E6108" s="2">
        <v>1</v>
      </c>
      <c r="G6108" s="2">
        <v>2</v>
      </c>
    </row>
    <row r="6109" spans="1:7" x14ac:dyDescent="0.2">
      <c r="A6109" s="2" t="s">
        <v>90</v>
      </c>
      <c r="B6109" s="14">
        <v>39052</v>
      </c>
      <c r="E6109" s="2">
        <v>1</v>
      </c>
      <c r="G6109" s="2">
        <v>2</v>
      </c>
    </row>
    <row r="6110" spans="1:7" x14ac:dyDescent="0.2">
      <c r="A6110" s="2" t="s">
        <v>90</v>
      </c>
      <c r="B6110" s="14">
        <v>39083</v>
      </c>
      <c r="E6110" s="2">
        <v>1</v>
      </c>
      <c r="G6110" s="2">
        <v>2</v>
      </c>
    </row>
    <row r="6111" spans="1:7" x14ac:dyDescent="0.2">
      <c r="A6111" s="2" t="s">
        <v>90</v>
      </c>
      <c r="B6111" s="14">
        <v>39114</v>
      </c>
      <c r="E6111" s="2">
        <v>1</v>
      </c>
      <c r="G6111" s="2">
        <v>2</v>
      </c>
    </row>
    <row r="6112" spans="1:7" x14ac:dyDescent="0.2">
      <c r="A6112" s="2" t="s">
        <v>90</v>
      </c>
      <c r="B6112" s="14">
        <v>39142</v>
      </c>
      <c r="E6112" s="2">
        <v>1</v>
      </c>
      <c r="G6112" s="2">
        <v>2</v>
      </c>
    </row>
    <row r="6113" spans="1:7" x14ac:dyDescent="0.2">
      <c r="A6113" s="2" t="s">
        <v>90</v>
      </c>
      <c r="B6113" s="14">
        <v>39173</v>
      </c>
      <c r="E6113" s="2">
        <v>1</v>
      </c>
      <c r="G6113" s="2">
        <v>2</v>
      </c>
    </row>
    <row r="6114" spans="1:7" x14ac:dyDescent="0.2">
      <c r="A6114" s="2" t="s">
        <v>90</v>
      </c>
      <c r="B6114" s="14">
        <v>39203</v>
      </c>
      <c r="E6114" s="2">
        <v>1</v>
      </c>
      <c r="G6114" s="2">
        <v>2</v>
      </c>
    </row>
    <row r="6115" spans="1:7" x14ac:dyDescent="0.2">
      <c r="A6115" s="2" t="s">
        <v>90</v>
      </c>
      <c r="B6115" s="14">
        <v>39234</v>
      </c>
      <c r="E6115" s="2">
        <v>1</v>
      </c>
      <c r="G6115" s="2">
        <v>2</v>
      </c>
    </row>
    <row r="6116" spans="1:7" x14ac:dyDescent="0.2">
      <c r="A6116" s="2" t="s">
        <v>90</v>
      </c>
      <c r="B6116" s="14">
        <v>39264</v>
      </c>
      <c r="E6116" s="2">
        <v>1</v>
      </c>
      <c r="G6116" s="2">
        <v>2</v>
      </c>
    </row>
    <row r="6117" spans="1:7" x14ac:dyDescent="0.2">
      <c r="A6117" s="2" t="s">
        <v>90</v>
      </c>
      <c r="B6117" s="14">
        <v>39295</v>
      </c>
      <c r="E6117" s="2">
        <v>1</v>
      </c>
      <c r="G6117" s="2">
        <v>2</v>
      </c>
    </row>
    <row r="6118" spans="1:7" x14ac:dyDescent="0.2">
      <c r="A6118" s="2" t="s">
        <v>90</v>
      </c>
      <c r="B6118" s="14">
        <v>39326</v>
      </c>
      <c r="E6118" s="2">
        <v>1</v>
      </c>
      <c r="G6118" s="2">
        <v>2</v>
      </c>
    </row>
    <row r="6119" spans="1:7" x14ac:dyDescent="0.2">
      <c r="A6119" s="2" t="s">
        <v>90</v>
      </c>
      <c r="B6119" s="14">
        <v>39356</v>
      </c>
      <c r="E6119" s="2">
        <v>1</v>
      </c>
      <c r="G6119" s="2">
        <v>2</v>
      </c>
    </row>
    <row r="6120" spans="1:7" x14ac:dyDescent="0.2">
      <c r="A6120" s="2" t="s">
        <v>90</v>
      </c>
      <c r="B6120" s="14">
        <v>39387</v>
      </c>
      <c r="C6120" s="2">
        <v>-0.15081521739000001</v>
      </c>
      <c r="D6120" s="2">
        <v>0</v>
      </c>
      <c r="E6120" s="2">
        <v>1</v>
      </c>
      <c r="G6120" s="2">
        <v>2</v>
      </c>
    </row>
    <row r="6121" spans="1:7" x14ac:dyDescent="0.2">
      <c r="A6121" s="2" t="s">
        <v>90</v>
      </c>
      <c r="B6121" s="14">
        <v>39417</v>
      </c>
      <c r="C6121" s="2">
        <v>-0.14000000000000001</v>
      </c>
      <c r="D6121" s="2">
        <v>0</v>
      </c>
      <c r="E6121" s="2">
        <v>1</v>
      </c>
      <c r="G6121" s="2">
        <v>2</v>
      </c>
    </row>
    <row r="6122" spans="1:7" x14ac:dyDescent="0.2">
      <c r="A6122" s="2" t="s">
        <v>90</v>
      </c>
      <c r="B6122" s="14">
        <v>39448</v>
      </c>
      <c r="C6122" s="2">
        <v>-0.13953488372</v>
      </c>
      <c r="D6122" s="2">
        <v>1.2677528000000001E-3</v>
      </c>
      <c r="E6122" s="2">
        <v>1</v>
      </c>
      <c r="G6122" s="2">
        <v>2</v>
      </c>
    </row>
    <row r="6123" spans="1:7" x14ac:dyDescent="0.2">
      <c r="A6123" s="2" t="s">
        <v>90</v>
      </c>
      <c r="B6123" s="14">
        <v>39479</v>
      </c>
      <c r="C6123" s="2">
        <v>0.15405405405</v>
      </c>
      <c r="D6123" s="2">
        <v>3.2481771999999997E-4</v>
      </c>
      <c r="E6123" s="2">
        <v>1</v>
      </c>
      <c r="G6123" s="2">
        <v>2</v>
      </c>
    </row>
    <row r="6124" spans="1:7" x14ac:dyDescent="0.2">
      <c r="A6124" s="2" t="s">
        <v>90</v>
      </c>
      <c r="B6124" s="14">
        <v>39508</v>
      </c>
      <c r="C6124" s="2">
        <v>-0.18032786884999999</v>
      </c>
      <c r="D6124" s="2">
        <v>0</v>
      </c>
      <c r="E6124" s="2">
        <v>1</v>
      </c>
      <c r="G6124" s="2">
        <v>2</v>
      </c>
    </row>
    <row r="6125" spans="1:7" x14ac:dyDescent="0.2">
      <c r="A6125" s="2" t="s">
        <v>90</v>
      </c>
      <c r="B6125" s="14">
        <v>39539</v>
      </c>
      <c r="C6125" s="2">
        <v>0.1714425839</v>
      </c>
      <c r="D6125" s="2">
        <v>2.6962201999999999E-4</v>
      </c>
      <c r="E6125" s="2">
        <v>1</v>
      </c>
      <c r="G6125" s="2">
        <v>2</v>
      </c>
    </row>
    <row r="6126" spans="1:7" x14ac:dyDescent="0.2">
      <c r="A6126" s="2" t="s">
        <v>90</v>
      </c>
      <c r="B6126" s="14">
        <v>39569</v>
      </c>
      <c r="C6126" s="2">
        <v>-0.11999999998999999</v>
      </c>
      <c r="D6126" s="2">
        <v>-2.4511092E-3</v>
      </c>
      <c r="E6126" s="2">
        <v>1</v>
      </c>
      <c r="G6126" s="2">
        <v>2</v>
      </c>
    </row>
    <row r="6127" spans="1:7" x14ac:dyDescent="0.2">
      <c r="A6127" s="2" t="s">
        <v>90</v>
      </c>
      <c r="B6127" s="14">
        <v>39600</v>
      </c>
      <c r="C6127" s="2">
        <v>-0.14204545454</v>
      </c>
      <c r="D6127" s="2">
        <v>-1.4652746999999999E-3</v>
      </c>
      <c r="E6127" s="2">
        <v>1</v>
      </c>
      <c r="G6127" s="2">
        <v>2</v>
      </c>
    </row>
    <row r="6128" spans="1:7" x14ac:dyDescent="0.2">
      <c r="A6128" s="2" t="s">
        <v>90</v>
      </c>
      <c r="B6128" s="14">
        <v>39630</v>
      </c>
      <c r="C6128" s="2">
        <v>2.6490066226E-2</v>
      </c>
      <c r="D6128" s="2">
        <v>0</v>
      </c>
      <c r="E6128" s="2">
        <v>1</v>
      </c>
      <c r="G6128" s="2">
        <v>2</v>
      </c>
    </row>
    <row r="6129" spans="1:7" x14ac:dyDescent="0.2">
      <c r="A6129" s="2" t="s">
        <v>90</v>
      </c>
      <c r="B6129" s="14">
        <v>39661</v>
      </c>
      <c r="C6129" s="2">
        <v>-7.7419354839000004E-2</v>
      </c>
      <c r="D6129" s="2">
        <v>0</v>
      </c>
      <c r="E6129" s="2">
        <v>1</v>
      </c>
      <c r="F6129" s="2">
        <v>1.9508526730434302E-2</v>
      </c>
      <c r="G6129" s="2">
        <v>2</v>
      </c>
    </row>
    <row r="6130" spans="1:7" x14ac:dyDescent="0.2">
      <c r="A6130" s="2" t="s">
        <v>90</v>
      </c>
      <c r="B6130" s="14">
        <v>39692</v>
      </c>
      <c r="C6130" s="2">
        <v>-0.12</v>
      </c>
      <c r="D6130" s="2">
        <v>-2.1950663000000001E-4</v>
      </c>
      <c r="E6130" s="2">
        <v>1</v>
      </c>
      <c r="F6130" s="2">
        <v>1.2859142941838399E-2</v>
      </c>
      <c r="G6130" s="2">
        <v>2</v>
      </c>
    </row>
    <row r="6131" spans="1:7" x14ac:dyDescent="0.2">
      <c r="A6131" s="2" t="s">
        <v>90</v>
      </c>
      <c r="B6131" s="14">
        <v>39722</v>
      </c>
      <c r="C6131" s="2">
        <v>-0.32056579784</v>
      </c>
      <c r="D6131" s="2">
        <v>0</v>
      </c>
      <c r="E6131" s="2">
        <v>1</v>
      </c>
      <c r="F6131" s="2">
        <v>1.47923468577021E-2</v>
      </c>
      <c r="G6131" s="2">
        <v>2</v>
      </c>
    </row>
    <row r="6132" spans="1:7" x14ac:dyDescent="0.2">
      <c r="A6132" s="2" t="s">
        <v>90</v>
      </c>
      <c r="B6132" s="14">
        <v>39753</v>
      </c>
      <c r="C6132" s="2">
        <v>5.2631578946999998E-2</v>
      </c>
      <c r="D6132" s="2">
        <v>0</v>
      </c>
      <c r="E6132" s="2">
        <v>1</v>
      </c>
      <c r="F6132" s="2">
        <v>1.74057719244711E-3</v>
      </c>
      <c r="G6132" s="2">
        <v>2</v>
      </c>
    </row>
    <row r="6133" spans="1:7" x14ac:dyDescent="0.2">
      <c r="A6133" s="2" t="s">
        <v>90</v>
      </c>
      <c r="B6133" s="14">
        <v>39783</v>
      </c>
      <c r="C6133" s="2">
        <v>-5.5555555556000003E-2</v>
      </c>
      <c r="D6133" s="2">
        <v>0</v>
      </c>
      <c r="E6133" s="2">
        <v>1</v>
      </c>
      <c r="F6133" s="2">
        <v>6.6820935928005301E-3</v>
      </c>
      <c r="G6133" s="2">
        <v>2</v>
      </c>
    </row>
    <row r="6134" spans="1:7" x14ac:dyDescent="0.2">
      <c r="A6134" s="2" t="s">
        <v>91</v>
      </c>
      <c r="B6134" s="14">
        <v>37591</v>
      </c>
      <c r="E6134" s="2">
        <v>1</v>
      </c>
      <c r="G6134" s="2">
        <v>2</v>
      </c>
    </row>
    <row r="6135" spans="1:7" x14ac:dyDescent="0.2">
      <c r="A6135" s="2" t="s">
        <v>91</v>
      </c>
      <c r="B6135" s="14">
        <v>37622</v>
      </c>
      <c r="E6135" s="2">
        <v>1</v>
      </c>
      <c r="G6135" s="2">
        <v>2</v>
      </c>
    </row>
    <row r="6136" spans="1:7" x14ac:dyDescent="0.2">
      <c r="A6136" s="2" t="s">
        <v>91</v>
      </c>
      <c r="B6136" s="14">
        <v>37653</v>
      </c>
      <c r="E6136" s="2">
        <v>1</v>
      </c>
      <c r="G6136" s="2">
        <v>2</v>
      </c>
    </row>
    <row r="6137" spans="1:7" x14ac:dyDescent="0.2">
      <c r="A6137" s="2" t="s">
        <v>91</v>
      </c>
      <c r="B6137" s="14">
        <v>37681</v>
      </c>
      <c r="E6137" s="2">
        <v>1</v>
      </c>
      <c r="G6137" s="2">
        <v>2</v>
      </c>
    </row>
    <row r="6138" spans="1:7" x14ac:dyDescent="0.2">
      <c r="A6138" s="2" t="s">
        <v>91</v>
      </c>
      <c r="B6138" s="14">
        <v>37712</v>
      </c>
      <c r="E6138" s="2">
        <v>1</v>
      </c>
      <c r="G6138" s="2">
        <v>2</v>
      </c>
    </row>
    <row r="6139" spans="1:7" x14ac:dyDescent="0.2">
      <c r="A6139" s="2" t="s">
        <v>91</v>
      </c>
      <c r="B6139" s="14">
        <v>37742</v>
      </c>
      <c r="E6139" s="2">
        <v>1</v>
      </c>
      <c r="G6139" s="2">
        <v>2</v>
      </c>
    </row>
    <row r="6140" spans="1:7" x14ac:dyDescent="0.2">
      <c r="A6140" s="2" t="s">
        <v>91</v>
      </c>
      <c r="B6140" s="14">
        <v>37773</v>
      </c>
      <c r="E6140" s="2">
        <v>1</v>
      </c>
      <c r="G6140" s="2">
        <v>2</v>
      </c>
    </row>
    <row r="6141" spans="1:7" x14ac:dyDescent="0.2">
      <c r="A6141" s="2" t="s">
        <v>91</v>
      </c>
      <c r="B6141" s="14">
        <v>37803</v>
      </c>
      <c r="E6141" s="2">
        <v>1</v>
      </c>
      <c r="G6141" s="2">
        <v>2</v>
      </c>
    </row>
    <row r="6142" spans="1:7" x14ac:dyDescent="0.2">
      <c r="A6142" s="2" t="s">
        <v>91</v>
      </c>
      <c r="B6142" s="14">
        <v>37834</v>
      </c>
      <c r="E6142" s="2">
        <v>1</v>
      </c>
      <c r="G6142" s="2">
        <v>2</v>
      </c>
    </row>
    <row r="6143" spans="1:7" x14ac:dyDescent="0.2">
      <c r="A6143" s="2" t="s">
        <v>91</v>
      </c>
      <c r="B6143" s="14">
        <v>37865</v>
      </c>
      <c r="E6143" s="2">
        <v>1</v>
      </c>
      <c r="G6143" s="2">
        <v>2</v>
      </c>
    </row>
    <row r="6144" spans="1:7" x14ac:dyDescent="0.2">
      <c r="A6144" s="2" t="s">
        <v>91</v>
      </c>
      <c r="B6144" s="14">
        <v>37895</v>
      </c>
      <c r="E6144" s="2">
        <v>1</v>
      </c>
      <c r="G6144" s="2">
        <v>2</v>
      </c>
    </row>
    <row r="6145" spans="1:7" x14ac:dyDescent="0.2">
      <c r="A6145" s="2" t="s">
        <v>91</v>
      </c>
      <c r="B6145" s="14">
        <v>37926</v>
      </c>
      <c r="E6145" s="2">
        <v>1</v>
      </c>
      <c r="G6145" s="2">
        <v>2</v>
      </c>
    </row>
    <row r="6146" spans="1:7" x14ac:dyDescent="0.2">
      <c r="A6146" s="2" t="s">
        <v>91</v>
      </c>
      <c r="B6146" s="14">
        <v>37956</v>
      </c>
      <c r="E6146" s="2">
        <v>1</v>
      </c>
      <c r="G6146" s="2">
        <v>2</v>
      </c>
    </row>
    <row r="6147" spans="1:7" x14ac:dyDescent="0.2">
      <c r="A6147" s="2" t="s">
        <v>91</v>
      </c>
      <c r="B6147" s="14">
        <v>37987</v>
      </c>
      <c r="E6147" s="2">
        <v>1</v>
      </c>
      <c r="G6147" s="2">
        <v>2</v>
      </c>
    </row>
    <row r="6148" spans="1:7" x14ac:dyDescent="0.2">
      <c r="A6148" s="2" t="s">
        <v>91</v>
      </c>
      <c r="B6148" s="14">
        <v>38018</v>
      </c>
      <c r="E6148" s="2">
        <v>1</v>
      </c>
      <c r="G6148" s="2">
        <v>2</v>
      </c>
    </row>
    <row r="6149" spans="1:7" x14ac:dyDescent="0.2">
      <c r="A6149" s="2" t="s">
        <v>91</v>
      </c>
      <c r="B6149" s="14">
        <v>38047</v>
      </c>
      <c r="E6149" s="2">
        <v>1</v>
      </c>
      <c r="G6149" s="2">
        <v>2</v>
      </c>
    </row>
    <row r="6150" spans="1:7" x14ac:dyDescent="0.2">
      <c r="A6150" s="2" t="s">
        <v>91</v>
      </c>
      <c r="B6150" s="14">
        <v>38078</v>
      </c>
      <c r="E6150" s="2">
        <v>1</v>
      </c>
      <c r="G6150" s="2">
        <v>2</v>
      </c>
    </row>
    <row r="6151" spans="1:7" x14ac:dyDescent="0.2">
      <c r="A6151" s="2" t="s">
        <v>91</v>
      </c>
      <c r="B6151" s="14">
        <v>38108</v>
      </c>
      <c r="E6151" s="2">
        <v>1</v>
      </c>
      <c r="G6151" s="2">
        <v>2</v>
      </c>
    </row>
    <row r="6152" spans="1:7" x14ac:dyDescent="0.2">
      <c r="A6152" s="2" t="s">
        <v>91</v>
      </c>
      <c r="B6152" s="14">
        <v>38139</v>
      </c>
      <c r="E6152" s="2">
        <v>1</v>
      </c>
      <c r="G6152" s="2">
        <v>2</v>
      </c>
    </row>
    <row r="6153" spans="1:7" x14ac:dyDescent="0.2">
      <c r="A6153" s="2" t="s">
        <v>91</v>
      </c>
      <c r="B6153" s="14">
        <v>38169</v>
      </c>
      <c r="E6153" s="2">
        <v>1</v>
      </c>
      <c r="G6153" s="2">
        <v>2</v>
      </c>
    </row>
    <row r="6154" spans="1:7" x14ac:dyDescent="0.2">
      <c r="A6154" s="2" t="s">
        <v>91</v>
      </c>
      <c r="B6154" s="14">
        <v>38200</v>
      </c>
      <c r="E6154" s="2">
        <v>1</v>
      </c>
      <c r="G6154" s="2">
        <v>2</v>
      </c>
    </row>
    <row r="6155" spans="1:7" x14ac:dyDescent="0.2">
      <c r="A6155" s="2" t="s">
        <v>91</v>
      </c>
      <c r="B6155" s="14">
        <v>38231</v>
      </c>
      <c r="E6155" s="2">
        <v>1</v>
      </c>
      <c r="G6155" s="2">
        <v>2</v>
      </c>
    </row>
    <row r="6156" spans="1:7" x14ac:dyDescent="0.2">
      <c r="A6156" s="2" t="s">
        <v>91</v>
      </c>
      <c r="B6156" s="14">
        <v>38261</v>
      </c>
      <c r="E6156" s="2">
        <v>1</v>
      </c>
      <c r="G6156" s="2">
        <v>2</v>
      </c>
    </row>
    <row r="6157" spans="1:7" x14ac:dyDescent="0.2">
      <c r="A6157" s="2" t="s">
        <v>91</v>
      </c>
      <c r="B6157" s="14">
        <v>38292</v>
      </c>
      <c r="E6157" s="2">
        <v>1</v>
      </c>
      <c r="G6157" s="2">
        <v>2</v>
      </c>
    </row>
    <row r="6158" spans="1:7" x14ac:dyDescent="0.2">
      <c r="A6158" s="2" t="s">
        <v>91</v>
      </c>
      <c r="B6158" s="14">
        <v>38322</v>
      </c>
      <c r="E6158" s="2">
        <v>1</v>
      </c>
      <c r="G6158" s="2">
        <v>2</v>
      </c>
    </row>
    <row r="6159" spans="1:7" x14ac:dyDescent="0.2">
      <c r="A6159" s="2" t="s">
        <v>91</v>
      </c>
      <c r="B6159" s="14">
        <v>38353</v>
      </c>
      <c r="E6159" s="2">
        <v>1</v>
      </c>
      <c r="G6159" s="2">
        <v>2</v>
      </c>
    </row>
    <row r="6160" spans="1:7" x14ac:dyDescent="0.2">
      <c r="A6160" s="2" t="s">
        <v>91</v>
      </c>
      <c r="B6160" s="14">
        <v>38384</v>
      </c>
      <c r="E6160" s="2">
        <v>1</v>
      </c>
      <c r="G6160" s="2">
        <v>2</v>
      </c>
    </row>
    <row r="6161" spans="1:7" x14ac:dyDescent="0.2">
      <c r="A6161" s="2" t="s">
        <v>91</v>
      </c>
      <c r="B6161" s="14">
        <v>38412</v>
      </c>
      <c r="E6161" s="2">
        <v>1</v>
      </c>
      <c r="G6161" s="2">
        <v>2</v>
      </c>
    </row>
    <row r="6162" spans="1:7" x14ac:dyDescent="0.2">
      <c r="A6162" s="2" t="s">
        <v>91</v>
      </c>
      <c r="B6162" s="14">
        <v>38443</v>
      </c>
      <c r="E6162" s="2">
        <v>1</v>
      </c>
      <c r="G6162" s="2">
        <v>2</v>
      </c>
    </row>
    <row r="6163" spans="1:7" x14ac:dyDescent="0.2">
      <c r="A6163" s="2" t="s">
        <v>91</v>
      </c>
      <c r="B6163" s="14">
        <v>38473</v>
      </c>
      <c r="E6163" s="2">
        <v>1</v>
      </c>
      <c r="G6163" s="2">
        <v>2</v>
      </c>
    </row>
    <row r="6164" spans="1:7" x14ac:dyDescent="0.2">
      <c r="A6164" s="2" t="s">
        <v>91</v>
      </c>
      <c r="B6164" s="14">
        <v>38504</v>
      </c>
      <c r="E6164" s="2">
        <v>1</v>
      </c>
      <c r="G6164" s="2">
        <v>2</v>
      </c>
    </row>
    <row r="6165" spans="1:7" x14ac:dyDescent="0.2">
      <c r="A6165" s="2" t="s">
        <v>91</v>
      </c>
      <c r="B6165" s="14">
        <v>38534</v>
      </c>
      <c r="E6165" s="2">
        <v>1</v>
      </c>
      <c r="G6165" s="2">
        <v>2</v>
      </c>
    </row>
    <row r="6166" spans="1:7" x14ac:dyDescent="0.2">
      <c r="A6166" s="2" t="s">
        <v>91</v>
      </c>
      <c r="B6166" s="14">
        <v>38565</v>
      </c>
      <c r="E6166" s="2">
        <v>1</v>
      </c>
      <c r="G6166" s="2">
        <v>2</v>
      </c>
    </row>
    <row r="6167" spans="1:7" x14ac:dyDescent="0.2">
      <c r="A6167" s="2" t="s">
        <v>91</v>
      </c>
      <c r="B6167" s="14">
        <v>38596</v>
      </c>
      <c r="E6167" s="2">
        <v>1</v>
      </c>
      <c r="G6167" s="2">
        <v>2</v>
      </c>
    </row>
    <row r="6168" spans="1:7" x14ac:dyDescent="0.2">
      <c r="A6168" s="2" t="s">
        <v>91</v>
      </c>
      <c r="B6168" s="14">
        <v>38626</v>
      </c>
      <c r="E6168" s="2">
        <v>1</v>
      </c>
      <c r="G6168" s="2">
        <v>2</v>
      </c>
    </row>
    <row r="6169" spans="1:7" x14ac:dyDescent="0.2">
      <c r="A6169" s="2" t="s">
        <v>91</v>
      </c>
      <c r="B6169" s="14">
        <v>38657</v>
      </c>
      <c r="E6169" s="2">
        <v>1</v>
      </c>
      <c r="G6169" s="2">
        <v>2</v>
      </c>
    </row>
    <row r="6170" spans="1:7" x14ac:dyDescent="0.2">
      <c r="A6170" s="2" t="s">
        <v>91</v>
      </c>
      <c r="B6170" s="14">
        <v>38687</v>
      </c>
      <c r="E6170" s="2">
        <v>1</v>
      </c>
      <c r="G6170" s="2">
        <v>2</v>
      </c>
    </row>
    <row r="6171" spans="1:7" x14ac:dyDescent="0.2">
      <c r="A6171" s="2" t="s">
        <v>91</v>
      </c>
      <c r="B6171" s="14">
        <v>38718</v>
      </c>
      <c r="E6171" s="2">
        <v>1</v>
      </c>
      <c r="G6171" s="2">
        <v>2</v>
      </c>
    </row>
    <row r="6172" spans="1:7" x14ac:dyDescent="0.2">
      <c r="A6172" s="2" t="s">
        <v>91</v>
      </c>
      <c r="B6172" s="14">
        <v>38749</v>
      </c>
      <c r="E6172" s="2">
        <v>1</v>
      </c>
      <c r="G6172" s="2">
        <v>2</v>
      </c>
    </row>
    <row r="6173" spans="1:7" x14ac:dyDescent="0.2">
      <c r="A6173" s="2" t="s">
        <v>91</v>
      </c>
      <c r="B6173" s="14">
        <v>38777</v>
      </c>
      <c r="E6173" s="2">
        <v>1</v>
      </c>
      <c r="G6173" s="2">
        <v>2</v>
      </c>
    </row>
    <row r="6174" spans="1:7" x14ac:dyDescent="0.2">
      <c r="A6174" s="2" t="s">
        <v>91</v>
      </c>
      <c r="B6174" s="14">
        <v>38808</v>
      </c>
      <c r="E6174" s="2">
        <v>1</v>
      </c>
      <c r="G6174" s="2">
        <v>2</v>
      </c>
    </row>
    <row r="6175" spans="1:7" x14ac:dyDescent="0.2">
      <c r="A6175" s="2" t="s">
        <v>91</v>
      </c>
      <c r="B6175" s="14">
        <v>38838</v>
      </c>
      <c r="E6175" s="2">
        <v>1</v>
      </c>
      <c r="G6175" s="2">
        <v>2</v>
      </c>
    </row>
    <row r="6176" spans="1:7" x14ac:dyDescent="0.2">
      <c r="A6176" s="2" t="s">
        <v>91</v>
      </c>
      <c r="B6176" s="14">
        <v>38869</v>
      </c>
      <c r="E6176" s="2">
        <v>1</v>
      </c>
      <c r="G6176" s="2">
        <v>2</v>
      </c>
    </row>
    <row r="6177" spans="1:7" x14ac:dyDescent="0.2">
      <c r="A6177" s="2" t="s">
        <v>91</v>
      </c>
      <c r="B6177" s="14">
        <v>38899</v>
      </c>
      <c r="E6177" s="2">
        <v>1</v>
      </c>
      <c r="G6177" s="2">
        <v>2</v>
      </c>
    </row>
    <row r="6178" spans="1:7" x14ac:dyDescent="0.2">
      <c r="A6178" s="2" t="s">
        <v>91</v>
      </c>
      <c r="B6178" s="14">
        <v>38930</v>
      </c>
      <c r="E6178" s="2">
        <v>1</v>
      </c>
      <c r="G6178" s="2">
        <v>2</v>
      </c>
    </row>
    <row r="6179" spans="1:7" x14ac:dyDescent="0.2">
      <c r="A6179" s="2" t="s">
        <v>91</v>
      </c>
      <c r="B6179" s="14">
        <v>38961</v>
      </c>
      <c r="E6179" s="2">
        <v>1</v>
      </c>
      <c r="G6179" s="2">
        <v>2</v>
      </c>
    </row>
    <row r="6180" spans="1:7" x14ac:dyDescent="0.2">
      <c r="A6180" s="2" t="s">
        <v>91</v>
      </c>
      <c r="B6180" s="14">
        <v>38991</v>
      </c>
      <c r="E6180" s="2">
        <v>1</v>
      </c>
      <c r="G6180" s="2">
        <v>2</v>
      </c>
    </row>
    <row r="6181" spans="1:7" x14ac:dyDescent="0.2">
      <c r="A6181" s="2" t="s">
        <v>91</v>
      </c>
      <c r="B6181" s="14">
        <v>39022</v>
      </c>
      <c r="E6181" s="2">
        <v>1</v>
      </c>
      <c r="G6181" s="2">
        <v>2</v>
      </c>
    </row>
    <row r="6182" spans="1:7" x14ac:dyDescent="0.2">
      <c r="A6182" s="2" t="s">
        <v>91</v>
      </c>
      <c r="B6182" s="14">
        <v>39052</v>
      </c>
      <c r="C6182" s="2">
        <v>-6.5015479876999998E-3</v>
      </c>
      <c r="D6182" s="2">
        <v>1.3083458000000001E-3</v>
      </c>
      <c r="E6182" s="2">
        <v>1</v>
      </c>
      <c r="G6182" s="2">
        <v>2</v>
      </c>
    </row>
    <row r="6183" spans="1:7" x14ac:dyDescent="0.2">
      <c r="A6183" s="2" t="s">
        <v>91</v>
      </c>
      <c r="B6183" s="14">
        <v>39083</v>
      </c>
      <c r="C6183" s="2">
        <v>0.13331255843000001</v>
      </c>
      <c r="D6183" s="2">
        <v>4.4957282999999997E-3</v>
      </c>
      <c r="E6183" s="2">
        <v>1</v>
      </c>
      <c r="G6183" s="2">
        <v>2</v>
      </c>
    </row>
    <row r="6184" spans="1:7" x14ac:dyDescent="0.2">
      <c r="A6184" s="2" t="s">
        <v>91</v>
      </c>
      <c r="B6184" s="14">
        <v>39114</v>
      </c>
      <c r="C6184" s="2">
        <v>-4.4929608448000001E-2</v>
      </c>
      <c r="D6184" s="2">
        <v>7.7111921E-3</v>
      </c>
      <c r="E6184" s="2">
        <v>1</v>
      </c>
      <c r="G6184" s="2">
        <v>2</v>
      </c>
    </row>
    <row r="6185" spans="1:7" x14ac:dyDescent="0.2">
      <c r="A6185" s="2" t="s">
        <v>91</v>
      </c>
      <c r="B6185" s="14">
        <v>39142</v>
      </c>
      <c r="C6185" s="2">
        <v>-1.8238613463E-2</v>
      </c>
      <c r="D6185" s="2">
        <v>1.0551763E-3</v>
      </c>
      <c r="E6185" s="2">
        <v>1</v>
      </c>
      <c r="G6185" s="2">
        <v>2</v>
      </c>
    </row>
    <row r="6186" spans="1:7" x14ac:dyDescent="0.2">
      <c r="A6186" s="2" t="s">
        <v>91</v>
      </c>
      <c r="B6186" s="14">
        <v>39173</v>
      </c>
      <c r="C6186" s="2">
        <v>6.7433028842000003E-2</v>
      </c>
      <c r="D6186" s="2">
        <v>3.3681499000000001E-4</v>
      </c>
      <c r="E6186" s="2">
        <v>1</v>
      </c>
      <c r="G6186" s="2">
        <v>2</v>
      </c>
    </row>
    <row r="6187" spans="1:7" x14ac:dyDescent="0.2">
      <c r="A6187" s="2" t="s">
        <v>91</v>
      </c>
      <c r="B6187" s="14">
        <v>39203</v>
      </c>
      <c r="C6187" s="2">
        <v>-1.3736263736000001E-2</v>
      </c>
      <c r="D6187" s="2">
        <v>-4.3511404999999996E-3</v>
      </c>
      <c r="E6187" s="2">
        <v>1</v>
      </c>
      <c r="G6187" s="2">
        <v>2</v>
      </c>
    </row>
    <row r="6188" spans="1:7" x14ac:dyDescent="0.2">
      <c r="A6188" s="2" t="s">
        <v>91</v>
      </c>
      <c r="B6188" s="14">
        <v>39234</v>
      </c>
      <c r="C6188" s="2">
        <v>0.15591922005</v>
      </c>
      <c r="D6188" s="2">
        <v>-2.1988401000000001E-4</v>
      </c>
      <c r="E6188" s="2">
        <v>1</v>
      </c>
      <c r="G6188" s="2">
        <v>2</v>
      </c>
    </row>
    <row r="6189" spans="1:7" x14ac:dyDescent="0.2">
      <c r="A6189" s="2" t="s">
        <v>91</v>
      </c>
      <c r="B6189" s="14">
        <v>39264</v>
      </c>
      <c r="C6189" s="2">
        <v>-8.1872401952999996E-2</v>
      </c>
      <c r="D6189" s="2">
        <v>-4.5395394999999999E-4</v>
      </c>
      <c r="E6189" s="2">
        <v>1</v>
      </c>
      <c r="G6189" s="2">
        <v>2</v>
      </c>
    </row>
    <row r="6190" spans="1:7" x14ac:dyDescent="0.2">
      <c r="A6190" s="2" t="s">
        <v>91</v>
      </c>
      <c r="B6190" s="14">
        <v>39295</v>
      </c>
      <c r="C6190" s="2">
        <v>-2.2309711286000001E-2</v>
      </c>
      <c r="D6190" s="2">
        <v>-1.3504045000000001E-3</v>
      </c>
      <c r="E6190" s="2">
        <v>1</v>
      </c>
      <c r="F6190" s="2">
        <v>1.02340866471958E-2</v>
      </c>
      <c r="G6190" s="2">
        <v>2</v>
      </c>
    </row>
    <row r="6191" spans="1:7" x14ac:dyDescent="0.2">
      <c r="A6191" s="2" t="s">
        <v>91</v>
      </c>
      <c r="B6191" s="14">
        <v>39326</v>
      </c>
      <c r="C6191" s="2">
        <v>-5.3691275167999999E-2</v>
      </c>
      <c r="D6191" s="2">
        <v>-3.1588640000000001E-4</v>
      </c>
      <c r="E6191" s="2">
        <v>1</v>
      </c>
      <c r="F6191" s="2">
        <v>1.0862807065991799E-2</v>
      </c>
      <c r="G6191" s="2">
        <v>2</v>
      </c>
    </row>
    <row r="6192" spans="1:7" x14ac:dyDescent="0.2">
      <c r="A6192" s="2" t="s">
        <v>91</v>
      </c>
      <c r="B6192" s="14">
        <v>39356</v>
      </c>
      <c r="C6192" s="2">
        <v>5.2482269504E-2</v>
      </c>
      <c r="D6192" s="2">
        <v>-1.9892044000000002E-3</v>
      </c>
      <c r="E6192" s="2">
        <v>1</v>
      </c>
      <c r="F6192" s="2">
        <v>9.9393132314286696E-3</v>
      </c>
      <c r="G6192" s="2">
        <v>2</v>
      </c>
    </row>
    <row r="6193" spans="1:7" x14ac:dyDescent="0.2">
      <c r="A6193" s="2" t="s">
        <v>91</v>
      </c>
      <c r="B6193" s="14">
        <v>39387</v>
      </c>
      <c r="C6193" s="2">
        <v>-9.7035040431000003E-2</v>
      </c>
      <c r="D6193" s="2">
        <v>-1.7366186999999999E-3</v>
      </c>
      <c r="E6193" s="2">
        <v>1</v>
      </c>
      <c r="F6193" s="2">
        <v>9.3324637120910901E-3</v>
      </c>
      <c r="G6193" s="2">
        <v>2</v>
      </c>
    </row>
    <row r="6194" spans="1:7" x14ac:dyDescent="0.2">
      <c r="A6194" s="2" t="s">
        <v>91</v>
      </c>
      <c r="B6194" s="14">
        <v>39417</v>
      </c>
      <c r="C6194" s="2">
        <v>-2.9850746268000002E-2</v>
      </c>
      <c r="D6194" s="2">
        <v>-3.8505264000000001E-3</v>
      </c>
      <c r="E6194" s="2">
        <v>1</v>
      </c>
      <c r="F6194" s="2">
        <v>7.21880093175569E-3</v>
      </c>
      <c r="G6194" s="2">
        <v>2</v>
      </c>
    </row>
    <row r="6195" spans="1:7" x14ac:dyDescent="0.2">
      <c r="A6195" s="2" t="s">
        <v>91</v>
      </c>
      <c r="B6195" s="14">
        <v>39448</v>
      </c>
      <c r="C6195" s="2">
        <v>-0.10649230769</v>
      </c>
      <c r="D6195" s="2">
        <v>9.2719932999999997E-3</v>
      </c>
      <c r="E6195" s="2">
        <v>1</v>
      </c>
      <c r="F6195" s="2">
        <v>1.9308112874461001E-3</v>
      </c>
      <c r="G6195" s="2">
        <v>2</v>
      </c>
    </row>
    <row r="6196" spans="1:7" x14ac:dyDescent="0.2">
      <c r="A6196" s="2" t="s">
        <v>91</v>
      </c>
      <c r="B6196" s="14">
        <v>39479</v>
      </c>
      <c r="C6196" s="2">
        <v>5.0311649849000002E-2</v>
      </c>
      <c r="D6196" s="2">
        <v>4.4898474999999997E-3</v>
      </c>
      <c r="E6196" s="2">
        <v>1</v>
      </c>
      <c r="F6196" s="2">
        <v>1.37420487766787E-3</v>
      </c>
      <c r="G6196" s="2">
        <v>2</v>
      </c>
    </row>
    <row r="6197" spans="1:7" x14ac:dyDescent="0.2">
      <c r="A6197" s="2" t="s">
        <v>91</v>
      </c>
      <c r="B6197" s="14">
        <v>39508</v>
      </c>
      <c r="C6197" s="2">
        <v>6.5672131147999996E-2</v>
      </c>
      <c r="D6197" s="2">
        <v>2.6395950000000001E-2</v>
      </c>
      <c r="E6197" s="2">
        <v>1</v>
      </c>
      <c r="F6197" s="2">
        <v>3.3919404542517499E-3</v>
      </c>
      <c r="G6197" s="2">
        <v>2</v>
      </c>
    </row>
    <row r="6198" spans="1:7" x14ac:dyDescent="0.2">
      <c r="A6198" s="2" t="s">
        <v>91</v>
      </c>
      <c r="B6198" s="14">
        <v>39539</v>
      </c>
      <c r="C6198" s="2">
        <v>0.14506353258999999</v>
      </c>
      <c r="D6198" s="2">
        <v>2.9304169000000001E-2</v>
      </c>
      <c r="E6198" s="2">
        <v>1</v>
      </c>
      <c r="F6198" s="2">
        <v>6.7472172489117504E-3</v>
      </c>
      <c r="G6198" s="2">
        <v>2</v>
      </c>
    </row>
    <row r="6199" spans="1:7" x14ac:dyDescent="0.2">
      <c r="A6199" s="2" t="s">
        <v>91</v>
      </c>
      <c r="B6199" s="14">
        <v>39569</v>
      </c>
      <c r="C6199" s="2">
        <v>3.1188883838999999E-2</v>
      </c>
      <c r="D6199" s="2">
        <v>6.6612340000000003E-3</v>
      </c>
      <c r="E6199" s="2">
        <v>1</v>
      </c>
      <c r="F6199" s="2">
        <v>9.2770361654302292E-3</v>
      </c>
      <c r="G6199" s="2">
        <v>2</v>
      </c>
    </row>
    <row r="6200" spans="1:7" x14ac:dyDescent="0.2">
      <c r="A6200" s="2" t="s">
        <v>91</v>
      </c>
      <c r="B6200" s="14">
        <v>39600</v>
      </c>
      <c r="C6200" s="2">
        <v>-0.12751677852000001</v>
      </c>
      <c r="D6200" s="2">
        <v>1.2747468E-2</v>
      </c>
      <c r="E6200" s="2">
        <v>1</v>
      </c>
      <c r="F6200" s="2">
        <v>1.2980848408342099E-2</v>
      </c>
      <c r="G6200" s="2">
        <v>2</v>
      </c>
    </row>
    <row r="6201" spans="1:7" x14ac:dyDescent="0.2">
      <c r="A6201" s="2" t="s">
        <v>91</v>
      </c>
      <c r="B6201" s="14">
        <v>39630</v>
      </c>
      <c r="C6201" s="2">
        <v>0.11538461538</v>
      </c>
      <c r="D6201" s="2">
        <v>1.5093120999999999E-2</v>
      </c>
      <c r="E6201" s="2">
        <v>1</v>
      </c>
      <c r="F6201" s="2">
        <v>1.03749473922668E-2</v>
      </c>
      <c r="G6201" s="2">
        <v>2</v>
      </c>
    </row>
    <row r="6202" spans="1:7" x14ac:dyDescent="0.2">
      <c r="A6202" s="2" t="s">
        <v>91</v>
      </c>
      <c r="B6202" s="14">
        <v>39661</v>
      </c>
      <c r="C6202" s="2">
        <v>-6.8965517238999997E-3</v>
      </c>
      <c r="D6202" s="2">
        <v>9.6127065000000001E-3</v>
      </c>
      <c r="E6202" s="2">
        <v>1</v>
      </c>
      <c r="F6202" s="2">
        <v>1.8275424418514801E-2</v>
      </c>
      <c r="G6202" s="2">
        <v>2</v>
      </c>
    </row>
    <row r="6203" spans="1:7" x14ac:dyDescent="0.2">
      <c r="A6203" s="2" t="s">
        <v>91</v>
      </c>
      <c r="B6203" s="14">
        <v>39692</v>
      </c>
      <c r="C6203" s="2">
        <v>-0.15545773686</v>
      </c>
      <c r="D6203" s="2">
        <v>6.5084639999999998E-4</v>
      </c>
      <c r="E6203" s="2">
        <v>1</v>
      </c>
      <c r="F6203" s="2">
        <v>1.6633275431727001E-2</v>
      </c>
      <c r="G6203" s="2">
        <v>2</v>
      </c>
    </row>
    <row r="6204" spans="1:7" x14ac:dyDescent="0.2">
      <c r="A6204" s="2" t="s">
        <v>91</v>
      </c>
      <c r="B6204" s="14">
        <v>39722</v>
      </c>
      <c r="C6204" s="2">
        <v>-9.4288334863000006E-2</v>
      </c>
      <c r="D6204" s="2">
        <v>2.9834513999999999E-3</v>
      </c>
      <c r="E6204" s="2">
        <v>1</v>
      </c>
      <c r="F6204" s="2">
        <v>1.0853052731892E-2</v>
      </c>
      <c r="G6204" s="2">
        <v>2</v>
      </c>
    </row>
    <row r="6205" spans="1:7" x14ac:dyDescent="0.2">
      <c r="A6205" s="2" t="s">
        <v>91</v>
      </c>
      <c r="B6205" s="14">
        <v>39753</v>
      </c>
      <c r="C6205" s="2">
        <v>0.12316105393</v>
      </c>
      <c r="D6205" s="2">
        <v>4.4513280000000001E-3</v>
      </c>
      <c r="E6205" s="2">
        <v>1</v>
      </c>
      <c r="F6205" s="2">
        <v>4.1873232654186998E-3</v>
      </c>
      <c r="G6205" s="2">
        <v>2</v>
      </c>
    </row>
    <row r="6206" spans="1:7" x14ac:dyDescent="0.2">
      <c r="A6206" s="2" t="s">
        <v>91</v>
      </c>
      <c r="B6206" s="14">
        <v>39783</v>
      </c>
      <c r="C6206" s="2">
        <v>-3.2786885248999999E-3</v>
      </c>
      <c r="D6206" s="2">
        <v>7.2643626000000005E-4</v>
      </c>
      <c r="E6206" s="2">
        <v>1</v>
      </c>
      <c r="F6206" s="2">
        <v>6.6589507143445196E-3</v>
      </c>
      <c r="G6206" s="2">
        <v>2</v>
      </c>
    </row>
    <row r="6207" spans="1:7" x14ac:dyDescent="0.2">
      <c r="A6207" s="2" t="s">
        <v>92</v>
      </c>
      <c r="B6207" s="14">
        <v>37591</v>
      </c>
      <c r="C6207" s="2">
        <v>2.7777777776999998E-3</v>
      </c>
      <c r="D6207" s="2">
        <v>0</v>
      </c>
      <c r="E6207" s="2">
        <v>1</v>
      </c>
      <c r="G6207" s="2">
        <v>2</v>
      </c>
    </row>
    <row r="6208" spans="1:7" x14ac:dyDescent="0.2">
      <c r="A6208" s="2" t="s">
        <v>92</v>
      </c>
      <c r="B6208" s="14">
        <v>37622</v>
      </c>
      <c r="C6208" s="2">
        <v>9.6952908586999995E-2</v>
      </c>
      <c r="D6208" s="2">
        <v>0</v>
      </c>
      <c r="E6208" s="2">
        <v>1</v>
      </c>
      <c r="G6208" s="2">
        <v>2</v>
      </c>
    </row>
    <row r="6209" spans="1:7" x14ac:dyDescent="0.2">
      <c r="A6209" s="2" t="s">
        <v>92</v>
      </c>
      <c r="B6209" s="14">
        <v>37653</v>
      </c>
      <c r="C6209" s="2">
        <v>0.10606060606000001</v>
      </c>
      <c r="D6209" s="2">
        <v>0</v>
      </c>
      <c r="E6209" s="2">
        <v>1</v>
      </c>
      <c r="G6209" s="2">
        <v>2</v>
      </c>
    </row>
    <row r="6210" spans="1:7" x14ac:dyDescent="0.2">
      <c r="A6210" s="2" t="s">
        <v>92</v>
      </c>
      <c r="B6210" s="14">
        <v>37681</v>
      </c>
      <c r="C6210" s="2">
        <v>-0.10502283105</v>
      </c>
      <c r="D6210" s="2">
        <v>0</v>
      </c>
      <c r="E6210" s="2">
        <v>1</v>
      </c>
      <c r="G6210" s="2">
        <v>2</v>
      </c>
    </row>
    <row r="6211" spans="1:7" x14ac:dyDescent="0.2">
      <c r="A6211" s="2" t="s">
        <v>92</v>
      </c>
      <c r="B6211" s="14">
        <v>37712</v>
      </c>
      <c r="C6211" s="2">
        <v>0.10204081632000001</v>
      </c>
      <c r="D6211" s="2">
        <v>0</v>
      </c>
      <c r="E6211" s="2">
        <v>1</v>
      </c>
      <c r="G6211" s="2">
        <v>2</v>
      </c>
    </row>
    <row r="6212" spans="1:7" x14ac:dyDescent="0.2">
      <c r="A6212" s="2" t="s">
        <v>92</v>
      </c>
      <c r="B6212" s="14">
        <v>37742</v>
      </c>
      <c r="C6212" s="2">
        <v>-7.3775132277999998E-3</v>
      </c>
      <c r="D6212" s="2">
        <v>0</v>
      </c>
      <c r="E6212" s="2">
        <v>1</v>
      </c>
      <c r="G6212" s="2">
        <v>2</v>
      </c>
    </row>
    <row r="6213" spans="1:7" x14ac:dyDescent="0.2">
      <c r="A6213" s="2" t="s">
        <v>92</v>
      </c>
      <c r="B6213" s="14">
        <v>37773</v>
      </c>
      <c r="C6213" s="2">
        <v>0.01</v>
      </c>
      <c r="D6213" s="2">
        <v>0</v>
      </c>
      <c r="E6213" s="2">
        <v>1</v>
      </c>
      <c r="G6213" s="2">
        <v>2</v>
      </c>
    </row>
    <row r="6214" spans="1:7" x14ac:dyDescent="0.2">
      <c r="A6214" s="2" t="s">
        <v>92</v>
      </c>
      <c r="B6214" s="14">
        <v>37803</v>
      </c>
      <c r="C6214" s="2">
        <v>-4.4554455446000001E-2</v>
      </c>
      <c r="D6214" s="2">
        <v>0</v>
      </c>
      <c r="E6214" s="2">
        <v>1</v>
      </c>
      <c r="G6214" s="2">
        <v>2</v>
      </c>
    </row>
    <row r="6215" spans="1:7" x14ac:dyDescent="0.2">
      <c r="A6215" s="2" t="s">
        <v>92</v>
      </c>
      <c r="B6215" s="14">
        <v>37834</v>
      </c>
      <c r="C6215" s="2">
        <v>0.12953367874999999</v>
      </c>
      <c r="D6215" s="2">
        <v>0</v>
      </c>
      <c r="E6215" s="2">
        <v>1</v>
      </c>
      <c r="F6215" s="2">
        <v>4.1188735706241403E-2</v>
      </c>
      <c r="G6215" s="2">
        <v>2</v>
      </c>
    </row>
    <row r="6216" spans="1:7" x14ac:dyDescent="0.2">
      <c r="A6216" s="2" t="s">
        <v>92</v>
      </c>
      <c r="B6216" s="14">
        <v>37865</v>
      </c>
      <c r="C6216" s="2">
        <v>0.12844036697</v>
      </c>
      <c r="D6216" s="2">
        <v>0</v>
      </c>
      <c r="E6216" s="2">
        <v>1</v>
      </c>
      <c r="F6216" s="2">
        <v>4.1641454331397001E-2</v>
      </c>
      <c r="G6216" s="2">
        <v>2</v>
      </c>
    </row>
    <row r="6217" spans="1:7" x14ac:dyDescent="0.2">
      <c r="A6217" s="2" t="s">
        <v>92</v>
      </c>
      <c r="B6217" s="14">
        <v>37895</v>
      </c>
      <c r="C6217" s="2">
        <v>0.17723579716999999</v>
      </c>
      <c r="D6217" s="2">
        <v>0</v>
      </c>
      <c r="E6217" s="2">
        <v>1</v>
      </c>
      <c r="F6217" s="2">
        <v>4.8116494101558202E-2</v>
      </c>
      <c r="G6217" s="2">
        <v>2</v>
      </c>
    </row>
    <row r="6218" spans="1:7" x14ac:dyDescent="0.2">
      <c r="A6218" s="2" t="s">
        <v>92</v>
      </c>
      <c r="B6218" s="14">
        <v>37926</v>
      </c>
      <c r="C6218" s="2">
        <v>-2.6243114445999999E-2</v>
      </c>
      <c r="D6218" s="2">
        <v>0</v>
      </c>
      <c r="E6218" s="2">
        <v>1</v>
      </c>
      <c r="F6218" s="2">
        <v>5.0014357271619597E-2</v>
      </c>
      <c r="G6218" s="2">
        <v>2</v>
      </c>
    </row>
    <row r="6219" spans="1:7" x14ac:dyDescent="0.2">
      <c r="A6219" s="2" t="s">
        <v>92</v>
      </c>
      <c r="B6219" s="14">
        <v>37956</v>
      </c>
      <c r="C6219" s="2">
        <v>6.3829787233999999E-2</v>
      </c>
      <c r="D6219" s="2">
        <v>0</v>
      </c>
      <c r="E6219" s="2">
        <v>1</v>
      </c>
      <c r="F6219" s="2">
        <v>4.9513866061345703E-2</v>
      </c>
      <c r="G6219" s="2">
        <v>2</v>
      </c>
    </row>
    <row r="6220" spans="1:7" x14ac:dyDescent="0.2">
      <c r="A6220" s="2" t="s">
        <v>92</v>
      </c>
      <c r="B6220" s="14">
        <v>37987</v>
      </c>
      <c r="C6220" s="2">
        <v>-1.3333333332E-2</v>
      </c>
      <c r="E6220" s="2">
        <v>1</v>
      </c>
      <c r="F6220" s="2">
        <v>5.0851476886756099E-2</v>
      </c>
      <c r="G6220" s="2">
        <v>2</v>
      </c>
    </row>
    <row r="6221" spans="1:7" x14ac:dyDescent="0.2">
      <c r="A6221" s="2" t="s">
        <v>92</v>
      </c>
      <c r="B6221" s="14">
        <v>38018</v>
      </c>
      <c r="C6221" s="2">
        <v>7.4324324324999996E-2</v>
      </c>
      <c r="E6221" s="2">
        <v>1</v>
      </c>
      <c r="F6221" s="2">
        <v>5.1797509006468602E-2</v>
      </c>
      <c r="G6221" s="2">
        <v>2</v>
      </c>
    </row>
    <row r="6222" spans="1:7" x14ac:dyDescent="0.2">
      <c r="A6222" s="2" t="s">
        <v>92</v>
      </c>
      <c r="B6222" s="14">
        <v>38047</v>
      </c>
      <c r="C6222" s="2">
        <v>6.9182389935999997E-2</v>
      </c>
      <c r="D6222" s="2">
        <v>0</v>
      </c>
      <c r="E6222" s="2">
        <v>1</v>
      </c>
      <c r="F6222" s="2">
        <v>5.0008917006899002E-2</v>
      </c>
      <c r="G6222" s="2">
        <v>2</v>
      </c>
    </row>
    <row r="6223" spans="1:7" x14ac:dyDescent="0.2">
      <c r="A6223" s="2" t="s">
        <v>92</v>
      </c>
      <c r="B6223" s="14">
        <v>38078</v>
      </c>
      <c r="C6223" s="2">
        <v>0</v>
      </c>
      <c r="D6223" s="2">
        <v>0</v>
      </c>
      <c r="E6223" s="2">
        <v>1</v>
      </c>
      <c r="F6223" s="2">
        <v>4.7893774792329702E-2</v>
      </c>
      <c r="G6223" s="2">
        <v>2</v>
      </c>
    </row>
    <row r="6224" spans="1:7" x14ac:dyDescent="0.2">
      <c r="A6224" s="2" t="s">
        <v>92</v>
      </c>
      <c r="B6224" s="14">
        <v>38108</v>
      </c>
      <c r="C6224" s="2">
        <v>-1.0974357711000001E-2</v>
      </c>
      <c r="D6224" s="2">
        <v>1.7649670999999999E-3</v>
      </c>
      <c r="E6224" s="2">
        <v>1</v>
      </c>
      <c r="F6224" s="2">
        <v>4.2773257233766501E-2</v>
      </c>
      <c r="G6224" s="2">
        <v>2</v>
      </c>
    </row>
    <row r="6225" spans="1:7" x14ac:dyDescent="0.2">
      <c r="A6225" s="2" t="s">
        <v>92</v>
      </c>
      <c r="B6225" s="14">
        <v>38139</v>
      </c>
      <c r="C6225" s="2">
        <v>0.15625</v>
      </c>
      <c r="D6225" s="2">
        <v>1.4088809E-4</v>
      </c>
      <c r="E6225" s="2">
        <v>1</v>
      </c>
      <c r="F6225" s="2">
        <v>4.3357096007418799E-2</v>
      </c>
      <c r="G6225" s="2">
        <v>2</v>
      </c>
    </row>
    <row r="6226" spans="1:7" x14ac:dyDescent="0.2">
      <c r="A6226" s="2" t="s">
        <v>92</v>
      </c>
      <c r="B6226" s="14">
        <v>38169</v>
      </c>
      <c r="C6226" s="2">
        <v>2.7027027027000002E-2</v>
      </c>
      <c r="D6226" s="2">
        <v>0</v>
      </c>
      <c r="E6226" s="2">
        <v>1</v>
      </c>
      <c r="F6226" s="2">
        <v>4.5799493081938897E-2</v>
      </c>
      <c r="G6226" s="2">
        <v>2</v>
      </c>
    </row>
    <row r="6227" spans="1:7" x14ac:dyDescent="0.2">
      <c r="A6227" s="2" t="s">
        <v>92</v>
      </c>
      <c r="B6227" s="14">
        <v>38200</v>
      </c>
      <c r="C6227" s="2">
        <v>0.15789473683999999</v>
      </c>
      <c r="D6227" s="2">
        <v>0</v>
      </c>
      <c r="E6227" s="2">
        <v>1</v>
      </c>
      <c r="F6227" s="2">
        <v>3.82430925716674E-2</v>
      </c>
      <c r="G6227" s="2">
        <v>2</v>
      </c>
    </row>
    <row r="6228" spans="1:7" x14ac:dyDescent="0.2">
      <c r="A6228" s="2" t="s">
        <v>92</v>
      </c>
      <c r="B6228" s="14">
        <v>38231</v>
      </c>
      <c r="C6228" s="2">
        <v>0.13636363636000001</v>
      </c>
      <c r="D6228" s="2">
        <v>0</v>
      </c>
      <c r="E6228" s="2">
        <v>1</v>
      </c>
      <c r="F6228" s="2">
        <v>4.0376135696346703E-2</v>
      </c>
      <c r="G6228" s="2">
        <v>2</v>
      </c>
    </row>
    <row r="6229" spans="1:7" x14ac:dyDescent="0.2">
      <c r="A6229" s="2" t="s">
        <v>92</v>
      </c>
      <c r="B6229" s="14">
        <v>38261</v>
      </c>
      <c r="C6229" s="2">
        <v>4.0000000001E-2</v>
      </c>
      <c r="D6229" s="2">
        <v>0</v>
      </c>
      <c r="E6229" s="2">
        <v>1</v>
      </c>
      <c r="F6229" s="2">
        <v>4.2038117963674397E-2</v>
      </c>
      <c r="G6229" s="2">
        <v>2</v>
      </c>
    </row>
    <row r="6230" spans="1:7" x14ac:dyDescent="0.2">
      <c r="A6230" s="2" t="s">
        <v>92</v>
      </c>
      <c r="B6230" s="14">
        <v>38292</v>
      </c>
      <c r="C6230" s="2">
        <v>0.11538461538</v>
      </c>
      <c r="D6230" s="2">
        <v>0</v>
      </c>
      <c r="E6230" s="2">
        <v>1</v>
      </c>
      <c r="F6230" s="2">
        <v>4.2948633264023497E-2</v>
      </c>
      <c r="G6230" s="2">
        <v>2</v>
      </c>
    </row>
    <row r="6231" spans="1:7" x14ac:dyDescent="0.2">
      <c r="A6231" s="2" t="s">
        <v>92</v>
      </c>
      <c r="B6231" s="14">
        <v>38322</v>
      </c>
      <c r="C6231" s="2">
        <v>-3.1034482758000002E-2</v>
      </c>
      <c r="D6231" s="2">
        <v>0</v>
      </c>
      <c r="E6231" s="2">
        <v>1</v>
      </c>
      <c r="F6231" s="2">
        <v>4.6284876980294598E-2</v>
      </c>
      <c r="G6231" s="2">
        <v>2</v>
      </c>
    </row>
    <row r="6232" spans="1:7" x14ac:dyDescent="0.2">
      <c r="A6232" s="2" t="s">
        <v>92</v>
      </c>
      <c r="B6232" s="14">
        <v>38353</v>
      </c>
      <c r="C6232" s="2">
        <v>-5.6939501779E-2</v>
      </c>
      <c r="D6232" s="2">
        <v>0</v>
      </c>
      <c r="E6232" s="2">
        <v>1</v>
      </c>
      <c r="F6232" s="2">
        <v>4.1063351416139898E-2</v>
      </c>
      <c r="G6232" s="2">
        <v>2</v>
      </c>
    </row>
    <row r="6233" spans="1:7" x14ac:dyDescent="0.2">
      <c r="A6233" s="2" t="s">
        <v>92</v>
      </c>
      <c r="B6233" s="14">
        <v>38384</v>
      </c>
      <c r="C6233" s="2">
        <v>7.5471698111999996E-2</v>
      </c>
      <c r="D6233" s="2">
        <v>0</v>
      </c>
      <c r="E6233" s="2">
        <v>1</v>
      </c>
      <c r="F6233" s="2">
        <v>3.8868269752556001E-2</v>
      </c>
      <c r="G6233" s="2">
        <v>2</v>
      </c>
    </row>
    <row r="6234" spans="1:7" x14ac:dyDescent="0.2">
      <c r="A6234" s="2" t="s">
        <v>92</v>
      </c>
      <c r="B6234" s="14">
        <v>38412</v>
      </c>
      <c r="C6234" s="2">
        <v>-7.0175438595E-2</v>
      </c>
      <c r="D6234" s="2">
        <v>0</v>
      </c>
      <c r="E6234" s="2">
        <v>1</v>
      </c>
      <c r="F6234" s="2">
        <v>3.6321959169627799E-2</v>
      </c>
      <c r="G6234" s="2">
        <v>2</v>
      </c>
    </row>
    <row r="6235" spans="1:7" x14ac:dyDescent="0.2">
      <c r="A6235" s="2" t="s">
        <v>92</v>
      </c>
      <c r="B6235" s="14">
        <v>38443</v>
      </c>
      <c r="C6235" s="2">
        <v>-5.6603773585000003E-2</v>
      </c>
      <c r="D6235" s="2">
        <v>0</v>
      </c>
      <c r="E6235" s="2">
        <v>1</v>
      </c>
      <c r="F6235" s="2">
        <v>3.0676326189277101E-2</v>
      </c>
      <c r="G6235" s="2">
        <v>2</v>
      </c>
    </row>
    <row r="6236" spans="1:7" x14ac:dyDescent="0.2">
      <c r="A6236" s="2" t="s">
        <v>92</v>
      </c>
      <c r="B6236" s="14">
        <v>38473</v>
      </c>
      <c r="C6236" s="2">
        <v>-0.12645034773</v>
      </c>
      <c r="D6236" s="2">
        <v>0</v>
      </c>
      <c r="E6236" s="2">
        <v>1</v>
      </c>
      <c r="F6236" s="2">
        <v>2.80989659535664E-2</v>
      </c>
      <c r="G6236" s="2">
        <v>2</v>
      </c>
    </row>
    <row r="6237" spans="1:7" x14ac:dyDescent="0.2">
      <c r="A6237" s="2" t="s">
        <v>92</v>
      </c>
      <c r="B6237" s="14">
        <v>38504</v>
      </c>
      <c r="C6237" s="2">
        <v>0.14903846153</v>
      </c>
      <c r="D6237" s="2">
        <v>0</v>
      </c>
      <c r="E6237" s="2">
        <v>1</v>
      </c>
      <c r="F6237" s="2">
        <v>2.1752219152015001E-2</v>
      </c>
      <c r="G6237" s="2">
        <v>2</v>
      </c>
    </row>
    <row r="6238" spans="1:7" x14ac:dyDescent="0.2">
      <c r="A6238" s="2" t="s">
        <v>92</v>
      </c>
      <c r="B6238" s="14">
        <v>38534</v>
      </c>
      <c r="C6238" s="2">
        <v>-7.5313807531999996E-2</v>
      </c>
      <c r="D6238" s="2">
        <v>0</v>
      </c>
      <c r="E6238" s="2">
        <v>1</v>
      </c>
      <c r="F6238" s="2">
        <v>2.6623254106971899E-2</v>
      </c>
      <c r="G6238" s="2">
        <v>2</v>
      </c>
    </row>
    <row r="6239" spans="1:7" x14ac:dyDescent="0.2">
      <c r="A6239" s="2" t="s">
        <v>92</v>
      </c>
      <c r="B6239" s="14">
        <v>38565</v>
      </c>
      <c r="C6239" s="2">
        <v>-7.2398190045000005E-2</v>
      </c>
      <c r="D6239" s="2">
        <v>0</v>
      </c>
      <c r="E6239" s="2">
        <v>1</v>
      </c>
      <c r="F6239" s="2">
        <v>1.6141632701806598E-2</v>
      </c>
      <c r="G6239" s="2">
        <v>2</v>
      </c>
    </row>
    <row r="6240" spans="1:7" x14ac:dyDescent="0.2">
      <c r="A6240" s="2" t="s">
        <v>92</v>
      </c>
      <c r="B6240" s="14">
        <v>38596</v>
      </c>
      <c r="C6240" s="2">
        <v>-0.13658536585</v>
      </c>
      <c r="D6240" s="2">
        <v>0</v>
      </c>
      <c r="E6240" s="2">
        <v>1</v>
      </c>
      <c r="F6240" s="2">
        <v>1.19180618371151E-2</v>
      </c>
      <c r="G6240" s="2">
        <v>2</v>
      </c>
    </row>
    <row r="6241" spans="1:7" x14ac:dyDescent="0.2">
      <c r="A6241" s="2" t="s">
        <v>92</v>
      </c>
      <c r="B6241" s="14">
        <v>38626</v>
      </c>
      <c r="C6241" s="2">
        <v>-0.23728813559</v>
      </c>
      <c r="D6241" s="2">
        <v>0</v>
      </c>
      <c r="E6241" s="2">
        <v>1</v>
      </c>
      <c r="F6241" s="2">
        <v>1.02893180237714E-2</v>
      </c>
      <c r="G6241" s="2">
        <v>2</v>
      </c>
    </row>
    <row r="6242" spans="1:7" x14ac:dyDescent="0.2">
      <c r="A6242" s="2" t="s">
        <v>92</v>
      </c>
      <c r="B6242" s="14">
        <v>38657</v>
      </c>
      <c r="C6242" s="2">
        <v>-3.7037037036000003E-2</v>
      </c>
      <c r="D6242" s="2">
        <v>0</v>
      </c>
      <c r="E6242" s="2">
        <v>1</v>
      </c>
      <c r="F6242" s="2">
        <v>5.99539693903704E-3</v>
      </c>
      <c r="G6242" s="2">
        <v>2</v>
      </c>
    </row>
    <row r="6243" spans="1:7" x14ac:dyDescent="0.2">
      <c r="A6243" s="2" t="s">
        <v>92</v>
      </c>
      <c r="B6243" s="14">
        <v>38687</v>
      </c>
      <c r="C6243" s="2">
        <v>-0.1</v>
      </c>
      <c r="D6243" s="2">
        <v>0</v>
      </c>
      <c r="E6243" s="2">
        <v>1</v>
      </c>
      <c r="F6243" s="2">
        <v>8.4417410235656E-3</v>
      </c>
      <c r="G6243" s="2">
        <v>2</v>
      </c>
    </row>
    <row r="6244" spans="1:7" x14ac:dyDescent="0.2">
      <c r="A6244" s="2" t="s">
        <v>92</v>
      </c>
      <c r="B6244" s="14">
        <v>38718</v>
      </c>
      <c r="C6244" s="2">
        <v>7.6923076923999995E-2</v>
      </c>
      <c r="D6244" s="2">
        <v>0</v>
      </c>
      <c r="E6244" s="2">
        <v>1</v>
      </c>
      <c r="F6244" s="2">
        <v>1.4941516741079301E-3</v>
      </c>
      <c r="G6244" s="2">
        <v>2</v>
      </c>
    </row>
    <row r="6245" spans="1:7" x14ac:dyDescent="0.2">
      <c r="A6245" s="2" t="s">
        <v>92</v>
      </c>
      <c r="B6245" s="14">
        <v>38749</v>
      </c>
      <c r="C6245" s="2">
        <v>7.1428571428999998E-2</v>
      </c>
      <c r="D6245" s="2">
        <v>0</v>
      </c>
      <c r="E6245" s="2">
        <v>1</v>
      </c>
      <c r="F6245" s="2">
        <v>5.8719156121853702E-3</v>
      </c>
      <c r="G6245" s="2">
        <v>2</v>
      </c>
    </row>
    <row r="6246" spans="1:7" x14ac:dyDescent="0.2">
      <c r="A6246" s="2" t="s">
        <v>92</v>
      </c>
      <c r="B6246" s="14">
        <v>38777</v>
      </c>
      <c r="C6246" s="2">
        <v>8.1481481482000004E-2</v>
      </c>
      <c r="D6246" s="2">
        <v>0</v>
      </c>
      <c r="E6246" s="2">
        <v>1</v>
      </c>
      <c r="F6246" s="2">
        <v>9.8621320570114104E-3</v>
      </c>
      <c r="G6246" s="2">
        <v>2</v>
      </c>
    </row>
    <row r="6247" spans="1:7" x14ac:dyDescent="0.2">
      <c r="A6247" s="2" t="s">
        <v>92</v>
      </c>
      <c r="B6247" s="14">
        <v>38808</v>
      </c>
      <c r="C6247" s="2">
        <v>-0.14383561643000001</v>
      </c>
      <c r="D6247" s="2">
        <v>0</v>
      </c>
      <c r="E6247" s="2">
        <v>1</v>
      </c>
      <c r="F6247" s="2">
        <v>1.6103830757623502E-2</v>
      </c>
      <c r="G6247" s="2">
        <v>2</v>
      </c>
    </row>
    <row r="6248" spans="1:7" x14ac:dyDescent="0.2">
      <c r="A6248" s="2" t="s">
        <v>92</v>
      </c>
      <c r="B6248" s="14">
        <v>38838</v>
      </c>
      <c r="C6248" s="2">
        <v>-3.8485690081000001E-2</v>
      </c>
      <c r="D6248" s="2">
        <v>0</v>
      </c>
      <c r="E6248" s="2">
        <v>1</v>
      </c>
      <c r="F6248" s="2">
        <v>1.9232535507076501E-2</v>
      </c>
      <c r="G6248" s="2">
        <v>2</v>
      </c>
    </row>
    <row r="6249" spans="1:7" x14ac:dyDescent="0.2">
      <c r="A6249" s="2" t="s">
        <v>92</v>
      </c>
      <c r="B6249" s="14">
        <v>38869</v>
      </c>
      <c r="C6249" s="2">
        <v>5.8333333331999998E-2</v>
      </c>
      <c r="D6249" s="2">
        <v>0</v>
      </c>
      <c r="E6249" s="2">
        <v>1</v>
      </c>
      <c r="F6249" s="2">
        <v>1.9230965127601099E-2</v>
      </c>
      <c r="G6249" s="2">
        <v>2</v>
      </c>
    </row>
    <row r="6250" spans="1:7" x14ac:dyDescent="0.2">
      <c r="A6250" s="2" t="s">
        <v>92</v>
      </c>
      <c r="B6250" s="14">
        <v>38899</v>
      </c>
      <c r="C6250" s="2">
        <v>0</v>
      </c>
      <c r="D6250" s="2">
        <v>0</v>
      </c>
      <c r="E6250" s="2">
        <v>1</v>
      </c>
      <c r="F6250" s="2">
        <v>2.3467191841408899E-2</v>
      </c>
      <c r="G6250" s="2">
        <v>2</v>
      </c>
    </row>
    <row r="6251" spans="1:7" x14ac:dyDescent="0.2">
      <c r="A6251" s="2" t="s">
        <v>92</v>
      </c>
      <c r="B6251" s="14">
        <v>38930</v>
      </c>
      <c r="C6251" s="2">
        <v>0.23614173227999999</v>
      </c>
      <c r="D6251" s="2">
        <v>0</v>
      </c>
      <c r="E6251" s="2">
        <v>1</v>
      </c>
      <c r="F6251" s="2">
        <v>3.8095331664249499E-2</v>
      </c>
      <c r="G6251" s="2">
        <v>2</v>
      </c>
    </row>
    <row r="6252" spans="1:7" x14ac:dyDescent="0.2">
      <c r="A6252" s="2" t="s">
        <v>92</v>
      </c>
      <c r="B6252" s="14">
        <v>38961</v>
      </c>
      <c r="C6252" s="2">
        <v>8.2871520480999994E-2</v>
      </c>
      <c r="D6252" s="2">
        <v>0</v>
      </c>
      <c r="E6252" s="2">
        <v>1</v>
      </c>
      <c r="F6252" s="2">
        <v>4.2865629275075798E-2</v>
      </c>
      <c r="G6252" s="2">
        <v>2</v>
      </c>
    </row>
    <row r="6253" spans="1:7" x14ac:dyDescent="0.2">
      <c r="A6253" s="2" t="s">
        <v>92</v>
      </c>
      <c r="B6253" s="14">
        <v>38991</v>
      </c>
      <c r="C6253" s="2">
        <v>2.9411764706000001E-2</v>
      </c>
      <c r="D6253" s="2">
        <v>0</v>
      </c>
      <c r="E6253" s="2">
        <v>1</v>
      </c>
      <c r="F6253" s="2">
        <v>4.2660244661938802E-2</v>
      </c>
      <c r="G6253" s="2">
        <v>2</v>
      </c>
    </row>
    <row r="6254" spans="1:7" x14ac:dyDescent="0.2">
      <c r="A6254" s="2" t="s">
        <v>92</v>
      </c>
      <c r="B6254" s="14">
        <v>39022</v>
      </c>
      <c r="C6254" s="2">
        <v>0.10857142857</v>
      </c>
      <c r="D6254" s="2">
        <v>0</v>
      </c>
      <c r="E6254" s="2">
        <v>1</v>
      </c>
      <c r="F6254" s="2">
        <v>4.7118765066532502E-2</v>
      </c>
      <c r="G6254" s="2">
        <v>2</v>
      </c>
    </row>
    <row r="6255" spans="1:7" x14ac:dyDescent="0.2">
      <c r="A6255" s="2" t="s">
        <v>92</v>
      </c>
      <c r="B6255" s="14">
        <v>39052</v>
      </c>
      <c r="C6255" s="2">
        <v>-3.0927835051999999E-2</v>
      </c>
      <c r="D6255" s="2">
        <v>0</v>
      </c>
      <c r="E6255" s="2">
        <v>1</v>
      </c>
      <c r="F6255" s="2">
        <v>5.1140953338762701E-2</v>
      </c>
      <c r="G6255" s="2">
        <v>2</v>
      </c>
    </row>
    <row r="6256" spans="1:7" x14ac:dyDescent="0.2">
      <c r="A6256" s="2" t="s">
        <v>92</v>
      </c>
      <c r="B6256" s="14">
        <v>39083</v>
      </c>
      <c r="C6256" s="2">
        <v>0.24468085106000001</v>
      </c>
      <c r="D6256" s="2">
        <v>0</v>
      </c>
      <c r="E6256" s="2">
        <v>1</v>
      </c>
      <c r="F6256" s="2">
        <v>4.8503693361418597E-2</v>
      </c>
      <c r="G6256" s="2">
        <v>2</v>
      </c>
    </row>
    <row r="6257" spans="1:7" x14ac:dyDescent="0.2">
      <c r="A6257" s="2" t="s">
        <v>92</v>
      </c>
      <c r="B6257" s="14">
        <v>39114</v>
      </c>
      <c r="C6257" s="2">
        <v>-5.9829059828999998E-2</v>
      </c>
      <c r="D6257" s="2">
        <v>0</v>
      </c>
      <c r="E6257" s="2">
        <v>1</v>
      </c>
      <c r="F6257" s="2">
        <v>5.5382746275389097E-2</v>
      </c>
      <c r="G6257" s="2">
        <v>2</v>
      </c>
    </row>
    <row r="6258" spans="1:7" x14ac:dyDescent="0.2">
      <c r="A6258" s="2" t="s">
        <v>92</v>
      </c>
      <c r="B6258" s="14">
        <v>39142</v>
      </c>
      <c r="C6258" s="2">
        <v>1.3636363635999999E-2</v>
      </c>
      <c r="D6258" s="2">
        <v>0</v>
      </c>
      <c r="E6258" s="2">
        <v>1</v>
      </c>
      <c r="F6258" s="2">
        <v>4.7065928052195498E-2</v>
      </c>
      <c r="G6258" s="2">
        <v>2</v>
      </c>
    </row>
    <row r="6259" spans="1:7" x14ac:dyDescent="0.2">
      <c r="A6259" s="2" t="s">
        <v>92</v>
      </c>
      <c r="B6259" s="14">
        <v>39173</v>
      </c>
      <c r="C6259" s="2">
        <v>8.9686098653999999E-2</v>
      </c>
      <c r="D6259" s="2">
        <v>0</v>
      </c>
      <c r="E6259" s="2">
        <v>1</v>
      </c>
      <c r="F6259" s="2">
        <v>4.5031816356501303E-2</v>
      </c>
      <c r="G6259" s="2">
        <v>2</v>
      </c>
    </row>
    <row r="6260" spans="1:7" x14ac:dyDescent="0.2">
      <c r="A6260" s="2" t="s">
        <v>92</v>
      </c>
      <c r="B6260" s="14">
        <v>39203</v>
      </c>
      <c r="C6260" s="2">
        <v>3.4495997861E-3</v>
      </c>
      <c r="D6260" s="2">
        <v>0</v>
      </c>
      <c r="E6260" s="2">
        <v>1</v>
      </c>
      <c r="F6260" s="2">
        <v>4.6285429245345303E-2</v>
      </c>
      <c r="G6260" s="2">
        <v>2</v>
      </c>
    </row>
    <row r="6261" spans="1:7" x14ac:dyDescent="0.2">
      <c r="A6261" s="2" t="s">
        <v>92</v>
      </c>
      <c r="B6261" s="14">
        <v>39234</v>
      </c>
      <c r="C6261" s="2">
        <v>0.16944680850999999</v>
      </c>
      <c r="D6261" s="2">
        <v>0</v>
      </c>
      <c r="E6261" s="2">
        <v>1</v>
      </c>
      <c r="F6261" s="2">
        <v>4.3265580144012897E-2</v>
      </c>
      <c r="G6261" s="2">
        <v>2</v>
      </c>
    </row>
    <row r="6262" spans="1:7" x14ac:dyDescent="0.2">
      <c r="A6262" s="2" t="s">
        <v>92</v>
      </c>
      <c r="B6262" s="14">
        <v>39264</v>
      </c>
      <c r="C6262" s="2">
        <v>6.9136161800999998E-4</v>
      </c>
      <c r="D6262" s="2">
        <v>0</v>
      </c>
      <c r="E6262" s="2">
        <v>1</v>
      </c>
      <c r="F6262" s="2">
        <v>4.8784404918542301E-2</v>
      </c>
      <c r="G6262" s="2">
        <v>2</v>
      </c>
    </row>
    <row r="6263" spans="1:7" x14ac:dyDescent="0.2">
      <c r="A6263" s="2" t="s">
        <v>92</v>
      </c>
      <c r="B6263" s="14">
        <v>39295</v>
      </c>
      <c r="C6263" s="2">
        <v>1.4181302504000001E-3</v>
      </c>
      <c r="D6263" s="2">
        <v>0</v>
      </c>
      <c r="E6263" s="2">
        <v>1</v>
      </c>
      <c r="F6263" s="2">
        <v>3.4714792497359002E-2</v>
      </c>
      <c r="G6263" s="2">
        <v>2</v>
      </c>
    </row>
    <row r="6264" spans="1:7" x14ac:dyDescent="0.2">
      <c r="A6264" s="2" t="s">
        <v>92</v>
      </c>
      <c r="B6264" s="14">
        <v>39326</v>
      </c>
      <c r="C6264" s="2">
        <v>9.4408133626999995E-3</v>
      </c>
      <c r="D6264" s="2">
        <v>0</v>
      </c>
      <c r="E6264" s="2">
        <v>1</v>
      </c>
      <c r="F6264" s="2">
        <v>3.6249534022732198E-2</v>
      </c>
      <c r="G6264" s="2">
        <v>2</v>
      </c>
    </row>
    <row r="6265" spans="1:7" x14ac:dyDescent="0.2">
      <c r="A6265" s="2" t="s">
        <v>92</v>
      </c>
      <c r="B6265" s="14">
        <v>39356</v>
      </c>
      <c r="C6265" s="2">
        <v>4.3165467627E-2</v>
      </c>
      <c r="D6265" s="2">
        <v>0</v>
      </c>
      <c r="E6265" s="2">
        <v>1</v>
      </c>
      <c r="F6265" s="2">
        <v>3.6114326101194603E-2</v>
      </c>
      <c r="G6265" s="2">
        <v>2</v>
      </c>
    </row>
    <row r="6266" spans="1:7" x14ac:dyDescent="0.2">
      <c r="A6266" s="2" t="s">
        <v>92</v>
      </c>
      <c r="B6266" s="14">
        <v>39387</v>
      </c>
      <c r="C6266" s="2">
        <v>-5.175862069E-2</v>
      </c>
      <c r="D6266" s="2">
        <v>0</v>
      </c>
      <c r="E6266" s="2">
        <v>1</v>
      </c>
      <c r="F6266" s="2">
        <v>3.4670827727779102E-2</v>
      </c>
      <c r="G6266" s="2">
        <v>2</v>
      </c>
    </row>
    <row r="6267" spans="1:7" x14ac:dyDescent="0.2">
      <c r="A6267" s="2" t="s">
        <v>92</v>
      </c>
      <c r="B6267" s="14">
        <v>39417</v>
      </c>
      <c r="C6267" s="2">
        <v>-6.5602385542E-2</v>
      </c>
      <c r="D6267" s="2">
        <v>0</v>
      </c>
      <c r="E6267" s="2">
        <v>1</v>
      </c>
      <c r="F6267" s="2">
        <v>3.3240586364967302E-2</v>
      </c>
      <c r="G6267" s="2">
        <v>2</v>
      </c>
    </row>
    <row r="6268" spans="1:7" x14ac:dyDescent="0.2">
      <c r="A6268" s="2" t="s">
        <v>92</v>
      </c>
      <c r="B6268" s="14">
        <v>39448</v>
      </c>
      <c r="C6268" s="2">
        <v>-4.6507102549999998E-2</v>
      </c>
      <c r="D6268" s="2">
        <v>0</v>
      </c>
      <c r="E6268" s="2">
        <v>1</v>
      </c>
      <c r="F6268" s="2">
        <v>2.66574045785643E-2</v>
      </c>
      <c r="G6268" s="2">
        <v>2</v>
      </c>
    </row>
    <row r="6269" spans="1:7" x14ac:dyDescent="0.2">
      <c r="A6269" s="2" t="s">
        <v>92</v>
      </c>
      <c r="B6269" s="14">
        <v>39479</v>
      </c>
      <c r="C6269" s="2">
        <v>-2.4489795918000001E-2</v>
      </c>
      <c r="D6269" s="19">
        <v>4.7420831999999999E-5</v>
      </c>
      <c r="E6269" s="2">
        <v>1</v>
      </c>
      <c r="F6269" s="2">
        <v>2.4922445961680102E-2</v>
      </c>
      <c r="G6269" s="2">
        <v>2</v>
      </c>
    </row>
    <row r="6270" spans="1:7" x14ac:dyDescent="0.2">
      <c r="A6270" s="2" t="s">
        <v>92</v>
      </c>
      <c r="B6270" s="14">
        <v>39508</v>
      </c>
      <c r="C6270" s="2">
        <v>0.12970711297000001</v>
      </c>
      <c r="D6270" s="2">
        <v>0</v>
      </c>
      <c r="E6270" s="2">
        <v>1</v>
      </c>
      <c r="F6270" s="2">
        <v>2.41828426099077E-2</v>
      </c>
      <c r="G6270" s="2">
        <v>2</v>
      </c>
    </row>
    <row r="6271" spans="1:7" x14ac:dyDescent="0.2">
      <c r="A6271" s="2" t="s">
        <v>92</v>
      </c>
      <c r="B6271" s="14">
        <v>39539</v>
      </c>
      <c r="C6271" s="2">
        <v>5.5555555557000001E-2</v>
      </c>
      <c r="D6271" s="2">
        <v>0</v>
      </c>
      <c r="E6271" s="2">
        <v>1</v>
      </c>
      <c r="F6271" s="2">
        <v>2.7536288391666101E-2</v>
      </c>
      <c r="G6271" s="2">
        <v>2</v>
      </c>
    </row>
    <row r="6272" spans="1:7" x14ac:dyDescent="0.2">
      <c r="A6272" s="2" t="s">
        <v>92</v>
      </c>
      <c r="B6272" s="14">
        <v>39569</v>
      </c>
      <c r="C6272" s="2">
        <v>6.5310608561000003E-2</v>
      </c>
      <c r="D6272" s="2">
        <v>0</v>
      </c>
      <c r="E6272" s="2">
        <v>1</v>
      </c>
      <c r="F6272" s="2">
        <v>2.7729181915041999E-2</v>
      </c>
      <c r="G6272" s="2">
        <v>2</v>
      </c>
    </row>
    <row r="6273" spans="1:7" x14ac:dyDescent="0.2">
      <c r="A6273" s="2" t="s">
        <v>92</v>
      </c>
      <c r="B6273" s="14">
        <v>39600</v>
      </c>
      <c r="C6273" s="2">
        <v>2.9981643890999998E-2</v>
      </c>
      <c r="D6273" s="2">
        <v>0</v>
      </c>
      <c r="E6273" s="2">
        <v>1</v>
      </c>
      <c r="F6273" s="2">
        <v>3.1058454017539299E-2</v>
      </c>
      <c r="G6273" s="2">
        <v>2</v>
      </c>
    </row>
    <row r="6274" spans="1:7" x14ac:dyDescent="0.2">
      <c r="A6274" s="2" t="s">
        <v>92</v>
      </c>
      <c r="B6274" s="14">
        <v>39630</v>
      </c>
      <c r="C6274" s="2">
        <v>-7.5907590760000004E-2</v>
      </c>
      <c r="D6274" s="2">
        <v>0</v>
      </c>
      <c r="E6274" s="2">
        <v>1</v>
      </c>
      <c r="F6274" s="2">
        <v>3.3451601876637399E-2</v>
      </c>
      <c r="G6274" s="2">
        <v>2</v>
      </c>
    </row>
    <row r="6275" spans="1:7" x14ac:dyDescent="0.2">
      <c r="A6275" s="2" t="s">
        <v>92</v>
      </c>
      <c r="B6275" s="14">
        <v>39661</v>
      </c>
      <c r="C6275" s="2">
        <v>4.6428571430000003E-2</v>
      </c>
      <c r="D6275" s="2">
        <v>0</v>
      </c>
      <c r="E6275" s="2">
        <v>1</v>
      </c>
      <c r="F6275" s="2">
        <v>2.89680571030482E-2</v>
      </c>
      <c r="G6275" s="2">
        <v>2</v>
      </c>
    </row>
    <row r="6276" spans="1:7" x14ac:dyDescent="0.2">
      <c r="A6276" s="2" t="s">
        <v>92</v>
      </c>
      <c r="B6276" s="14">
        <v>39692</v>
      </c>
      <c r="C6276" s="2">
        <v>-0.14675767917999999</v>
      </c>
      <c r="D6276" s="2">
        <v>0</v>
      </c>
      <c r="E6276" s="2">
        <v>1</v>
      </c>
      <c r="F6276" s="2">
        <v>3.0933582138532801E-2</v>
      </c>
      <c r="G6276" s="2">
        <v>2</v>
      </c>
    </row>
    <row r="6277" spans="1:7" x14ac:dyDescent="0.2">
      <c r="A6277" s="2" t="s">
        <v>92</v>
      </c>
      <c r="B6277" s="14">
        <v>39722</v>
      </c>
      <c r="C6277" s="2">
        <v>-7.9999999998000004E-3</v>
      </c>
      <c r="D6277" s="2">
        <v>1.3632387000000001E-4</v>
      </c>
      <c r="E6277" s="2">
        <v>1</v>
      </c>
      <c r="F6277" s="2">
        <v>2.3579369352284101E-2</v>
      </c>
      <c r="G6277" s="2">
        <v>2</v>
      </c>
    </row>
    <row r="6278" spans="1:7" x14ac:dyDescent="0.2">
      <c r="A6278" s="2" t="s">
        <v>92</v>
      </c>
      <c r="B6278" s="14">
        <v>39753</v>
      </c>
      <c r="C6278" s="2">
        <v>-0.15322580645</v>
      </c>
      <c r="D6278" s="2">
        <v>0</v>
      </c>
      <c r="E6278" s="2">
        <v>1</v>
      </c>
      <c r="F6278" s="2">
        <v>2.1735219957834E-2</v>
      </c>
      <c r="G6278" s="2">
        <v>2</v>
      </c>
    </row>
    <row r="6279" spans="1:7" x14ac:dyDescent="0.2">
      <c r="A6279" s="2" t="s">
        <v>92</v>
      </c>
      <c r="B6279" s="14">
        <v>39783</v>
      </c>
      <c r="C6279" s="2">
        <v>-7.1428571428999998E-2</v>
      </c>
      <c r="D6279" s="2">
        <v>0</v>
      </c>
      <c r="E6279" s="2">
        <v>1</v>
      </c>
      <c r="F6279" s="2">
        <v>1.5992761376082201E-2</v>
      </c>
      <c r="G6279" s="2">
        <v>2</v>
      </c>
    </row>
    <row r="6280" spans="1:7" x14ac:dyDescent="0.2">
      <c r="A6280" s="2" t="s">
        <v>93</v>
      </c>
      <c r="B6280" s="14">
        <v>37591</v>
      </c>
      <c r="C6280" s="2">
        <v>1.7341040464E-2</v>
      </c>
      <c r="D6280" s="2">
        <v>2.0654262E-3</v>
      </c>
      <c r="E6280" s="2">
        <v>1</v>
      </c>
      <c r="G6280" s="2">
        <v>2</v>
      </c>
    </row>
    <row r="6281" spans="1:7" x14ac:dyDescent="0.2">
      <c r="A6281" s="2" t="s">
        <v>93</v>
      </c>
      <c r="B6281" s="14">
        <v>37622</v>
      </c>
      <c r="C6281" s="2">
        <v>-3.4090909091000002E-2</v>
      </c>
      <c r="D6281" s="2">
        <v>6.7173381E-4</v>
      </c>
      <c r="E6281" s="2">
        <v>1</v>
      </c>
      <c r="G6281" s="2">
        <v>2</v>
      </c>
    </row>
    <row r="6282" spans="1:7" x14ac:dyDescent="0.2">
      <c r="A6282" s="2" t="s">
        <v>93</v>
      </c>
      <c r="B6282" s="14">
        <v>37653</v>
      </c>
      <c r="C6282" s="2">
        <v>-0.02</v>
      </c>
      <c r="D6282" s="2">
        <v>4.1168854999999998E-4</v>
      </c>
      <c r="E6282" s="2">
        <v>1</v>
      </c>
      <c r="G6282" s="2">
        <v>2</v>
      </c>
    </row>
    <row r="6283" spans="1:7" x14ac:dyDescent="0.2">
      <c r="A6283" s="2" t="s">
        <v>93</v>
      </c>
      <c r="B6283" s="14">
        <v>37681</v>
      </c>
      <c r="C6283" s="2">
        <v>5.1020408163999997E-2</v>
      </c>
      <c r="D6283" s="2">
        <v>5.8868178E-4</v>
      </c>
      <c r="E6283" s="2">
        <v>1</v>
      </c>
      <c r="G6283" s="2">
        <v>2</v>
      </c>
    </row>
    <row r="6284" spans="1:7" x14ac:dyDescent="0.2">
      <c r="A6284" s="2" t="s">
        <v>93</v>
      </c>
      <c r="B6284" s="14">
        <v>37712</v>
      </c>
      <c r="C6284" s="2">
        <v>5.6539120502000002E-2</v>
      </c>
      <c r="D6284" s="2">
        <v>-1.6504778000000001E-4</v>
      </c>
      <c r="E6284" s="2">
        <v>1</v>
      </c>
      <c r="G6284" s="2">
        <v>2</v>
      </c>
    </row>
    <row r="6285" spans="1:7" x14ac:dyDescent="0.2">
      <c r="A6285" s="2" t="s">
        <v>93</v>
      </c>
      <c r="B6285" s="14">
        <v>37742</v>
      </c>
      <c r="C6285" s="2">
        <v>0.22351727161000001</v>
      </c>
      <c r="D6285" s="2">
        <v>8.9736747999999997E-4</v>
      </c>
      <c r="E6285" s="2">
        <v>1</v>
      </c>
      <c r="G6285" s="2">
        <v>2</v>
      </c>
    </row>
    <row r="6286" spans="1:7" x14ac:dyDescent="0.2">
      <c r="A6286" s="2" t="s">
        <v>93</v>
      </c>
      <c r="B6286" s="14">
        <v>37773</v>
      </c>
      <c r="C6286" s="2">
        <v>-9.0909090908999998E-2</v>
      </c>
      <c r="D6286" s="2">
        <v>6.4590521000000003E-4</v>
      </c>
      <c r="E6286" s="2">
        <v>1</v>
      </c>
      <c r="G6286" s="2">
        <v>2</v>
      </c>
    </row>
    <row r="6287" spans="1:7" x14ac:dyDescent="0.2">
      <c r="A6287" s="2" t="s">
        <v>93</v>
      </c>
      <c r="B6287" s="14">
        <v>37803</v>
      </c>
      <c r="C6287" s="2">
        <v>0.1</v>
      </c>
      <c r="D6287" s="19">
        <v>3.8640326000000001E-5</v>
      </c>
      <c r="E6287" s="2">
        <v>1</v>
      </c>
      <c r="G6287" s="2">
        <v>2</v>
      </c>
    </row>
    <row r="6288" spans="1:7" x14ac:dyDescent="0.2">
      <c r="A6288" s="2" t="s">
        <v>93</v>
      </c>
      <c r="B6288" s="14">
        <v>37834</v>
      </c>
      <c r="C6288" s="2">
        <v>0.15909090909000001</v>
      </c>
      <c r="D6288" s="2">
        <v>1.8078505999999999E-4</v>
      </c>
      <c r="E6288" s="2">
        <v>1</v>
      </c>
      <c r="F6288" s="2">
        <v>4.0118228833413497E-2</v>
      </c>
      <c r="G6288" s="2">
        <v>2</v>
      </c>
    </row>
    <row r="6289" spans="1:7" x14ac:dyDescent="0.2">
      <c r="A6289" s="2" t="s">
        <v>93</v>
      </c>
      <c r="B6289" s="14">
        <v>37865</v>
      </c>
      <c r="C6289" s="2">
        <v>5.8823529410999997E-2</v>
      </c>
      <c r="D6289" s="2">
        <v>-1.8838393999999999E-4</v>
      </c>
      <c r="E6289" s="2">
        <v>1</v>
      </c>
      <c r="F6289" s="2">
        <v>4.4999128690032898E-2</v>
      </c>
      <c r="G6289" s="2">
        <v>2</v>
      </c>
    </row>
    <row r="6290" spans="1:7" x14ac:dyDescent="0.2">
      <c r="A6290" s="2" t="s">
        <v>93</v>
      </c>
      <c r="B6290" s="14">
        <v>37895</v>
      </c>
      <c r="C6290" s="2">
        <v>6.2592592591999993E-2</v>
      </c>
      <c r="D6290" s="2">
        <v>1.1610526000000001E-3</v>
      </c>
      <c r="E6290" s="2">
        <v>1</v>
      </c>
      <c r="F6290" s="2">
        <v>4.4950756153332397E-2</v>
      </c>
      <c r="G6290" s="2">
        <v>2</v>
      </c>
    </row>
    <row r="6291" spans="1:7" x14ac:dyDescent="0.2">
      <c r="A6291" s="2" t="s">
        <v>93</v>
      </c>
      <c r="B6291" s="14">
        <v>37926</v>
      </c>
      <c r="C6291" s="2">
        <v>-0.10073196235</v>
      </c>
      <c r="D6291" s="19">
        <v>2.7629545E-5</v>
      </c>
      <c r="E6291" s="2">
        <v>1</v>
      </c>
      <c r="F6291" s="2">
        <v>4.4963746549763997E-2</v>
      </c>
      <c r="G6291" s="2">
        <v>2</v>
      </c>
    </row>
    <row r="6292" spans="1:7" x14ac:dyDescent="0.2">
      <c r="A6292" s="2" t="s">
        <v>93</v>
      </c>
      <c r="B6292" s="14">
        <v>37956</v>
      </c>
      <c r="C6292" s="2">
        <v>7.7519379828999996E-3</v>
      </c>
      <c r="D6292" s="2">
        <v>8.0876069999999997E-4</v>
      </c>
      <c r="E6292" s="2">
        <v>1</v>
      </c>
      <c r="F6292" s="2">
        <v>3.5867411964668701E-2</v>
      </c>
      <c r="G6292" s="2">
        <v>2</v>
      </c>
    </row>
    <row r="6293" spans="1:7" x14ac:dyDescent="0.2">
      <c r="A6293" s="2" t="s">
        <v>93</v>
      </c>
      <c r="B6293" s="14">
        <v>37987</v>
      </c>
      <c r="C6293" s="2">
        <v>-5.7692307691999997E-2</v>
      </c>
      <c r="E6293" s="2">
        <v>1</v>
      </c>
      <c r="F6293" s="2">
        <v>3.8680077052509698E-2</v>
      </c>
      <c r="G6293" s="2">
        <v>2</v>
      </c>
    </row>
    <row r="6294" spans="1:7" x14ac:dyDescent="0.2">
      <c r="A6294" s="2" t="s">
        <v>93</v>
      </c>
      <c r="B6294" s="14">
        <v>38018</v>
      </c>
      <c r="C6294" s="2">
        <v>0</v>
      </c>
      <c r="E6294" s="2">
        <v>1</v>
      </c>
      <c r="F6294" s="2">
        <v>3.4295911143336598E-2</v>
      </c>
      <c r="G6294" s="2">
        <v>2</v>
      </c>
    </row>
    <row r="6295" spans="1:7" x14ac:dyDescent="0.2">
      <c r="A6295" s="2" t="s">
        <v>93</v>
      </c>
      <c r="B6295" s="14">
        <v>38047</v>
      </c>
      <c r="C6295" s="2">
        <v>4.0816326531000001E-2</v>
      </c>
      <c r="D6295" s="2">
        <v>9.2659657999999998E-4</v>
      </c>
      <c r="E6295" s="2">
        <v>1</v>
      </c>
      <c r="F6295" s="2">
        <v>2.9611673405227999E-2</v>
      </c>
      <c r="G6295" s="2">
        <v>2</v>
      </c>
    </row>
    <row r="6296" spans="1:7" x14ac:dyDescent="0.2">
      <c r="A6296" s="2" t="s">
        <v>93</v>
      </c>
      <c r="B6296" s="14">
        <v>38078</v>
      </c>
      <c r="C6296" s="2">
        <v>0</v>
      </c>
      <c r="D6296" s="2">
        <v>0</v>
      </c>
      <c r="E6296" s="2">
        <v>1</v>
      </c>
      <c r="F6296" s="2">
        <v>2.9040751382389599E-2</v>
      </c>
      <c r="G6296" s="2">
        <v>2</v>
      </c>
    </row>
    <row r="6297" spans="1:7" x14ac:dyDescent="0.2">
      <c r="A6297" s="2" t="s">
        <v>93</v>
      </c>
      <c r="B6297" s="14">
        <v>38108</v>
      </c>
      <c r="C6297" s="2">
        <v>-3.7630359931000001E-2</v>
      </c>
      <c r="D6297" s="2">
        <v>3.2669504E-4</v>
      </c>
      <c r="E6297" s="2">
        <v>1</v>
      </c>
      <c r="F6297" s="2">
        <v>2.7345428370718398E-2</v>
      </c>
      <c r="G6297" s="2">
        <v>2</v>
      </c>
    </row>
    <row r="6298" spans="1:7" x14ac:dyDescent="0.2">
      <c r="A6298" s="2" t="s">
        <v>93</v>
      </c>
      <c r="B6298" s="14">
        <v>38139</v>
      </c>
      <c r="C6298" s="2">
        <v>8.3333333334000004E-2</v>
      </c>
      <c r="D6298" s="2">
        <v>0</v>
      </c>
      <c r="E6298" s="2">
        <v>1</v>
      </c>
      <c r="F6298" s="2">
        <v>2.88936577268313E-2</v>
      </c>
      <c r="G6298" s="2">
        <v>2</v>
      </c>
    </row>
    <row r="6299" spans="1:7" x14ac:dyDescent="0.2">
      <c r="A6299" s="2" t="s">
        <v>93</v>
      </c>
      <c r="B6299" s="14">
        <v>38169</v>
      </c>
      <c r="C6299" s="2">
        <v>0</v>
      </c>
      <c r="D6299" s="2">
        <v>0</v>
      </c>
      <c r="E6299" s="2">
        <v>1</v>
      </c>
      <c r="F6299" s="2">
        <v>3.07363065321106E-2</v>
      </c>
      <c r="G6299" s="2">
        <v>2</v>
      </c>
    </row>
    <row r="6300" spans="1:7" x14ac:dyDescent="0.2">
      <c r="A6300" s="2" t="s">
        <v>93</v>
      </c>
      <c r="B6300" s="14">
        <v>38200</v>
      </c>
      <c r="C6300" s="2">
        <v>0.15384615384</v>
      </c>
      <c r="D6300" s="2">
        <v>5.4779595999999997E-4</v>
      </c>
      <c r="E6300" s="2">
        <v>1</v>
      </c>
      <c r="F6300" s="2">
        <v>2.1615974129941599E-2</v>
      </c>
      <c r="G6300" s="2">
        <v>2</v>
      </c>
    </row>
    <row r="6301" spans="1:7" x14ac:dyDescent="0.2">
      <c r="A6301" s="2" t="s">
        <v>93</v>
      </c>
      <c r="B6301" s="14">
        <v>38231</v>
      </c>
      <c r="C6301" s="2">
        <v>-3.3333333339999999E-3</v>
      </c>
      <c r="D6301" s="19">
        <v>6.2489424000000004E-5</v>
      </c>
      <c r="E6301" s="2">
        <v>1</v>
      </c>
      <c r="F6301" s="2">
        <v>2.5779491912940398E-2</v>
      </c>
      <c r="G6301" s="2">
        <v>2</v>
      </c>
    </row>
    <row r="6302" spans="1:7" x14ac:dyDescent="0.2">
      <c r="A6302" s="2" t="s">
        <v>93</v>
      </c>
      <c r="B6302" s="14">
        <v>38261</v>
      </c>
      <c r="C6302" s="2">
        <v>8.7959866220999994E-2</v>
      </c>
      <c r="D6302" s="2">
        <v>2.5303146999999999E-4</v>
      </c>
      <c r="E6302" s="2">
        <v>1</v>
      </c>
      <c r="F6302" s="2">
        <v>2.44403505705688E-2</v>
      </c>
      <c r="G6302" s="2">
        <v>2</v>
      </c>
    </row>
    <row r="6303" spans="1:7" x14ac:dyDescent="0.2">
      <c r="A6303" s="2" t="s">
        <v>93</v>
      </c>
      <c r="B6303" s="14">
        <v>38292</v>
      </c>
      <c r="C6303" s="2">
        <v>9.1300338147999996E-2</v>
      </c>
      <c r="D6303" s="2">
        <v>4.7556404000000004E-3</v>
      </c>
      <c r="E6303" s="2">
        <v>1</v>
      </c>
      <c r="F6303" s="2">
        <v>2.6846272455594698E-2</v>
      </c>
      <c r="G6303" s="2">
        <v>2</v>
      </c>
    </row>
    <row r="6304" spans="1:7" x14ac:dyDescent="0.2">
      <c r="A6304" s="2" t="s">
        <v>93</v>
      </c>
      <c r="B6304" s="14">
        <v>38322</v>
      </c>
      <c r="C6304" s="2">
        <v>9.8591549296999995E-2</v>
      </c>
      <c r="D6304" s="2">
        <v>-4.4249064999999998E-4</v>
      </c>
      <c r="E6304" s="2">
        <v>1</v>
      </c>
      <c r="F6304" s="2">
        <v>3.0190955186384101E-2</v>
      </c>
      <c r="G6304" s="2">
        <v>2</v>
      </c>
    </row>
    <row r="6305" spans="1:7" x14ac:dyDescent="0.2">
      <c r="A6305" s="2" t="s">
        <v>93</v>
      </c>
      <c r="B6305" s="14">
        <v>38353</v>
      </c>
      <c r="C6305" s="2">
        <v>-6.4102564102999998E-2</v>
      </c>
      <c r="D6305" s="2">
        <v>-3.1906359000000002E-2</v>
      </c>
      <c r="E6305" s="2">
        <v>1</v>
      </c>
      <c r="F6305" s="2">
        <v>3.0599103850258502E-2</v>
      </c>
      <c r="G6305" s="2">
        <v>2</v>
      </c>
    </row>
    <row r="6306" spans="1:7" x14ac:dyDescent="0.2">
      <c r="A6306" s="2" t="s">
        <v>93</v>
      </c>
      <c r="B6306" s="14">
        <v>38384</v>
      </c>
      <c r="C6306" s="2">
        <v>0.26027397260000001</v>
      </c>
      <c r="D6306" s="2">
        <v>-9.8755478E-4</v>
      </c>
      <c r="E6306" s="2">
        <v>1</v>
      </c>
      <c r="F6306" s="2">
        <v>2.8837339700848501E-2</v>
      </c>
      <c r="G6306" s="2">
        <v>2</v>
      </c>
    </row>
    <row r="6307" spans="1:7" x14ac:dyDescent="0.2">
      <c r="A6307" s="2" t="s">
        <v>93</v>
      </c>
      <c r="B6307" s="14">
        <v>38412</v>
      </c>
      <c r="C6307" s="2">
        <v>6.5217391304000005E-2</v>
      </c>
      <c r="D6307" s="2">
        <v>0</v>
      </c>
      <c r="E6307" s="2">
        <v>1</v>
      </c>
      <c r="F6307" s="2">
        <v>3.1880874844183102E-2</v>
      </c>
      <c r="G6307" s="2">
        <v>2</v>
      </c>
    </row>
    <row r="6308" spans="1:7" x14ac:dyDescent="0.2">
      <c r="A6308" s="2" t="s">
        <v>93</v>
      </c>
      <c r="B6308" s="14">
        <v>38443</v>
      </c>
      <c r="C6308" s="2">
        <v>7.5510204082000001E-2</v>
      </c>
      <c r="D6308" s="19">
        <v>3.5205630000000003E-5</v>
      </c>
      <c r="E6308" s="2">
        <v>1</v>
      </c>
      <c r="F6308" s="2">
        <v>3.3667127775406903E-2</v>
      </c>
      <c r="G6308" s="2">
        <v>2</v>
      </c>
    </row>
    <row r="6309" spans="1:7" x14ac:dyDescent="0.2">
      <c r="A6309" s="2" t="s">
        <v>93</v>
      </c>
      <c r="B6309" s="14">
        <v>38473</v>
      </c>
      <c r="C6309" s="2">
        <v>5.5691595358000001E-2</v>
      </c>
      <c r="D6309" s="19">
        <v>2.5456262E-7</v>
      </c>
      <c r="E6309" s="2">
        <v>1</v>
      </c>
      <c r="F6309" s="2">
        <v>3.3147537392637899E-2</v>
      </c>
      <c r="G6309" s="2">
        <v>2</v>
      </c>
    </row>
    <row r="6310" spans="1:7" x14ac:dyDescent="0.2">
      <c r="A6310" s="2" t="s">
        <v>93</v>
      </c>
      <c r="B6310" s="14">
        <v>38504</v>
      </c>
      <c r="C6310" s="2">
        <v>0.10071546504999999</v>
      </c>
      <c r="D6310" s="2">
        <v>0</v>
      </c>
      <c r="E6310" s="2">
        <v>1</v>
      </c>
      <c r="F6310" s="2">
        <v>3.19360931286813E-2</v>
      </c>
      <c r="G6310" s="2">
        <v>2</v>
      </c>
    </row>
    <row r="6311" spans="1:7" x14ac:dyDescent="0.2">
      <c r="A6311" s="2" t="s">
        <v>93</v>
      </c>
      <c r="B6311" s="14">
        <v>38534</v>
      </c>
      <c r="C6311" s="2">
        <v>0.16666666666999999</v>
      </c>
      <c r="D6311" s="2">
        <v>0</v>
      </c>
      <c r="E6311" s="2">
        <v>1</v>
      </c>
      <c r="F6311" s="2">
        <v>3.1734266970905103E-2</v>
      </c>
      <c r="G6311" s="2">
        <v>2</v>
      </c>
    </row>
    <row r="6312" spans="1:7" x14ac:dyDescent="0.2">
      <c r="A6312" s="2" t="s">
        <v>93</v>
      </c>
      <c r="B6312" s="14">
        <v>38565</v>
      </c>
      <c r="C6312" s="2">
        <v>-7.1428571428000007E-2</v>
      </c>
      <c r="D6312" s="2">
        <v>0</v>
      </c>
      <c r="E6312" s="2">
        <v>1</v>
      </c>
      <c r="F6312" s="2">
        <v>2.9914676777729798E-2</v>
      </c>
      <c r="G6312" s="2">
        <v>2</v>
      </c>
    </row>
    <row r="6313" spans="1:7" x14ac:dyDescent="0.2">
      <c r="A6313" s="2" t="s">
        <v>93</v>
      </c>
      <c r="B6313" s="14">
        <v>38596</v>
      </c>
      <c r="C6313" s="2">
        <v>4.6153846153E-2</v>
      </c>
      <c r="D6313" s="2">
        <v>0</v>
      </c>
      <c r="E6313" s="2">
        <v>1</v>
      </c>
      <c r="F6313" s="2">
        <v>2.0668449874105401E-2</v>
      </c>
      <c r="G6313" s="2">
        <v>2</v>
      </c>
    </row>
    <row r="6314" spans="1:7" x14ac:dyDescent="0.2">
      <c r="A6314" s="2" t="s">
        <v>93</v>
      </c>
      <c r="B6314" s="14">
        <v>38626</v>
      </c>
      <c r="C6314" s="2">
        <v>-1.4705882353999999E-2</v>
      </c>
      <c r="D6314" s="2">
        <v>0</v>
      </c>
      <c r="E6314" s="2">
        <v>1</v>
      </c>
      <c r="F6314" s="2">
        <v>1.9975939425491099E-2</v>
      </c>
      <c r="G6314" s="2">
        <v>2</v>
      </c>
    </row>
    <row r="6315" spans="1:7" x14ac:dyDescent="0.2">
      <c r="A6315" s="2" t="s">
        <v>93</v>
      </c>
      <c r="B6315" s="14">
        <v>38657</v>
      </c>
      <c r="C6315" s="2">
        <v>-3.7313432835999999E-2</v>
      </c>
      <c r="D6315" s="2">
        <v>0</v>
      </c>
      <c r="E6315" s="2">
        <v>1</v>
      </c>
      <c r="F6315" s="2">
        <v>1.7507889715813602E-2</v>
      </c>
      <c r="G6315" s="2">
        <v>2</v>
      </c>
    </row>
    <row r="6316" spans="1:7" x14ac:dyDescent="0.2">
      <c r="A6316" s="2" t="s">
        <v>93</v>
      </c>
      <c r="B6316" s="14">
        <v>38687</v>
      </c>
      <c r="C6316" s="2">
        <v>-0.13178294572999999</v>
      </c>
      <c r="D6316" s="2">
        <v>0</v>
      </c>
      <c r="E6316" s="2">
        <v>1</v>
      </c>
      <c r="F6316" s="2">
        <v>1.5002904342139E-2</v>
      </c>
      <c r="G6316" s="2">
        <v>2</v>
      </c>
    </row>
    <row r="6317" spans="1:7" x14ac:dyDescent="0.2">
      <c r="A6317" s="2" t="s">
        <v>93</v>
      </c>
      <c r="B6317" s="14">
        <v>38718</v>
      </c>
      <c r="C6317" s="2">
        <v>4.6428571427999998E-2</v>
      </c>
      <c r="D6317" s="2">
        <v>0</v>
      </c>
      <c r="E6317" s="2">
        <v>1</v>
      </c>
      <c r="F6317" s="2">
        <v>8.7671351855009693E-3</v>
      </c>
      <c r="G6317" s="2">
        <v>2</v>
      </c>
    </row>
    <row r="6318" spans="1:7" x14ac:dyDescent="0.2">
      <c r="A6318" s="2" t="s">
        <v>93</v>
      </c>
      <c r="B6318" s="14">
        <v>38749</v>
      </c>
      <c r="C6318" s="2">
        <v>6.9965870298000004E-3</v>
      </c>
      <c r="D6318" s="2">
        <v>0</v>
      </c>
      <c r="E6318" s="2">
        <v>1</v>
      </c>
      <c r="F6318" s="2">
        <v>5.0448740433461604E-3</v>
      </c>
      <c r="G6318" s="2">
        <v>2</v>
      </c>
    </row>
    <row r="6319" spans="1:7" x14ac:dyDescent="0.2">
      <c r="A6319" s="2" t="s">
        <v>93</v>
      </c>
      <c r="B6319" s="14">
        <v>38777</v>
      </c>
      <c r="C6319" s="2">
        <v>8.3036773431000004E-3</v>
      </c>
      <c r="D6319" s="2">
        <v>0</v>
      </c>
      <c r="E6319" s="2">
        <v>1</v>
      </c>
      <c r="F6319" s="2">
        <v>6.8343719930483099E-3</v>
      </c>
      <c r="G6319" s="2">
        <v>2</v>
      </c>
    </row>
    <row r="6320" spans="1:7" x14ac:dyDescent="0.2">
      <c r="A6320" s="2" t="s">
        <v>93</v>
      </c>
      <c r="B6320" s="14">
        <v>38808</v>
      </c>
      <c r="C6320" s="2">
        <v>-2.7731092437000001E-2</v>
      </c>
      <c r="D6320" s="2">
        <v>0</v>
      </c>
      <c r="E6320" s="2">
        <v>1</v>
      </c>
      <c r="F6320" s="2">
        <v>5.7602036335483399E-3</v>
      </c>
      <c r="G6320" s="2">
        <v>2</v>
      </c>
    </row>
    <row r="6321" spans="1:7" x14ac:dyDescent="0.2">
      <c r="A6321" s="2" t="s">
        <v>93</v>
      </c>
      <c r="B6321" s="14">
        <v>38838</v>
      </c>
      <c r="C6321" s="2">
        <v>7.0457320689000002E-3</v>
      </c>
      <c r="D6321" s="2">
        <v>0</v>
      </c>
      <c r="E6321" s="2">
        <v>1</v>
      </c>
      <c r="F6321" s="2">
        <v>5.4196527498980504E-3</v>
      </c>
      <c r="G6321" s="2">
        <v>2</v>
      </c>
    </row>
    <row r="6322" spans="1:7" x14ac:dyDescent="0.2">
      <c r="A6322" s="2" t="s">
        <v>93</v>
      </c>
      <c r="B6322" s="14">
        <v>38869</v>
      </c>
      <c r="C6322" s="2">
        <v>-8.0985915492999994E-2</v>
      </c>
      <c r="D6322" s="2">
        <v>0</v>
      </c>
      <c r="E6322" s="2">
        <v>1</v>
      </c>
      <c r="F6322" s="2">
        <v>6.80391434775174E-3</v>
      </c>
      <c r="G6322" s="2">
        <v>2</v>
      </c>
    </row>
    <row r="6323" spans="1:7" x14ac:dyDescent="0.2">
      <c r="A6323" s="2" t="s">
        <v>93</v>
      </c>
      <c r="B6323" s="14">
        <v>38899</v>
      </c>
      <c r="C6323" s="2">
        <v>9.1954022987999998E-2</v>
      </c>
      <c r="D6323" s="2">
        <v>0</v>
      </c>
      <c r="E6323" s="2">
        <v>1</v>
      </c>
      <c r="F6323" s="2">
        <v>8.2918302563341796E-3</v>
      </c>
      <c r="G6323" s="2">
        <v>2</v>
      </c>
    </row>
    <row r="6324" spans="1:7" x14ac:dyDescent="0.2">
      <c r="A6324" s="2" t="s">
        <v>93</v>
      </c>
      <c r="B6324" s="14">
        <v>38930</v>
      </c>
      <c r="C6324" s="2">
        <v>-8.7719298235000003E-3</v>
      </c>
      <c r="D6324" s="2">
        <v>0</v>
      </c>
      <c r="E6324" s="2">
        <v>1</v>
      </c>
      <c r="F6324" s="2">
        <v>1.72416992763162E-3</v>
      </c>
      <c r="G6324" s="2">
        <v>2</v>
      </c>
    </row>
    <row r="6325" spans="1:7" x14ac:dyDescent="0.2">
      <c r="A6325" s="2" t="s">
        <v>93</v>
      </c>
      <c r="B6325" s="14">
        <v>38961</v>
      </c>
      <c r="C6325" s="2">
        <v>6.1946902654999997E-2</v>
      </c>
      <c r="D6325" s="2">
        <v>0</v>
      </c>
      <c r="E6325" s="2">
        <v>1</v>
      </c>
      <c r="F6325" s="2">
        <v>1.2139204910305E-3</v>
      </c>
      <c r="G6325" s="2">
        <v>2</v>
      </c>
    </row>
    <row r="6326" spans="1:7" x14ac:dyDescent="0.2">
      <c r="A6326" s="2" t="s">
        <v>93</v>
      </c>
      <c r="B6326" s="14">
        <v>38991</v>
      </c>
      <c r="C6326" s="2">
        <v>4.9999999998999997E-2</v>
      </c>
      <c r="D6326" s="2">
        <v>0</v>
      </c>
      <c r="E6326" s="2">
        <v>1</v>
      </c>
      <c r="F6326" s="2">
        <v>2.6721033763571099E-3</v>
      </c>
      <c r="G6326" s="2">
        <v>2</v>
      </c>
    </row>
    <row r="6327" spans="1:7" x14ac:dyDescent="0.2">
      <c r="A6327" s="2" t="s">
        <v>93</v>
      </c>
      <c r="B6327" s="14">
        <v>39022</v>
      </c>
      <c r="C6327" s="2">
        <v>0.11111111110999999</v>
      </c>
      <c r="D6327" s="2">
        <v>0</v>
      </c>
      <c r="E6327" s="2">
        <v>1</v>
      </c>
      <c r="F6327" s="2">
        <v>4.8421272133827601E-3</v>
      </c>
      <c r="G6327" s="2">
        <v>2</v>
      </c>
    </row>
    <row r="6328" spans="1:7" x14ac:dyDescent="0.2">
      <c r="A6328" s="2" t="s">
        <v>93</v>
      </c>
      <c r="B6328" s="14">
        <v>39052</v>
      </c>
      <c r="C6328" s="2">
        <v>1.4299999999E-2</v>
      </c>
      <c r="D6328" s="2">
        <v>0</v>
      </c>
      <c r="E6328" s="2">
        <v>1</v>
      </c>
      <c r="F6328" s="2">
        <v>7.7429613615277899E-3</v>
      </c>
      <c r="G6328" s="2">
        <v>2</v>
      </c>
    </row>
    <row r="6329" spans="1:7" x14ac:dyDescent="0.2">
      <c r="A6329" s="2" t="s">
        <v>93</v>
      </c>
      <c r="B6329" s="14">
        <v>39083</v>
      </c>
      <c r="C6329" s="2">
        <v>7.0280700273999998E-3</v>
      </c>
      <c r="D6329" s="2">
        <v>0</v>
      </c>
      <c r="E6329" s="2">
        <v>1</v>
      </c>
      <c r="F6329" s="2">
        <v>1.01683070785413E-2</v>
      </c>
      <c r="G6329" s="2">
        <v>2</v>
      </c>
    </row>
    <row r="6330" spans="1:7" x14ac:dyDescent="0.2">
      <c r="A6330" s="2" t="s">
        <v>93</v>
      </c>
      <c r="B6330" s="14">
        <v>39114</v>
      </c>
      <c r="C6330" s="2">
        <v>2.2377622377E-2</v>
      </c>
      <c r="D6330" s="2">
        <v>0</v>
      </c>
      <c r="E6330" s="2">
        <v>1</v>
      </c>
      <c r="F6330" s="2">
        <v>7.6765615841269102E-3</v>
      </c>
      <c r="G6330" s="2">
        <v>2</v>
      </c>
    </row>
    <row r="6331" spans="1:7" x14ac:dyDescent="0.2">
      <c r="A6331" s="2" t="s">
        <v>93</v>
      </c>
      <c r="B6331" s="14">
        <v>39142</v>
      </c>
      <c r="C6331" s="2">
        <v>3.3515731875000003E-2</v>
      </c>
      <c r="D6331" s="2">
        <v>0</v>
      </c>
      <c r="E6331" s="2">
        <v>1</v>
      </c>
      <c r="F6331" s="2">
        <v>8.5490987219086108E-3</v>
      </c>
      <c r="G6331" s="2">
        <v>2</v>
      </c>
    </row>
    <row r="6332" spans="1:7" x14ac:dyDescent="0.2">
      <c r="A6332" s="2" t="s">
        <v>93</v>
      </c>
      <c r="B6332" s="14">
        <v>39173</v>
      </c>
      <c r="C6332" s="2">
        <v>0.15155526141</v>
      </c>
      <c r="D6332" s="2">
        <v>0</v>
      </c>
      <c r="E6332" s="2">
        <v>1</v>
      </c>
      <c r="F6332" s="2">
        <v>7.6125011006758104E-3</v>
      </c>
      <c r="G6332" s="2">
        <v>2</v>
      </c>
    </row>
    <row r="6333" spans="1:7" x14ac:dyDescent="0.2">
      <c r="A6333" s="2" t="s">
        <v>93</v>
      </c>
      <c r="B6333" s="14">
        <v>39203</v>
      </c>
      <c r="C6333" s="2">
        <v>4.5081109993000003E-2</v>
      </c>
      <c r="D6333" s="2">
        <v>0</v>
      </c>
      <c r="E6333" s="2">
        <v>1</v>
      </c>
      <c r="F6333" s="2">
        <v>1.04712489351368E-2</v>
      </c>
      <c r="G6333" s="2">
        <v>2</v>
      </c>
    </row>
    <row r="6334" spans="1:7" x14ac:dyDescent="0.2">
      <c r="A6334" s="2" t="s">
        <v>93</v>
      </c>
      <c r="B6334" s="14">
        <v>39234</v>
      </c>
      <c r="C6334" s="2">
        <v>1.6853932584E-2</v>
      </c>
      <c r="D6334" s="2">
        <v>0</v>
      </c>
      <c r="E6334" s="2">
        <v>1</v>
      </c>
      <c r="F6334" s="2">
        <v>8.4841800193497206E-3</v>
      </c>
      <c r="G6334" s="2">
        <v>2</v>
      </c>
    </row>
    <row r="6335" spans="1:7" x14ac:dyDescent="0.2">
      <c r="A6335" s="2" t="s">
        <v>93</v>
      </c>
      <c r="B6335" s="14">
        <v>39264</v>
      </c>
      <c r="C6335" s="2">
        <v>6.7403314916999996E-2</v>
      </c>
      <c r="D6335" s="2">
        <v>0</v>
      </c>
      <c r="E6335" s="2">
        <v>1</v>
      </c>
      <c r="F6335" s="2">
        <v>8.2416907522764003E-3</v>
      </c>
      <c r="G6335" s="2">
        <v>2</v>
      </c>
    </row>
    <row r="6336" spans="1:7" x14ac:dyDescent="0.2">
      <c r="A6336" s="2" t="s">
        <v>93</v>
      </c>
      <c r="B6336" s="14">
        <v>39295</v>
      </c>
      <c r="C6336" s="2">
        <v>0.25258799172000002</v>
      </c>
      <c r="D6336" s="2">
        <v>0</v>
      </c>
      <c r="E6336" s="2">
        <v>1</v>
      </c>
      <c r="F6336" s="2">
        <v>7.1991399898286004E-3</v>
      </c>
      <c r="G6336" s="2">
        <v>2</v>
      </c>
    </row>
    <row r="6337" spans="1:7" x14ac:dyDescent="0.2">
      <c r="A6337" s="2" t="s">
        <v>93</v>
      </c>
      <c r="B6337" s="14">
        <v>39326</v>
      </c>
      <c r="C6337" s="2">
        <v>0</v>
      </c>
      <c r="D6337" s="2">
        <v>0</v>
      </c>
      <c r="E6337" s="2">
        <v>1</v>
      </c>
      <c r="F6337" s="2">
        <v>1.4034376613322699E-2</v>
      </c>
      <c r="G6337" s="2">
        <v>2</v>
      </c>
    </row>
    <row r="6338" spans="1:7" x14ac:dyDescent="0.2">
      <c r="A6338" s="2" t="s">
        <v>93</v>
      </c>
      <c r="B6338" s="14">
        <v>39356</v>
      </c>
      <c r="C6338" s="2">
        <v>0</v>
      </c>
      <c r="D6338" s="2">
        <v>0</v>
      </c>
      <c r="E6338" s="2">
        <v>1</v>
      </c>
      <c r="F6338" s="2">
        <v>1.3079872896786599E-2</v>
      </c>
      <c r="G6338" s="2">
        <v>2</v>
      </c>
    </row>
    <row r="6339" spans="1:7" x14ac:dyDescent="0.2">
      <c r="A6339" s="2" t="s">
        <v>93</v>
      </c>
      <c r="B6339" s="14">
        <v>39387</v>
      </c>
      <c r="C6339" s="2">
        <v>0</v>
      </c>
      <c r="D6339" s="2">
        <v>0</v>
      </c>
      <c r="E6339" s="2">
        <v>1</v>
      </c>
      <c r="F6339" s="2">
        <v>8.68416074455481E-3</v>
      </c>
      <c r="G6339" s="2">
        <v>2</v>
      </c>
    </row>
    <row r="6340" spans="1:7" x14ac:dyDescent="0.2">
      <c r="A6340" s="2" t="s">
        <v>93</v>
      </c>
      <c r="B6340" s="14">
        <v>39417</v>
      </c>
      <c r="C6340" s="2">
        <v>0</v>
      </c>
      <c r="D6340" s="2">
        <v>0</v>
      </c>
      <c r="E6340" s="2">
        <v>1</v>
      </c>
      <c r="F6340" s="2">
        <v>7.4272069670470999E-3</v>
      </c>
      <c r="G6340" s="2">
        <v>2</v>
      </c>
    </row>
    <row r="6341" spans="1:7" x14ac:dyDescent="0.2">
      <c r="A6341" s="2" t="s">
        <v>93</v>
      </c>
      <c r="B6341" s="14">
        <v>39448</v>
      </c>
      <c r="D6341" s="2">
        <v>0</v>
      </c>
      <c r="E6341" s="2">
        <v>1</v>
      </c>
      <c r="F6341" s="2">
        <v>6.9469779227268498E-3</v>
      </c>
      <c r="G6341" s="2">
        <v>2</v>
      </c>
    </row>
    <row r="6342" spans="1:7" x14ac:dyDescent="0.2">
      <c r="A6342" s="2" t="s">
        <v>93</v>
      </c>
      <c r="B6342" s="14">
        <v>39479</v>
      </c>
      <c r="C6342" s="2">
        <v>0</v>
      </c>
      <c r="D6342" s="2">
        <v>0</v>
      </c>
      <c r="E6342" s="2">
        <v>1</v>
      </c>
      <c r="F6342" s="2">
        <v>5.67414446638035E-3</v>
      </c>
      <c r="G6342" s="2">
        <v>2</v>
      </c>
    </row>
    <row r="6343" spans="1:7" x14ac:dyDescent="0.2">
      <c r="A6343" s="2" t="s">
        <v>93</v>
      </c>
      <c r="B6343" s="14">
        <v>39508</v>
      </c>
      <c r="C6343" s="2">
        <v>4.1322314048999997E-2</v>
      </c>
      <c r="D6343" s="2">
        <v>0</v>
      </c>
      <c r="E6343" s="2">
        <v>1</v>
      </c>
      <c r="F6343" s="2">
        <v>-2.2288520630859899E-3</v>
      </c>
      <c r="G6343" s="2">
        <v>2</v>
      </c>
    </row>
    <row r="6344" spans="1:7" x14ac:dyDescent="0.2">
      <c r="A6344" s="2" t="s">
        <v>93</v>
      </c>
      <c r="B6344" s="14">
        <v>39539</v>
      </c>
      <c r="C6344" s="2">
        <v>0.26984126984000001</v>
      </c>
      <c r="D6344" s="2">
        <v>0</v>
      </c>
      <c r="E6344" s="2">
        <v>1</v>
      </c>
      <c r="F6344" s="2">
        <v>-1.2084819704472199E-3</v>
      </c>
      <c r="G6344" s="2">
        <v>2</v>
      </c>
    </row>
    <row r="6345" spans="1:7" x14ac:dyDescent="0.2">
      <c r="A6345" s="2" t="s">
        <v>93</v>
      </c>
      <c r="B6345" s="14">
        <v>39569</v>
      </c>
      <c r="C6345" s="2">
        <v>7.6231226595999999E-2</v>
      </c>
      <c r="D6345" s="2">
        <v>0</v>
      </c>
      <c r="E6345" s="2">
        <v>1</v>
      </c>
      <c r="F6345" s="2">
        <v>6.3999400465649002E-3</v>
      </c>
      <c r="G6345" s="2">
        <v>2</v>
      </c>
    </row>
    <row r="6346" spans="1:7" x14ac:dyDescent="0.2">
      <c r="A6346" s="2" t="s">
        <v>93</v>
      </c>
      <c r="B6346" s="14">
        <v>39600</v>
      </c>
      <c r="C6346" s="2">
        <v>0.72352941176999996</v>
      </c>
      <c r="D6346" s="2">
        <v>0</v>
      </c>
      <c r="E6346" s="2">
        <v>1</v>
      </c>
      <c r="F6346" s="2">
        <v>8.3116272898650992E-3</v>
      </c>
      <c r="G6346" s="2">
        <v>2</v>
      </c>
    </row>
    <row r="6347" spans="1:7" x14ac:dyDescent="0.2">
      <c r="A6347" s="2" t="s">
        <v>93</v>
      </c>
      <c r="B6347" s="14">
        <v>39630</v>
      </c>
      <c r="C6347" s="2">
        <v>-0.24914675768</v>
      </c>
      <c r="D6347" s="2">
        <v>0</v>
      </c>
      <c r="E6347" s="2">
        <v>1</v>
      </c>
      <c r="F6347" s="2">
        <v>3.0367501574727899E-2</v>
      </c>
      <c r="G6347" s="2">
        <v>2</v>
      </c>
    </row>
    <row r="6348" spans="1:7" x14ac:dyDescent="0.2">
      <c r="A6348" s="2" t="s">
        <v>93</v>
      </c>
      <c r="B6348" s="14">
        <v>39661</v>
      </c>
      <c r="C6348" s="2">
        <v>-0.10681818181</v>
      </c>
      <c r="D6348" s="2">
        <v>0</v>
      </c>
      <c r="E6348" s="2">
        <v>1</v>
      </c>
      <c r="F6348" s="2">
        <v>1.3794372128465701E-2</v>
      </c>
      <c r="G6348" s="2">
        <v>2</v>
      </c>
    </row>
    <row r="6349" spans="1:7" x14ac:dyDescent="0.2">
      <c r="A6349" s="2" t="s">
        <v>93</v>
      </c>
      <c r="B6349" s="14">
        <v>39692</v>
      </c>
      <c r="C6349" s="2">
        <v>-0.16284987276999999</v>
      </c>
      <c r="D6349" s="2">
        <v>0</v>
      </c>
      <c r="E6349" s="2">
        <v>1</v>
      </c>
      <c r="F6349" s="2">
        <v>1.0949308663170799E-2</v>
      </c>
      <c r="G6349" s="2">
        <v>2</v>
      </c>
    </row>
    <row r="6350" spans="1:7" x14ac:dyDescent="0.2">
      <c r="A6350" s="2" t="s">
        <v>93</v>
      </c>
      <c r="B6350" s="14">
        <v>39722</v>
      </c>
      <c r="C6350" s="2">
        <v>-2.7963525836000001E-2</v>
      </c>
      <c r="D6350" s="2">
        <v>0</v>
      </c>
      <c r="E6350" s="2">
        <v>1</v>
      </c>
      <c r="F6350" s="2">
        <v>5.7740835699581798E-3</v>
      </c>
      <c r="G6350" s="2">
        <v>2</v>
      </c>
    </row>
    <row r="6351" spans="1:7" x14ac:dyDescent="0.2">
      <c r="A6351" s="2" t="s">
        <v>93</v>
      </c>
      <c r="B6351" s="14">
        <v>39753</v>
      </c>
      <c r="C6351" s="2">
        <v>1.6078688417000001E-2</v>
      </c>
      <c r="D6351" s="2">
        <v>0</v>
      </c>
      <c r="E6351" s="2">
        <v>1</v>
      </c>
      <c r="F6351" s="2">
        <v>-2.7682123494597701E-3</v>
      </c>
      <c r="G6351" s="2">
        <v>2</v>
      </c>
    </row>
    <row r="6352" spans="1:7" x14ac:dyDescent="0.2">
      <c r="A6352" s="2" t="s">
        <v>93</v>
      </c>
      <c r="B6352" s="14">
        <v>39783</v>
      </c>
      <c r="C6352" s="2">
        <v>0</v>
      </c>
      <c r="D6352" s="2">
        <v>0</v>
      </c>
      <c r="E6352" s="2">
        <v>1</v>
      </c>
      <c r="F6352" s="2">
        <v>-4.56566136668962E-3</v>
      </c>
      <c r="G6352" s="2">
        <v>2</v>
      </c>
    </row>
    <row r="6353" spans="1:7" x14ac:dyDescent="0.2">
      <c r="A6353" s="2" t="s">
        <v>94</v>
      </c>
      <c r="B6353" s="14">
        <v>37591</v>
      </c>
      <c r="C6353" s="2">
        <v>0</v>
      </c>
      <c r="D6353" s="2">
        <v>2.1406438000000001E-3</v>
      </c>
      <c r="E6353" s="2">
        <v>1</v>
      </c>
      <c r="G6353" s="2">
        <v>1</v>
      </c>
    </row>
    <row r="6354" spans="1:7" x14ac:dyDescent="0.2">
      <c r="A6354" s="2" t="s">
        <v>94</v>
      </c>
      <c r="B6354" s="14">
        <v>37622</v>
      </c>
      <c r="C6354" s="2">
        <v>4.4025157232999997E-2</v>
      </c>
      <c r="D6354" s="2">
        <v>2.0759811000000002E-3</v>
      </c>
      <c r="E6354" s="2">
        <v>1</v>
      </c>
      <c r="G6354" s="2">
        <v>1</v>
      </c>
    </row>
    <row r="6355" spans="1:7" x14ac:dyDescent="0.2">
      <c r="A6355" s="2" t="s">
        <v>94</v>
      </c>
      <c r="B6355" s="14">
        <v>37653</v>
      </c>
      <c r="C6355" s="2">
        <v>1.2048192772E-2</v>
      </c>
      <c r="D6355" s="2">
        <v>5.3314533000000004E-4</v>
      </c>
      <c r="E6355" s="2">
        <v>1</v>
      </c>
      <c r="G6355" s="2">
        <v>1</v>
      </c>
    </row>
    <row r="6356" spans="1:7" x14ac:dyDescent="0.2">
      <c r="A6356" s="2" t="s">
        <v>94</v>
      </c>
      <c r="B6356" s="14">
        <v>37681</v>
      </c>
      <c r="C6356" s="2">
        <v>2.9761904761000001E-2</v>
      </c>
      <c r="D6356" s="2">
        <v>1.8540290000000001E-3</v>
      </c>
      <c r="E6356" s="2">
        <v>1</v>
      </c>
      <c r="G6356" s="2">
        <v>1</v>
      </c>
    </row>
    <row r="6357" spans="1:7" x14ac:dyDescent="0.2">
      <c r="A6357" s="2" t="s">
        <v>94</v>
      </c>
      <c r="B6357" s="14">
        <v>37712</v>
      </c>
      <c r="C6357" s="2">
        <v>6.9364161849000003E-2</v>
      </c>
      <c r="D6357" s="2">
        <v>2.1888205999999999E-3</v>
      </c>
      <c r="E6357" s="2">
        <v>1</v>
      </c>
      <c r="G6357" s="2">
        <v>1</v>
      </c>
    </row>
    <row r="6358" spans="1:7" x14ac:dyDescent="0.2">
      <c r="A6358" s="2" t="s">
        <v>94</v>
      </c>
      <c r="B6358" s="14">
        <v>37742</v>
      </c>
      <c r="C6358" s="2">
        <v>6.2397714090999999E-2</v>
      </c>
      <c r="D6358" s="2">
        <v>1.5707008E-3</v>
      </c>
      <c r="E6358" s="2">
        <v>1</v>
      </c>
      <c r="G6358" s="2">
        <v>1</v>
      </c>
    </row>
    <row r="6359" spans="1:7" x14ac:dyDescent="0.2">
      <c r="A6359" s="2" t="s">
        <v>94</v>
      </c>
      <c r="B6359" s="14">
        <v>37773</v>
      </c>
      <c r="C6359" s="2">
        <v>4.7120418848999999E-2</v>
      </c>
      <c r="D6359" s="2">
        <v>6.5032014E-4</v>
      </c>
      <c r="E6359" s="2">
        <v>1</v>
      </c>
      <c r="G6359" s="2">
        <v>1</v>
      </c>
    </row>
    <row r="6360" spans="1:7" x14ac:dyDescent="0.2">
      <c r="A6360" s="2" t="s">
        <v>94</v>
      </c>
      <c r="B6360" s="14">
        <v>37803</v>
      </c>
      <c r="C6360" s="2">
        <v>8.4499999999E-2</v>
      </c>
      <c r="D6360" s="2">
        <v>-4.9983257999999999E-3</v>
      </c>
      <c r="E6360" s="2">
        <v>1</v>
      </c>
      <c r="G6360" s="2">
        <v>1</v>
      </c>
    </row>
    <row r="6361" spans="1:7" x14ac:dyDescent="0.2">
      <c r="A6361" s="2" t="s">
        <v>94</v>
      </c>
      <c r="B6361" s="14">
        <v>37834</v>
      </c>
      <c r="C6361" s="2">
        <v>0.13416320884999999</v>
      </c>
      <c r="D6361" s="2">
        <v>1.6381486000000001E-3</v>
      </c>
      <c r="E6361" s="2">
        <v>1</v>
      </c>
      <c r="F6361" s="2">
        <v>4.0249309845287497E-2</v>
      </c>
      <c r="G6361" s="2">
        <v>1</v>
      </c>
    </row>
    <row r="6362" spans="1:7" x14ac:dyDescent="0.2">
      <c r="A6362" s="2" t="s">
        <v>94</v>
      </c>
      <c r="B6362" s="14">
        <v>37865</v>
      </c>
      <c r="C6362" s="2">
        <v>7.7235772357999999E-2</v>
      </c>
      <c r="D6362" s="2">
        <v>-2.1447776999999999E-3</v>
      </c>
      <c r="E6362" s="2">
        <v>1</v>
      </c>
      <c r="F6362" s="2">
        <v>4.3706034788868003E-2</v>
      </c>
      <c r="G6362" s="2">
        <v>1</v>
      </c>
    </row>
    <row r="6363" spans="1:7" x14ac:dyDescent="0.2">
      <c r="A6363" s="2" t="s">
        <v>94</v>
      </c>
      <c r="B6363" s="14">
        <v>37895</v>
      </c>
      <c r="C6363" s="2">
        <v>-1.8830151827E-2</v>
      </c>
      <c r="D6363" s="2">
        <v>2.6950584999999999E-3</v>
      </c>
      <c r="E6363" s="2">
        <v>1</v>
      </c>
      <c r="F6363" s="2">
        <v>4.4892877385469702E-2</v>
      </c>
      <c r="G6363" s="2">
        <v>1</v>
      </c>
    </row>
    <row r="6364" spans="1:7" x14ac:dyDescent="0.2">
      <c r="A6364" s="2" t="s">
        <v>94</v>
      </c>
      <c r="B6364" s="14">
        <v>37926</v>
      </c>
      <c r="C6364" s="19">
        <v>-3.8497616515000002E-5</v>
      </c>
      <c r="D6364" s="2">
        <v>-5.1901140000000002E-4</v>
      </c>
      <c r="E6364" s="2">
        <v>1</v>
      </c>
      <c r="F6364" s="2">
        <v>4.24120863880528E-2</v>
      </c>
      <c r="G6364" s="2">
        <v>1</v>
      </c>
    </row>
    <row r="6365" spans="1:7" x14ac:dyDescent="0.2">
      <c r="A6365" s="2" t="s">
        <v>94</v>
      </c>
      <c r="B6365" s="14">
        <v>37956</v>
      </c>
      <c r="C6365" s="2">
        <v>-4.6192307693E-2</v>
      </c>
      <c r="D6365" s="2">
        <v>2.207248E-4</v>
      </c>
      <c r="E6365" s="2">
        <v>1</v>
      </c>
      <c r="F6365" s="2">
        <v>4.0761708824261098E-2</v>
      </c>
      <c r="G6365" s="2">
        <v>1</v>
      </c>
    </row>
    <row r="6366" spans="1:7" x14ac:dyDescent="0.2">
      <c r="A6366" s="2" t="s">
        <v>94</v>
      </c>
      <c r="B6366" s="14">
        <v>37987</v>
      </c>
      <c r="C6366" s="2">
        <v>-5.8833017459999998E-2</v>
      </c>
      <c r="E6366" s="2">
        <v>1</v>
      </c>
      <c r="F6366" s="2">
        <v>3.8223925533726902E-2</v>
      </c>
      <c r="G6366" s="2">
        <v>1</v>
      </c>
    </row>
    <row r="6367" spans="1:7" x14ac:dyDescent="0.2">
      <c r="A6367" s="2" t="s">
        <v>94</v>
      </c>
      <c r="B6367" s="14">
        <v>38018</v>
      </c>
      <c r="C6367" s="2">
        <v>7.1122536417999996E-2</v>
      </c>
      <c r="E6367" s="2">
        <v>1</v>
      </c>
      <c r="F6367" s="2">
        <v>3.4364941411908198E-2</v>
      </c>
      <c r="G6367" s="2">
        <v>1</v>
      </c>
    </row>
    <row r="6368" spans="1:7" x14ac:dyDescent="0.2">
      <c r="A6368" s="2" t="s">
        <v>94</v>
      </c>
      <c r="B6368" s="14">
        <v>38047</v>
      </c>
      <c r="C6368" s="2">
        <v>0</v>
      </c>
      <c r="D6368" s="2">
        <v>-1.1561245999999999E-3</v>
      </c>
      <c r="E6368" s="2">
        <v>1</v>
      </c>
      <c r="F6368" s="2">
        <v>3.2483876788458398E-2</v>
      </c>
      <c r="G6368" s="2">
        <v>1</v>
      </c>
    </row>
    <row r="6369" spans="1:7" x14ac:dyDescent="0.2">
      <c r="A6369" s="2" t="s">
        <v>94</v>
      </c>
      <c r="B6369" s="14">
        <v>38078</v>
      </c>
      <c r="C6369" s="2">
        <v>-0.1</v>
      </c>
      <c r="D6369" s="2">
        <v>-1.1713680999999999E-3</v>
      </c>
      <c r="E6369" s="2">
        <v>1</v>
      </c>
      <c r="F6369" s="2">
        <v>3.02217710017804E-2</v>
      </c>
      <c r="G6369" s="2">
        <v>1</v>
      </c>
    </row>
    <row r="6370" spans="1:7" x14ac:dyDescent="0.2">
      <c r="A6370" s="2" t="s">
        <v>94</v>
      </c>
      <c r="B6370" s="14">
        <v>38108</v>
      </c>
      <c r="C6370" s="2">
        <v>1.8360350078999998E-2</v>
      </c>
      <c r="D6370" s="2">
        <v>-9.1929407999999998E-4</v>
      </c>
      <c r="E6370" s="2">
        <v>1</v>
      </c>
      <c r="F6370" s="2">
        <v>2.81773949547512E-2</v>
      </c>
      <c r="G6370" s="2">
        <v>1</v>
      </c>
    </row>
    <row r="6371" spans="1:7" x14ac:dyDescent="0.2">
      <c r="A6371" s="2" t="s">
        <v>94</v>
      </c>
      <c r="B6371" s="14">
        <v>38139</v>
      </c>
      <c r="C6371" s="2">
        <v>0.15831842575999999</v>
      </c>
      <c r="D6371" s="2">
        <v>-1.7348785E-3</v>
      </c>
      <c r="E6371" s="2">
        <v>1</v>
      </c>
      <c r="F6371" s="2">
        <v>2.87701886747894E-2</v>
      </c>
      <c r="G6371" s="2">
        <v>1</v>
      </c>
    </row>
    <row r="6372" spans="1:7" x14ac:dyDescent="0.2">
      <c r="A6372" s="2" t="s">
        <v>94</v>
      </c>
      <c r="B6372" s="14">
        <v>38169</v>
      </c>
      <c r="C6372" s="2">
        <v>-3.8610038609000002E-3</v>
      </c>
      <c r="D6372" s="2">
        <v>0</v>
      </c>
      <c r="E6372" s="2">
        <v>1</v>
      </c>
      <c r="F6372" s="2">
        <v>3.4635867371048103E-2</v>
      </c>
      <c r="G6372" s="2">
        <v>1</v>
      </c>
    </row>
    <row r="6373" spans="1:7" x14ac:dyDescent="0.2">
      <c r="A6373" s="2" t="s">
        <v>94</v>
      </c>
      <c r="B6373" s="14">
        <v>38200</v>
      </c>
      <c r="C6373" s="2">
        <v>8.5271317828000001E-2</v>
      </c>
      <c r="D6373" s="2">
        <v>1.2886188000000001E-4</v>
      </c>
      <c r="E6373" s="2">
        <v>1</v>
      </c>
      <c r="F6373" s="2">
        <v>2.4381562309735101E-2</v>
      </c>
      <c r="G6373" s="2">
        <v>1</v>
      </c>
    </row>
    <row r="6374" spans="1:7" x14ac:dyDescent="0.2">
      <c r="A6374" s="2" t="s">
        <v>94</v>
      </c>
      <c r="B6374" s="14">
        <v>38231</v>
      </c>
      <c r="C6374" s="2">
        <v>4.8214285714000001E-2</v>
      </c>
      <c r="D6374" s="2">
        <v>1.2622430999999999E-3</v>
      </c>
      <c r="E6374" s="2">
        <v>1</v>
      </c>
      <c r="F6374" s="2">
        <v>2.44240524644431E-2</v>
      </c>
      <c r="G6374" s="2">
        <v>1</v>
      </c>
    </row>
    <row r="6375" spans="1:7" x14ac:dyDescent="0.2">
      <c r="A6375" s="2" t="s">
        <v>94</v>
      </c>
      <c r="B6375" s="14">
        <v>38261</v>
      </c>
      <c r="C6375" s="2">
        <v>6.9846678023E-2</v>
      </c>
      <c r="D6375" s="2">
        <v>2.3117212000000002E-3</v>
      </c>
      <c r="E6375" s="2">
        <v>1</v>
      </c>
      <c r="F6375" s="2">
        <v>2.5739447503603501E-2</v>
      </c>
      <c r="G6375" s="2">
        <v>1</v>
      </c>
    </row>
    <row r="6376" spans="1:7" x14ac:dyDescent="0.2">
      <c r="A6376" s="2" t="s">
        <v>94</v>
      </c>
      <c r="B6376" s="14">
        <v>38292</v>
      </c>
      <c r="C6376" s="2">
        <v>0.14012738853000001</v>
      </c>
      <c r="D6376" s="2">
        <v>5.4033007000000004E-4</v>
      </c>
      <c r="E6376" s="2">
        <v>1</v>
      </c>
      <c r="F6376" s="2">
        <v>3.04911600338231E-2</v>
      </c>
      <c r="G6376" s="2">
        <v>1</v>
      </c>
    </row>
    <row r="6377" spans="1:7" x14ac:dyDescent="0.2">
      <c r="A6377" s="2" t="s">
        <v>94</v>
      </c>
      <c r="B6377" s="14">
        <v>38322</v>
      </c>
      <c r="C6377" s="2">
        <v>-3.9106145251E-2</v>
      </c>
      <c r="D6377" s="2">
        <v>1.4721014999999999E-3</v>
      </c>
      <c r="E6377" s="2">
        <v>1</v>
      </c>
      <c r="F6377" s="2">
        <v>3.3905494860245099E-2</v>
      </c>
      <c r="G6377" s="2">
        <v>1</v>
      </c>
    </row>
    <row r="6378" spans="1:7" x14ac:dyDescent="0.2">
      <c r="A6378" s="2" t="s">
        <v>94</v>
      </c>
      <c r="B6378" s="14">
        <v>38353</v>
      </c>
      <c r="C6378" s="2">
        <v>1.1627906977E-2</v>
      </c>
      <c r="D6378" s="2">
        <v>-7.4649160000000005E-4</v>
      </c>
      <c r="E6378" s="2">
        <v>1</v>
      </c>
      <c r="F6378" s="2">
        <v>2.8111233870742301E-2</v>
      </c>
      <c r="G6378" s="2">
        <v>1</v>
      </c>
    </row>
    <row r="6379" spans="1:7" x14ac:dyDescent="0.2">
      <c r="A6379" s="2" t="s">
        <v>94</v>
      </c>
      <c r="B6379" s="14">
        <v>38384</v>
      </c>
      <c r="C6379" s="2">
        <v>0.22557471264000001</v>
      </c>
      <c r="D6379" s="2">
        <v>-6.6579943999999997E-3</v>
      </c>
      <c r="E6379" s="2">
        <v>1</v>
      </c>
      <c r="F6379" s="2">
        <v>2.8538482603584998E-2</v>
      </c>
      <c r="G6379" s="2">
        <v>1</v>
      </c>
    </row>
    <row r="6380" spans="1:7" x14ac:dyDescent="0.2">
      <c r="A6380" s="2" t="s">
        <v>94</v>
      </c>
      <c r="B6380" s="14">
        <v>38412</v>
      </c>
      <c r="C6380" s="2">
        <v>0.11606096131</v>
      </c>
      <c r="D6380" s="2">
        <v>-3.6107621E-3</v>
      </c>
      <c r="E6380" s="2">
        <v>1</v>
      </c>
      <c r="F6380" s="2">
        <v>3.2426594457993001E-2</v>
      </c>
      <c r="G6380" s="2">
        <v>1</v>
      </c>
    </row>
    <row r="6381" spans="1:7" x14ac:dyDescent="0.2">
      <c r="A6381" s="2" t="s">
        <v>94</v>
      </c>
      <c r="B6381" s="14">
        <v>38443</v>
      </c>
      <c r="C6381" s="2">
        <v>2.9411764706000001E-2</v>
      </c>
      <c r="D6381" s="2">
        <v>-9.2142174000000004E-4</v>
      </c>
      <c r="E6381" s="2">
        <v>1</v>
      </c>
      <c r="F6381" s="2">
        <v>3.4200202451021802E-2</v>
      </c>
      <c r="G6381" s="2">
        <v>1</v>
      </c>
    </row>
    <row r="6382" spans="1:7" x14ac:dyDescent="0.2">
      <c r="A6382" s="2" t="s">
        <v>94</v>
      </c>
      <c r="B6382" s="14">
        <v>38473</v>
      </c>
      <c r="C6382" s="2">
        <v>4.4447809969000003E-2</v>
      </c>
      <c r="D6382" s="2">
        <v>-4.6171694999999997E-3</v>
      </c>
      <c r="E6382" s="2">
        <v>1</v>
      </c>
      <c r="F6382" s="2">
        <v>3.2643795030022099E-2</v>
      </c>
      <c r="G6382" s="2">
        <v>1</v>
      </c>
    </row>
    <row r="6383" spans="1:7" x14ac:dyDescent="0.2">
      <c r="A6383" s="2" t="s">
        <v>94</v>
      </c>
      <c r="B6383" s="14">
        <v>38504</v>
      </c>
      <c r="C6383" s="2">
        <v>0.15747670079000001</v>
      </c>
      <c r="D6383" s="2">
        <v>-7.2683482000000001E-3</v>
      </c>
      <c r="E6383" s="2">
        <v>1</v>
      </c>
      <c r="F6383" s="2">
        <v>2.9789922372376799E-2</v>
      </c>
      <c r="G6383" s="2">
        <v>1</v>
      </c>
    </row>
    <row r="6384" spans="1:7" x14ac:dyDescent="0.2">
      <c r="A6384" s="2" t="s">
        <v>94</v>
      </c>
      <c r="B6384" s="14">
        <v>38534</v>
      </c>
      <c r="C6384" s="2">
        <v>0.18103448276</v>
      </c>
      <c r="D6384" s="2">
        <v>-3.7988382000000002E-3</v>
      </c>
      <c r="E6384" s="2">
        <v>1</v>
      </c>
      <c r="F6384" s="2">
        <v>3.51987897889929E-2</v>
      </c>
      <c r="G6384" s="2">
        <v>1</v>
      </c>
    </row>
    <row r="6385" spans="1:7" x14ac:dyDescent="0.2">
      <c r="A6385" s="2" t="s">
        <v>94</v>
      </c>
      <c r="B6385" s="14">
        <v>38565</v>
      </c>
      <c r="C6385" s="2">
        <v>-6.2832116787E-2</v>
      </c>
      <c r="D6385" s="2">
        <v>-4.4926921999999996E-3</v>
      </c>
      <c r="E6385" s="2">
        <v>1</v>
      </c>
      <c r="F6385" s="2">
        <v>3.3206177176796497E-2</v>
      </c>
      <c r="G6385" s="2">
        <v>1</v>
      </c>
    </row>
    <row r="6386" spans="1:7" x14ac:dyDescent="0.2">
      <c r="A6386" s="2" t="s">
        <v>94</v>
      </c>
      <c r="B6386" s="14">
        <v>38596</v>
      </c>
      <c r="C6386" s="2">
        <v>3.5890086609999997E-2</v>
      </c>
      <c r="D6386" s="2">
        <v>-2.1844057000000002E-3</v>
      </c>
      <c r="E6386" s="2">
        <v>1</v>
      </c>
      <c r="F6386" s="2">
        <v>2.5251713855074302E-2</v>
      </c>
      <c r="G6386" s="2">
        <v>1</v>
      </c>
    </row>
    <row r="6387" spans="1:7" x14ac:dyDescent="0.2">
      <c r="A6387" s="2" t="s">
        <v>94</v>
      </c>
      <c r="B6387" s="14">
        <v>38626</v>
      </c>
      <c r="C6387" s="2">
        <v>-4.9624060151000002E-2</v>
      </c>
      <c r="D6387" s="2">
        <v>-2.4492495999999999E-3</v>
      </c>
      <c r="E6387" s="2">
        <v>1</v>
      </c>
      <c r="F6387" s="2">
        <v>2.2851121475742801E-2</v>
      </c>
      <c r="G6387" s="2">
        <v>1</v>
      </c>
    </row>
    <row r="6388" spans="1:7" x14ac:dyDescent="0.2">
      <c r="A6388" s="2" t="s">
        <v>94</v>
      </c>
      <c r="B6388" s="14">
        <v>38657</v>
      </c>
      <c r="C6388" s="2">
        <v>-5.0632911393000003E-2</v>
      </c>
      <c r="D6388" s="2">
        <v>-4.4668901999999998E-4</v>
      </c>
      <c r="E6388" s="2">
        <v>1</v>
      </c>
      <c r="F6388" s="2">
        <v>2.0771546570592901E-2</v>
      </c>
      <c r="G6388" s="2">
        <v>1</v>
      </c>
    </row>
    <row r="6389" spans="1:7" x14ac:dyDescent="0.2">
      <c r="A6389" s="2" t="s">
        <v>94</v>
      </c>
      <c r="B6389" s="14">
        <v>38687</v>
      </c>
      <c r="C6389" s="2">
        <v>-5.8450000001000001E-2</v>
      </c>
      <c r="D6389" s="2">
        <v>-5.7533436000000002E-4</v>
      </c>
      <c r="E6389" s="2">
        <v>1</v>
      </c>
      <c r="F6389" s="2">
        <v>1.8168971126489901E-2</v>
      </c>
      <c r="G6389" s="2">
        <v>1</v>
      </c>
    </row>
    <row r="6390" spans="1:7" x14ac:dyDescent="0.2">
      <c r="A6390" s="2" t="s">
        <v>94</v>
      </c>
      <c r="B6390" s="14">
        <v>38718</v>
      </c>
      <c r="C6390" s="2">
        <v>0.10279149629000001</v>
      </c>
      <c r="D6390" s="2">
        <v>3.4099234999999999E-4</v>
      </c>
      <c r="E6390" s="2">
        <v>1</v>
      </c>
      <c r="F6390" s="2">
        <v>1.2201722914388801E-2</v>
      </c>
      <c r="G6390" s="2">
        <v>1</v>
      </c>
    </row>
    <row r="6391" spans="1:7" x14ac:dyDescent="0.2">
      <c r="A6391" s="2" t="s">
        <v>94</v>
      </c>
      <c r="B6391" s="14">
        <v>38749</v>
      </c>
      <c r="C6391" s="2">
        <v>1.3643659709E-2</v>
      </c>
      <c r="D6391" s="2">
        <v>-4.1576916999999999E-4</v>
      </c>
      <c r="E6391" s="2">
        <v>1</v>
      </c>
      <c r="F6391" s="2">
        <v>9.7901985091758299E-3</v>
      </c>
      <c r="G6391" s="2">
        <v>1</v>
      </c>
    </row>
    <row r="6392" spans="1:7" x14ac:dyDescent="0.2">
      <c r="A6392" s="2" t="s">
        <v>94</v>
      </c>
      <c r="B6392" s="14">
        <v>38777</v>
      </c>
      <c r="C6392" s="2">
        <v>-4.1963578780000003E-2</v>
      </c>
      <c r="D6392" s="19">
        <v>3.5247426999999998E-5</v>
      </c>
      <c r="E6392" s="2">
        <v>1</v>
      </c>
      <c r="F6392" s="2">
        <v>1.16957284214114E-2</v>
      </c>
      <c r="G6392" s="2">
        <v>1</v>
      </c>
    </row>
    <row r="6393" spans="1:7" x14ac:dyDescent="0.2">
      <c r="A6393" s="2" t="s">
        <v>94</v>
      </c>
      <c r="B6393" s="14">
        <v>38808</v>
      </c>
      <c r="C6393" s="2">
        <v>-1.6462809916999999E-2</v>
      </c>
      <c r="D6393" s="2">
        <v>-2.6600351999999999E-3</v>
      </c>
      <c r="E6393" s="2">
        <v>1</v>
      </c>
      <c r="F6393" s="2">
        <v>9.4651495242958801E-3</v>
      </c>
      <c r="G6393" s="2">
        <v>1</v>
      </c>
    </row>
    <row r="6394" spans="1:7" x14ac:dyDescent="0.2">
      <c r="A6394" s="2" t="s">
        <v>94</v>
      </c>
      <c r="B6394" s="14">
        <v>38838</v>
      </c>
      <c r="C6394" s="2">
        <v>-7.1537618696000005E-2</v>
      </c>
      <c r="D6394" s="2">
        <v>-2.7021635E-4</v>
      </c>
      <c r="E6394" s="2">
        <v>1</v>
      </c>
      <c r="F6394" s="2">
        <v>1.04903825179175E-2</v>
      </c>
      <c r="G6394" s="2">
        <v>1</v>
      </c>
    </row>
    <row r="6395" spans="1:7" x14ac:dyDescent="0.2">
      <c r="A6395" s="2" t="s">
        <v>94</v>
      </c>
      <c r="B6395" s="14">
        <v>38869</v>
      </c>
      <c r="C6395" s="2">
        <v>4.5287569574E-2</v>
      </c>
      <c r="D6395" s="2">
        <v>4.6071658000000003E-4</v>
      </c>
      <c r="E6395" s="2">
        <v>1</v>
      </c>
      <c r="F6395" s="2">
        <v>1.0079211147601901E-2</v>
      </c>
      <c r="G6395" s="2">
        <v>1</v>
      </c>
    </row>
    <row r="6396" spans="1:7" x14ac:dyDescent="0.2">
      <c r="A6396" s="2" t="s">
        <v>94</v>
      </c>
      <c r="B6396" s="14">
        <v>38899</v>
      </c>
      <c r="C6396" s="2">
        <v>3.8888198647000001E-2</v>
      </c>
      <c r="D6396" s="2">
        <v>4.1553361E-4</v>
      </c>
      <c r="E6396" s="2">
        <v>1</v>
      </c>
      <c r="F6396" s="2">
        <v>1.29172313490045E-2</v>
      </c>
      <c r="G6396" s="2">
        <v>1</v>
      </c>
    </row>
    <row r="6397" spans="1:7" x14ac:dyDescent="0.2">
      <c r="A6397" s="2" t="s">
        <v>94</v>
      </c>
      <c r="B6397" s="14">
        <v>38930</v>
      </c>
      <c r="C6397" s="2">
        <v>1.2505979634E-2</v>
      </c>
      <c r="D6397" s="2">
        <v>-3.5578359000000001E-4</v>
      </c>
      <c r="E6397" s="2">
        <v>1</v>
      </c>
      <c r="F6397" s="2">
        <v>3.39358325026962E-4</v>
      </c>
      <c r="G6397" s="2">
        <v>1</v>
      </c>
    </row>
    <row r="6398" spans="1:7" x14ac:dyDescent="0.2">
      <c r="A6398" s="2" t="s">
        <v>94</v>
      </c>
      <c r="B6398" s="14">
        <v>38961</v>
      </c>
      <c r="C6398" s="2">
        <v>4.4478941685000002E-2</v>
      </c>
      <c r="D6398" s="2">
        <v>5.3734751E-4</v>
      </c>
      <c r="E6398" s="2">
        <v>1</v>
      </c>
      <c r="F6398" s="2">
        <v>2.59871203665482E-4</v>
      </c>
      <c r="G6398" s="2">
        <v>1</v>
      </c>
    </row>
    <row r="6399" spans="1:7" x14ac:dyDescent="0.2">
      <c r="A6399" s="2" t="s">
        <v>94</v>
      </c>
      <c r="B6399" s="14">
        <v>38991</v>
      </c>
      <c r="C6399" s="2">
        <v>5.3085621972000001E-2</v>
      </c>
      <c r="D6399" s="2">
        <v>6.0138711999999995E-4</v>
      </c>
      <c r="E6399" s="2">
        <v>1</v>
      </c>
      <c r="F6399" s="2">
        <v>2.6499267598169601E-3</v>
      </c>
      <c r="G6399" s="2">
        <v>1</v>
      </c>
    </row>
    <row r="6400" spans="1:7" x14ac:dyDescent="0.2">
      <c r="A6400" s="2" t="s">
        <v>94</v>
      </c>
      <c r="B6400" s="14">
        <v>39022</v>
      </c>
      <c r="C6400" s="2">
        <v>9.8717516032000005E-2</v>
      </c>
      <c r="D6400" s="2">
        <v>-6.1334018000000002E-4</v>
      </c>
      <c r="E6400" s="2">
        <v>1</v>
      </c>
      <c r="F6400" s="2">
        <v>4.5452593192492202E-3</v>
      </c>
      <c r="G6400" s="2">
        <v>1</v>
      </c>
    </row>
    <row r="6401" spans="1:7" x14ac:dyDescent="0.2">
      <c r="A6401" s="2" t="s">
        <v>94</v>
      </c>
      <c r="B6401" s="14">
        <v>39052</v>
      </c>
      <c r="C6401" s="2">
        <v>-3.0717247864000001E-4</v>
      </c>
      <c r="D6401" s="2">
        <v>4.0254709999999999E-4</v>
      </c>
      <c r="E6401" s="2">
        <v>1</v>
      </c>
      <c r="F6401" s="2">
        <v>9.2906670808225195E-3</v>
      </c>
      <c r="G6401" s="2">
        <v>1</v>
      </c>
    </row>
    <row r="6402" spans="1:7" x14ac:dyDescent="0.2">
      <c r="A6402" s="2" t="s">
        <v>94</v>
      </c>
      <c r="B6402" s="14">
        <v>39083</v>
      </c>
      <c r="C6402" s="2">
        <v>2.2360647495999999E-2</v>
      </c>
      <c r="D6402" s="2">
        <v>-2.5340379000000001E-4</v>
      </c>
      <c r="E6402" s="2">
        <v>1</v>
      </c>
      <c r="F6402" s="2">
        <v>7.8648499524604301E-3</v>
      </c>
      <c r="G6402" s="2">
        <v>1</v>
      </c>
    </row>
    <row r="6403" spans="1:7" x14ac:dyDescent="0.2">
      <c r="A6403" s="2" t="s">
        <v>94</v>
      </c>
      <c r="B6403" s="14">
        <v>39114</v>
      </c>
      <c r="C6403" s="2">
        <v>-2.6912568318999998E-3</v>
      </c>
      <c r="D6403" s="2">
        <v>-8.9891383000000004E-4</v>
      </c>
      <c r="E6403" s="2">
        <v>1</v>
      </c>
      <c r="F6403" s="2">
        <v>7.2356104647075701E-3</v>
      </c>
      <c r="G6403" s="2">
        <v>1</v>
      </c>
    </row>
    <row r="6404" spans="1:7" x14ac:dyDescent="0.2">
      <c r="A6404" s="2" t="s">
        <v>94</v>
      </c>
      <c r="B6404" s="14">
        <v>39142</v>
      </c>
      <c r="C6404" s="2">
        <v>7.2558661974000002E-2</v>
      </c>
      <c r="D6404" s="19">
        <v>-3.2325654000000002E-5</v>
      </c>
      <c r="E6404" s="2">
        <v>1</v>
      </c>
      <c r="F6404" s="2">
        <v>6.7785217190956502E-3</v>
      </c>
      <c r="G6404" s="2">
        <v>1</v>
      </c>
    </row>
    <row r="6405" spans="1:7" x14ac:dyDescent="0.2">
      <c r="A6405" s="2" t="s">
        <v>94</v>
      </c>
      <c r="B6405" s="14">
        <v>39173</v>
      </c>
      <c r="C6405" s="2">
        <v>6.7688378034000005E-2</v>
      </c>
      <c r="D6405" s="2">
        <v>5.7793316E-4</v>
      </c>
      <c r="E6405" s="2">
        <v>1</v>
      </c>
      <c r="F6405" s="2">
        <v>7.4557214715328798E-3</v>
      </c>
      <c r="G6405" s="2">
        <v>1</v>
      </c>
    </row>
    <row r="6406" spans="1:7" x14ac:dyDescent="0.2">
      <c r="A6406" s="2" t="s">
        <v>94</v>
      </c>
      <c r="B6406" s="14">
        <v>39203</v>
      </c>
      <c r="C6406" s="2">
        <v>5.9106856923000002E-2</v>
      </c>
      <c r="D6406" s="2">
        <v>-6.5902463E-4</v>
      </c>
      <c r="E6406" s="2">
        <v>1</v>
      </c>
      <c r="F6406" s="2">
        <v>7.6266899207244896E-3</v>
      </c>
      <c r="G6406" s="2">
        <v>1</v>
      </c>
    </row>
    <row r="6407" spans="1:7" x14ac:dyDescent="0.2">
      <c r="A6407" s="2" t="s">
        <v>94</v>
      </c>
      <c r="B6407" s="14">
        <v>39234</v>
      </c>
      <c r="C6407" s="2">
        <v>5.4272517319999998E-2</v>
      </c>
      <c r="D6407" s="2">
        <v>-3.1716604000000002E-4</v>
      </c>
      <c r="E6407" s="2">
        <v>1</v>
      </c>
      <c r="F6407" s="2">
        <v>6.15993568059112E-3</v>
      </c>
      <c r="G6407" s="2">
        <v>1</v>
      </c>
    </row>
    <row r="6408" spans="1:7" x14ac:dyDescent="0.2">
      <c r="A6408" s="2" t="s">
        <v>94</v>
      </c>
      <c r="B6408" s="14">
        <v>39264</v>
      </c>
      <c r="C6408" s="2">
        <v>-6.9222343921000004E-2</v>
      </c>
      <c r="D6408" s="2">
        <v>-3.0534597999999999E-4</v>
      </c>
      <c r="E6408" s="2">
        <v>1</v>
      </c>
      <c r="F6408" s="2">
        <v>7.6647234369105E-3</v>
      </c>
      <c r="G6408" s="2">
        <v>1</v>
      </c>
    </row>
    <row r="6409" spans="1:7" x14ac:dyDescent="0.2">
      <c r="A6409" s="2" t="s">
        <v>94</v>
      </c>
      <c r="B6409" s="14">
        <v>39295</v>
      </c>
      <c r="C6409" s="2">
        <v>-1.4368086608E-2</v>
      </c>
      <c r="D6409" s="2">
        <v>-8.4960088E-4</v>
      </c>
      <c r="E6409" s="2">
        <v>1</v>
      </c>
      <c r="F6409" s="2">
        <v>2.5307092247320801E-3</v>
      </c>
      <c r="G6409" s="2">
        <v>1</v>
      </c>
    </row>
    <row r="6410" spans="1:7" x14ac:dyDescent="0.2">
      <c r="A6410" s="2" t="s">
        <v>94</v>
      </c>
      <c r="B6410" s="14">
        <v>39326</v>
      </c>
      <c r="C6410" s="2">
        <v>4.5965209708999998E-2</v>
      </c>
      <c r="D6410" s="2">
        <v>4.2177227000000001E-4</v>
      </c>
      <c r="E6410" s="2">
        <v>1</v>
      </c>
      <c r="F6410" s="2">
        <v>1.93162945471339E-3</v>
      </c>
      <c r="G6410" s="2">
        <v>1</v>
      </c>
    </row>
    <row r="6411" spans="1:7" x14ac:dyDescent="0.2">
      <c r="A6411" s="2" t="s">
        <v>94</v>
      </c>
      <c r="B6411" s="14">
        <v>39356</v>
      </c>
      <c r="C6411" s="2">
        <v>6.9581892270000001E-2</v>
      </c>
      <c r="D6411" s="2">
        <v>-2.6271813999999998E-3</v>
      </c>
      <c r="E6411" s="2">
        <v>1</v>
      </c>
      <c r="F6411" s="2">
        <v>1.12582115501583E-3</v>
      </c>
      <c r="G6411" s="2">
        <v>1</v>
      </c>
    </row>
    <row r="6412" spans="1:7" x14ac:dyDescent="0.2">
      <c r="A6412" s="2" t="s">
        <v>94</v>
      </c>
      <c r="B6412" s="14">
        <v>39387</v>
      </c>
      <c r="C6412" s="2">
        <v>-5.0200096047000001E-2</v>
      </c>
      <c r="D6412" s="2">
        <v>-4.9684928E-3</v>
      </c>
      <c r="E6412" s="2">
        <v>1</v>
      </c>
      <c r="F6412" s="2">
        <v>1.1382295815284299E-3</v>
      </c>
      <c r="G6412" s="2">
        <v>1</v>
      </c>
    </row>
    <row r="6413" spans="1:7" x14ac:dyDescent="0.2">
      <c r="A6413" s="2" t="s">
        <v>94</v>
      </c>
      <c r="B6413" s="14">
        <v>39417</v>
      </c>
      <c r="C6413" s="2">
        <v>8.0223817712999999E-3</v>
      </c>
      <c r="D6413" s="2">
        <v>-5.9587829999999996E-3</v>
      </c>
      <c r="E6413" s="2">
        <v>1</v>
      </c>
      <c r="F6413" s="2">
        <v>-1.9574076494046498E-3</v>
      </c>
      <c r="G6413" s="2">
        <v>1</v>
      </c>
    </row>
    <row r="6414" spans="1:7" x14ac:dyDescent="0.2">
      <c r="A6414" s="2" t="s">
        <v>94</v>
      </c>
      <c r="B6414" s="14">
        <v>39448</v>
      </c>
      <c r="C6414" s="2">
        <v>-9.7230117594000007E-2</v>
      </c>
      <c r="D6414" s="2">
        <v>-6.4492569999999999E-3</v>
      </c>
      <c r="E6414" s="2">
        <v>1</v>
      </c>
      <c r="F6414" s="2">
        <v>-3.3057843728391302E-3</v>
      </c>
      <c r="G6414" s="2">
        <v>1</v>
      </c>
    </row>
    <row r="6415" spans="1:7" x14ac:dyDescent="0.2">
      <c r="A6415" s="2" t="s">
        <v>94</v>
      </c>
      <c r="B6415" s="14">
        <v>39479</v>
      </c>
      <c r="C6415" s="2">
        <v>0.10787485182999999</v>
      </c>
      <c r="D6415" s="2">
        <v>-2.2899808999999999E-3</v>
      </c>
      <c r="E6415" s="2">
        <v>1</v>
      </c>
      <c r="F6415" s="2">
        <v>-3.2817241039965802E-3</v>
      </c>
      <c r="G6415" s="2">
        <v>1</v>
      </c>
    </row>
    <row r="6416" spans="1:7" x14ac:dyDescent="0.2">
      <c r="A6416" s="2" t="s">
        <v>94</v>
      </c>
      <c r="B6416" s="14">
        <v>39508</v>
      </c>
      <c r="C6416" s="2">
        <v>0.13664478595999999</v>
      </c>
      <c r="D6416" s="2">
        <v>-4.3929494000000003E-3</v>
      </c>
      <c r="E6416" s="2">
        <v>1</v>
      </c>
      <c r="F6416" s="2">
        <v>-2.6792602333483898E-4</v>
      </c>
      <c r="G6416" s="2">
        <v>1</v>
      </c>
    </row>
    <row r="6417" spans="1:7" x14ac:dyDescent="0.2">
      <c r="A6417" s="2" t="s">
        <v>94</v>
      </c>
      <c r="B6417" s="14">
        <v>39539</v>
      </c>
      <c r="C6417" s="2">
        <v>0.29434258261000001</v>
      </c>
      <c r="D6417" s="2">
        <v>-1.275469E-3</v>
      </c>
      <c r="E6417" s="2">
        <v>1</v>
      </c>
      <c r="F6417" s="2">
        <v>2.3097855551875899E-3</v>
      </c>
      <c r="G6417" s="2">
        <v>1</v>
      </c>
    </row>
    <row r="6418" spans="1:7" x14ac:dyDescent="0.2">
      <c r="A6418" s="2" t="s">
        <v>94</v>
      </c>
      <c r="B6418" s="14">
        <v>39569</v>
      </c>
      <c r="C6418" s="2">
        <v>0.25958870815000001</v>
      </c>
      <c r="D6418" s="2">
        <v>-7.0101115999999996E-3</v>
      </c>
      <c r="E6418" s="2">
        <v>1</v>
      </c>
      <c r="F6418" s="2">
        <v>8.8731358411685592E-3</v>
      </c>
      <c r="G6418" s="2">
        <v>1</v>
      </c>
    </row>
    <row r="6419" spans="1:7" x14ac:dyDescent="0.2">
      <c r="A6419" s="2" t="s">
        <v>94</v>
      </c>
      <c r="B6419" s="14">
        <v>39600</v>
      </c>
      <c r="C6419" s="2">
        <v>0.48484663325999999</v>
      </c>
      <c r="D6419" s="2">
        <v>-2.2391594999999999E-3</v>
      </c>
      <c r="E6419" s="2">
        <v>1</v>
      </c>
      <c r="F6419" s="2">
        <v>1.78509253556173E-2</v>
      </c>
      <c r="G6419" s="2">
        <v>1</v>
      </c>
    </row>
    <row r="6420" spans="1:7" x14ac:dyDescent="0.2">
      <c r="A6420" s="2" t="s">
        <v>94</v>
      </c>
      <c r="B6420" s="14">
        <v>39630</v>
      </c>
      <c r="C6420" s="2">
        <v>-0.13661989218000001</v>
      </c>
      <c r="D6420" s="2">
        <v>-8.9336512999999996E-3</v>
      </c>
      <c r="E6420" s="2">
        <v>1</v>
      </c>
      <c r="F6420" s="2">
        <v>3.1475737836992097E-2</v>
      </c>
      <c r="G6420" s="2">
        <v>1</v>
      </c>
    </row>
    <row r="6421" spans="1:7" x14ac:dyDescent="0.2">
      <c r="A6421" s="2" t="s">
        <v>94</v>
      </c>
      <c r="B6421" s="14">
        <v>39661</v>
      </c>
      <c r="C6421" s="2">
        <v>-6.3486011154000002E-2</v>
      </c>
      <c r="D6421" s="2">
        <v>-4.2219325E-3</v>
      </c>
      <c r="E6421" s="2">
        <v>1</v>
      </c>
      <c r="F6421" s="2">
        <v>2.6738098824536101E-2</v>
      </c>
      <c r="G6421" s="2">
        <v>1</v>
      </c>
    </row>
    <row r="6422" spans="1:7" x14ac:dyDescent="0.2">
      <c r="A6422" s="2" t="s">
        <v>94</v>
      </c>
      <c r="B6422" s="14">
        <v>39692</v>
      </c>
      <c r="C6422" s="2">
        <v>-0.27823298895999998</v>
      </c>
      <c r="D6422" s="2">
        <v>-2.2925075999999998E-3</v>
      </c>
      <c r="E6422" s="2">
        <v>1</v>
      </c>
      <c r="F6422" s="2">
        <v>2.2055373190376999E-2</v>
      </c>
      <c r="G6422" s="2">
        <v>1</v>
      </c>
    </row>
    <row r="6423" spans="1:7" x14ac:dyDescent="0.2">
      <c r="A6423" s="2" t="s">
        <v>94</v>
      </c>
      <c r="B6423" s="14">
        <v>39722</v>
      </c>
      <c r="C6423" s="2">
        <v>-1.1211394725000001E-2</v>
      </c>
      <c r="D6423" s="2">
        <v>-1.2408295000000001E-3</v>
      </c>
      <c r="E6423" s="2">
        <v>1</v>
      </c>
      <c r="F6423" s="2">
        <v>1.11567285431225E-2</v>
      </c>
      <c r="G6423" s="2">
        <v>1</v>
      </c>
    </row>
    <row r="6424" spans="1:7" x14ac:dyDescent="0.2">
      <c r="A6424" s="2" t="s">
        <v>94</v>
      </c>
      <c r="B6424" s="14">
        <v>39753</v>
      </c>
      <c r="C6424" s="2">
        <v>7.3816838391999998E-2</v>
      </c>
      <c r="D6424" s="2">
        <v>-3.5012620999999998E-3</v>
      </c>
      <c r="E6424" s="2">
        <v>1</v>
      </c>
      <c r="F6424" s="2">
        <v>2.3957726401034698E-3</v>
      </c>
      <c r="G6424" s="2">
        <v>1</v>
      </c>
    </row>
    <row r="6425" spans="1:7" x14ac:dyDescent="0.2">
      <c r="A6425" s="2" t="s">
        <v>94</v>
      </c>
      <c r="B6425" s="14">
        <v>39783</v>
      </c>
      <c r="C6425" s="2">
        <v>3.3488623320999999E-2</v>
      </c>
      <c r="D6425" s="2">
        <v>-1.7912014E-3</v>
      </c>
      <c r="E6425" s="2">
        <v>1</v>
      </c>
      <c r="F6425" s="2">
        <v>-3.0737476278145199E-3</v>
      </c>
      <c r="G6425" s="2">
        <v>1</v>
      </c>
    </row>
    <row r="6426" spans="1:7" x14ac:dyDescent="0.2">
      <c r="A6426" s="2" t="s">
        <v>95</v>
      </c>
      <c r="B6426" s="14">
        <v>37591</v>
      </c>
      <c r="C6426" s="2">
        <v>0.12280701753999999</v>
      </c>
      <c r="D6426" s="2">
        <v>0</v>
      </c>
      <c r="E6426" s="2">
        <v>1</v>
      </c>
      <c r="G6426" s="2">
        <v>1</v>
      </c>
    </row>
    <row r="6427" spans="1:7" x14ac:dyDescent="0.2">
      <c r="A6427" s="2" t="s">
        <v>95</v>
      </c>
      <c r="B6427" s="14">
        <v>37622</v>
      </c>
      <c r="C6427" s="2">
        <v>2.5087344720000002E-2</v>
      </c>
      <c r="D6427" s="2">
        <v>0</v>
      </c>
      <c r="E6427" s="2">
        <v>1</v>
      </c>
      <c r="G6427" s="2">
        <v>1</v>
      </c>
    </row>
    <row r="6428" spans="1:7" x14ac:dyDescent="0.2">
      <c r="A6428" s="2" t="s">
        <v>95</v>
      </c>
      <c r="B6428" s="14">
        <v>37653</v>
      </c>
      <c r="C6428" s="2">
        <v>0</v>
      </c>
      <c r="D6428" s="2">
        <v>0</v>
      </c>
      <c r="E6428" s="2">
        <v>1</v>
      </c>
      <c r="G6428" s="2">
        <v>1</v>
      </c>
    </row>
    <row r="6429" spans="1:7" x14ac:dyDescent="0.2">
      <c r="A6429" s="2" t="s">
        <v>95</v>
      </c>
      <c r="B6429" s="14">
        <v>37681</v>
      </c>
      <c r="C6429" s="2">
        <v>3.0769230769000001E-2</v>
      </c>
      <c r="D6429" s="2">
        <v>0</v>
      </c>
      <c r="E6429" s="2">
        <v>1</v>
      </c>
      <c r="G6429" s="2">
        <v>1</v>
      </c>
    </row>
    <row r="6430" spans="1:7" x14ac:dyDescent="0.2">
      <c r="A6430" s="2" t="s">
        <v>95</v>
      </c>
      <c r="B6430" s="14">
        <v>37712</v>
      </c>
      <c r="C6430" s="2">
        <v>0.35595280388</v>
      </c>
      <c r="D6430" s="2">
        <v>0</v>
      </c>
      <c r="E6430" s="2">
        <v>1</v>
      </c>
      <c r="G6430" s="2">
        <v>1</v>
      </c>
    </row>
    <row r="6431" spans="1:7" x14ac:dyDescent="0.2">
      <c r="A6431" s="2" t="s">
        <v>95</v>
      </c>
      <c r="B6431" s="14">
        <v>37742</v>
      </c>
      <c r="C6431" s="2">
        <v>-2.2727272725999999E-2</v>
      </c>
      <c r="D6431" s="19">
        <v>1.8482166000000001E-5</v>
      </c>
      <c r="E6431" s="2">
        <v>1</v>
      </c>
      <c r="G6431" s="2">
        <v>1</v>
      </c>
    </row>
    <row r="6432" spans="1:7" x14ac:dyDescent="0.2">
      <c r="A6432" s="2" t="s">
        <v>95</v>
      </c>
      <c r="B6432" s="14">
        <v>37773</v>
      </c>
      <c r="C6432" s="2">
        <v>0.26279069767000002</v>
      </c>
      <c r="D6432" s="2">
        <v>0</v>
      </c>
      <c r="E6432" s="2">
        <v>1</v>
      </c>
      <c r="G6432" s="2">
        <v>1</v>
      </c>
    </row>
    <row r="6433" spans="1:7" x14ac:dyDescent="0.2">
      <c r="A6433" s="2" t="s">
        <v>95</v>
      </c>
      <c r="B6433" s="14">
        <v>37803</v>
      </c>
      <c r="C6433" s="2">
        <v>0.11783785647</v>
      </c>
      <c r="D6433" s="2">
        <v>4.4093825000000002E-4</v>
      </c>
      <c r="E6433" s="2">
        <v>1</v>
      </c>
      <c r="G6433" s="2">
        <v>1</v>
      </c>
    </row>
    <row r="6434" spans="1:7" x14ac:dyDescent="0.2">
      <c r="A6434" s="2" t="s">
        <v>95</v>
      </c>
      <c r="B6434" s="14">
        <v>37834</v>
      </c>
      <c r="C6434" s="2">
        <v>0.24584717608000001</v>
      </c>
      <c r="D6434" s="2">
        <v>8.5565627999999996E-4</v>
      </c>
      <c r="E6434" s="2">
        <v>1</v>
      </c>
      <c r="F6434" s="2">
        <v>5.6804906556139297E-2</v>
      </c>
      <c r="G6434" s="2">
        <v>1</v>
      </c>
    </row>
    <row r="6435" spans="1:7" x14ac:dyDescent="0.2">
      <c r="A6435" s="2" t="s">
        <v>95</v>
      </c>
      <c r="B6435" s="14">
        <v>37865</v>
      </c>
      <c r="C6435" s="2">
        <v>0</v>
      </c>
      <c r="D6435" s="2">
        <v>0</v>
      </c>
      <c r="E6435" s="2">
        <v>1</v>
      </c>
      <c r="F6435" s="2">
        <v>6.3360906369592199E-2</v>
      </c>
      <c r="G6435" s="2">
        <v>1</v>
      </c>
    </row>
    <row r="6436" spans="1:7" x14ac:dyDescent="0.2">
      <c r="A6436" s="2" t="s">
        <v>95</v>
      </c>
      <c r="B6436" s="14">
        <v>37895</v>
      </c>
      <c r="C6436" s="2">
        <v>0.13865447418999999</v>
      </c>
      <c r="D6436" s="2">
        <v>-1.8300470000000001E-4</v>
      </c>
      <c r="E6436" s="2">
        <v>1</v>
      </c>
      <c r="F6436" s="2">
        <v>6.2421202157631903E-2</v>
      </c>
      <c r="G6436" s="2">
        <v>1</v>
      </c>
    </row>
    <row r="6437" spans="1:7" x14ac:dyDescent="0.2">
      <c r="A6437" s="2" t="s">
        <v>95</v>
      </c>
      <c r="B6437" s="14">
        <v>37926</v>
      </c>
      <c r="C6437" s="2">
        <v>-5.7714958774E-2</v>
      </c>
      <c r="D6437" s="2">
        <v>1.8270715999999999E-2</v>
      </c>
      <c r="E6437" s="2">
        <v>1</v>
      </c>
      <c r="F6437" s="2">
        <v>5.5715514695881797E-2</v>
      </c>
      <c r="G6437" s="2">
        <v>1</v>
      </c>
    </row>
    <row r="6438" spans="1:7" x14ac:dyDescent="0.2">
      <c r="A6438" s="2" t="s">
        <v>95</v>
      </c>
      <c r="B6438" s="14">
        <v>37956</v>
      </c>
      <c r="C6438" s="2">
        <v>-3.7499999999999999E-2</v>
      </c>
      <c r="D6438" s="2">
        <v>4.2780777000000001E-4</v>
      </c>
      <c r="E6438" s="2">
        <v>1</v>
      </c>
      <c r="F6438" s="2">
        <v>5.4907397568162999E-2</v>
      </c>
      <c r="G6438" s="2">
        <v>1</v>
      </c>
    </row>
    <row r="6439" spans="1:7" x14ac:dyDescent="0.2">
      <c r="A6439" s="2" t="s">
        <v>95</v>
      </c>
      <c r="B6439" s="14">
        <v>37987</v>
      </c>
      <c r="C6439" s="2">
        <v>-3.3081126894000001E-2</v>
      </c>
      <c r="E6439" s="2">
        <v>1</v>
      </c>
      <c r="F6439" s="2">
        <v>4.6310621321323797E-2</v>
      </c>
      <c r="G6439" s="2">
        <v>1</v>
      </c>
    </row>
    <row r="6440" spans="1:7" x14ac:dyDescent="0.2">
      <c r="A6440" s="2" t="s">
        <v>95</v>
      </c>
      <c r="B6440" s="14">
        <v>38018</v>
      </c>
      <c r="C6440" s="2">
        <v>0.13427027026999999</v>
      </c>
      <c r="E6440" s="2">
        <v>1</v>
      </c>
      <c r="F6440" s="2">
        <v>4.2105611504246597E-2</v>
      </c>
      <c r="G6440" s="2">
        <v>1</v>
      </c>
    </row>
    <row r="6441" spans="1:7" x14ac:dyDescent="0.2">
      <c r="A6441" s="2" t="s">
        <v>95</v>
      </c>
      <c r="B6441" s="14">
        <v>38047</v>
      </c>
      <c r="C6441" s="2">
        <v>-3.4979031644999999E-2</v>
      </c>
      <c r="D6441" s="2">
        <v>1.1214325000000001E-3</v>
      </c>
      <c r="E6441" s="2">
        <v>1</v>
      </c>
      <c r="F6441" s="2">
        <v>3.8559260487186602E-2</v>
      </c>
      <c r="G6441" s="2">
        <v>1</v>
      </c>
    </row>
    <row r="6442" spans="1:7" x14ac:dyDescent="0.2">
      <c r="A6442" s="2" t="s">
        <v>95</v>
      </c>
      <c r="B6442" s="14">
        <v>38078</v>
      </c>
      <c r="C6442" s="2">
        <v>-6.1728395061000002E-2</v>
      </c>
      <c r="D6442" s="2">
        <v>1.0735963999999999E-3</v>
      </c>
      <c r="E6442" s="2">
        <v>1</v>
      </c>
      <c r="F6442" s="2">
        <v>3.77052470727091E-2</v>
      </c>
      <c r="G6442" s="2">
        <v>1</v>
      </c>
    </row>
    <row r="6443" spans="1:7" x14ac:dyDescent="0.2">
      <c r="A6443" s="2" t="s">
        <v>95</v>
      </c>
      <c r="B6443" s="14">
        <v>38108</v>
      </c>
      <c r="C6443" s="2">
        <v>-1.3157894737000001E-2</v>
      </c>
      <c r="D6443" s="2">
        <v>7.4795106999999998E-3</v>
      </c>
      <c r="E6443" s="2">
        <v>1</v>
      </c>
      <c r="F6443" s="2">
        <v>3.1649285828628901E-2</v>
      </c>
      <c r="G6443" s="2">
        <v>1</v>
      </c>
    </row>
    <row r="6444" spans="1:7" x14ac:dyDescent="0.2">
      <c r="A6444" s="2" t="s">
        <v>95</v>
      </c>
      <c r="B6444" s="14">
        <v>38139</v>
      </c>
      <c r="C6444" s="2">
        <v>-1.3333333207999999E-4</v>
      </c>
      <c r="D6444" s="2">
        <v>3.7376808E-3</v>
      </c>
      <c r="E6444" s="2">
        <v>1</v>
      </c>
      <c r="F6444" s="2">
        <v>3.2956761257573498E-2</v>
      </c>
      <c r="G6444" s="2">
        <v>1</v>
      </c>
    </row>
    <row r="6445" spans="1:7" x14ac:dyDescent="0.2">
      <c r="A6445" s="2" t="s">
        <v>95</v>
      </c>
      <c r="B6445" s="14">
        <v>38169</v>
      </c>
      <c r="C6445" s="2">
        <v>4.6610292014999999E-2</v>
      </c>
      <c r="D6445" s="2">
        <v>0</v>
      </c>
      <c r="E6445" s="2">
        <v>1</v>
      </c>
      <c r="F6445" s="2">
        <v>3.3679243216562398E-2</v>
      </c>
      <c r="G6445" s="2">
        <v>1</v>
      </c>
    </row>
    <row r="6446" spans="1:7" x14ac:dyDescent="0.2">
      <c r="A6446" s="2" t="s">
        <v>95</v>
      </c>
      <c r="B6446" s="14">
        <v>38200</v>
      </c>
      <c r="C6446" s="2">
        <v>0.1141025641</v>
      </c>
      <c r="D6446" s="2">
        <v>0</v>
      </c>
      <c r="E6446" s="2">
        <v>1</v>
      </c>
      <c r="F6446" s="2">
        <v>1.6868906684080798E-2</v>
      </c>
      <c r="G6446" s="2">
        <v>1</v>
      </c>
    </row>
    <row r="6447" spans="1:7" x14ac:dyDescent="0.2">
      <c r="A6447" s="2" t="s">
        <v>95</v>
      </c>
      <c r="B6447" s="14">
        <v>38231</v>
      </c>
      <c r="C6447" s="2">
        <v>0.30080552359000001</v>
      </c>
      <c r="D6447" s="2">
        <v>-1.873567E-3</v>
      </c>
      <c r="E6447" s="2">
        <v>1</v>
      </c>
      <c r="F6447" s="2">
        <v>1.56235280747087E-2</v>
      </c>
      <c r="G6447" s="2">
        <v>1</v>
      </c>
    </row>
    <row r="6448" spans="1:7" x14ac:dyDescent="0.2">
      <c r="A6448" s="2" t="s">
        <v>95</v>
      </c>
      <c r="B6448" s="14">
        <v>38261</v>
      </c>
      <c r="C6448" s="2">
        <v>0.23596066330000001</v>
      </c>
      <c r="D6448" s="2">
        <v>2.5828963000000001E-4</v>
      </c>
      <c r="E6448" s="2">
        <v>1</v>
      </c>
      <c r="F6448" s="2">
        <v>2.5402840970159699E-2</v>
      </c>
      <c r="G6448" s="2">
        <v>1</v>
      </c>
    </row>
    <row r="6449" spans="1:7" x14ac:dyDescent="0.2">
      <c r="A6449" s="2" t="s">
        <v>95</v>
      </c>
      <c r="B6449" s="14">
        <v>38292</v>
      </c>
      <c r="C6449" s="2">
        <v>-2.2087919995E-2</v>
      </c>
      <c r="D6449" s="2">
        <v>1.3650167000000001E-4</v>
      </c>
      <c r="E6449" s="2">
        <v>1</v>
      </c>
      <c r="F6449" s="2">
        <v>3.3736667524926697E-2</v>
      </c>
      <c r="G6449" s="2">
        <v>1</v>
      </c>
    </row>
    <row r="6450" spans="1:7" x14ac:dyDescent="0.2">
      <c r="A6450" s="2" t="s">
        <v>95</v>
      </c>
      <c r="B6450" s="14">
        <v>38322</v>
      </c>
      <c r="C6450" s="2">
        <v>5.8858151897000003E-4</v>
      </c>
      <c r="D6450" s="19">
        <v>6.0230114999999999E-5</v>
      </c>
      <c r="E6450" s="2">
        <v>1</v>
      </c>
      <c r="F6450" s="2">
        <v>3.3483459409934697E-2</v>
      </c>
      <c r="G6450" s="2">
        <v>1</v>
      </c>
    </row>
    <row r="6451" spans="1:7" x14ac:dyDescent="0.2">
      <c r="A6451" s="2" t="s">
        <v>95</v>
      </c>
      <c r="B6451" s="14">
        <v>38353</v>
      </c>
      <c r="C6451" s="2">
        <v>-3.6984196662999999E-2</v>
      </c>
      <c r="D6451" s="2">
        <v>1.0815192E-3</v>
      </c>
      <c r="E6451" s="2">
        <v>1</v>
      </c>
      <c r="F6451" s="2">
        <v>3.3462955921282497E-2</v>
      </c>
      <c r="G6451" s="2">
        <v>1</v>
      </c>
    </row>
    <row r="6452" spans="1:7" x14ac:dyDescent="0.2">
      <c r="A6452" s="2" t="s">
        <v>95</v>
      </c>
      <c r="B6452" s="14">
        <v>38384</v>
      </c>
      <c r="C6452" s="2">
        <v>7.6923076922000002E-3</v>
      </c>
      <c r="D6452" s="2">
        <v>2.1436458E-4</v>
      </c>
      <c r="E6452" s="2">
        <v>1</v>
      </c>
      <c r="F6452" s="2">
        <v>3.11556587721558E-2</v>
      </c>
      <c r="G6452" s="2">
        <v>1</v>
      </c>
    </row>
    <row r="6453" spans="1:7" x14ac:dyDescent="0.2">
      <c r="A6453" s="2" t="s">
        <v>95</v>
      </c>
      <c r="B6453" s="14">
        <v>38412</v>
      </c>
      <c r="C6453" s="2">
        <v>-1.3740458015E-2</v>
      </c>
      <c r="D6453" s="2">
        <v>1.7099586999999999E-2</v>
      </c>
      <c r="E6453" s="2">
        <v>1</v>
      </c>
      <c r="F6453" s="2">
        <v>2.8024827344383399E-2</v>
      </c>
      <c r="G6453" s="2">
        <v>1</v>
      </c>
    </row>
    <row r="6454" spans="1:7" x14ac:dyDescent="0.2">
      <c r="A6454" s="2" t="s">
        <v>95</v>
      </c>
      <c r="B6454" s="14">
        <v>38443</v>
      </c>
      <c r="C6454" s="2">
        <v>5.3609779676000002E-2</v>
      </c>
      <c r="D6454" s="2">
        <v>6.9420504999999997E-3</v>
      </c>
      <c r="E6454" s="2">
        <v>1</v>
      </c>
      <c r="F6454" s="2">
        <v>1.89466234777242E-2</v>
      </c>
      <c r="G6454" s="2">
        <v>1</v>
      </c>
    </row>
    <row r="6455" spans="1:7" x14ac:dyDescent="0.2">
      <c r="A6455" s="2" t="s">
        <v>95</v>
      </c>
      <c r="B6455" s="14">
        <v>38473</v>
      </c>
      <c r="C6455" s="2">
        <v>-3.8605978669999999E-2</v>
      </c>
      <c r="D6455" s="2">
        <v>1.1886631999999999E-2</v>
      </c>
      <c r="E6455" s="2">
        <v>1</v>
      </c>
      <c r="F6455" s="2">
        <v>1.3511855882973999E-2</v>
      </c>
      <c r="G6455" s="2">
        <v>1</v>
      </c>
    </row>
    <row r="6456" spans="1:7" x14ac:dyDescent="0.2">
      <c r="A6456" s="2" t="s">
        <v>95</v>
      </c>
      <c r="B6456" s="14">
        <v>38504</v>
      </c>
      <c r="C6456" s="2">
        <v>3.125E-2</v>
      </c>
      <c r="D6456" s="2">
        <v>5.4621714999999998E-3</v>
      </c>
      <c r="E6456" s="2">
        <v>1</v>
      </c>
      <c r="F6456" s="2">
        <v>1.31563820804739E-2</v>
      </c>
      <c r="G6456" s="2">
        <v>1</v>
      </c>
    </row>
    <row r="6457" spans="1:7" x14ac:dyDescent="0.2">
      <c r="A6457" s="2" t="s">
        <v>95</v>
      </c>
      <c r="B6457" s="14">
        <v>38534</v>
      </c>
      <c r="C6457" s="2">
        <v>3.8765343126000003E-2</v>
      </c>
      <c r="D6457" s="2">
        <v>6.6157114E-3</v>
      </c>
      <c r="E6457" s="2">
        <v>1</v>
      </c>
      <c r="F6457" s="2">
        <v>1.3952785863770901E-2</v>
      </c>
      <c r="G6457" s="2">
        <v>1</v>
      </c>
    </row>
    <row r="6458" spans="1:7" x14ac:dyDescent="0.2">
      <c r="A6458" s="2" t="s">
        <v>95</v>
      </c>
      <c r="B6458" s="14">
        <v>38565</v>
      </c>
      <c r="C6458" s="2">
        <v>-9.2493592090999999E-2</v>
      </c>
      <c r="D6458" s="2">
        <v>9.3726319000000003E-4</v>
      </c>
      <c r="E6458" s="2">
        <v>1</v>
      </c>
      <c r="F6458" s="2">
        <v>8.8423603796143092E-3</v>
      </c>
      <c r="G6458" s="2">
        <v>1</v>
      </c>
    </row>
    <row r="6459" spans="1:7" x14ac:dyDescent="0.2">
      <c r="A6459" s="2" t="s">
        <v>95</v>
      </c>
      <c r="B6459" s="14">
        <v>38596</v>
      </c>
      <c r="C6459" s="2">
        <v>-1.9528728212E-2</v>
      </c>
      <c r="D6459" s="2">
        <v>1.5418964E-3</v>
      </c>
      <c r="E6459" s="2">
        <v>1</v>
      </c>
      <c r="F6459" s="2">
        <v>6.2835039418841698E-3</v>
      </c>
      <c r="G6459" s="2">
        <v>1</v>
      </c>
    </row>
    <row r="6460" spans="1:7" x14ac:dyDescent="0.2">
      <c r="A6460" s="2" t="s">
        <v>95</v>
      </c>
      <c r="B6460" s="14">
        <v>38626</v>
      </c>
      <c r="C6460" s="2">
        <v>-6.7714178826000004E-2</v>
      </c>
      <c r="D6460" s="2">
        <v>-1.9931411E-3</v>
      </c>
      <c r="E6460" s="2">
        <v>1</v>
      </c>
      <c r="F6460" s="2">
        <v>5.5189797275229397E-3</v>
      </c>
      <c r="G6460" s="2">
        <v>1</v>
      </c>
    </row>
    <row r="6461" spans="1:7" x14ac:dyDescent="0.2">
      <c r="A6461" s="2" t="s">
        <v>95</v>
      </c>
      <c r="B6461" s="14">
        <v>38657</v>
      </c>
      <c r="C6461" s="2">
        <v>-0.21775892857000001</v>
      </c>
      <c r="D6461" s="2">
        <v>3.7362103000000002E-4</v>
      </c>
      <c r="E6461" s="2">
        <v>1</v>
      </c>
      <c r="F6461" s="2">
        <v>1.4909993369035201E-3</v>
      </c>
      <c r="G6461" s="2">
        <v>1</v>
      </c>
    </row>
    <row r="6462" spans="1:7" x14ac:dyDescent="0.2">
      <c r="A6462" s="2" t="s">
        <v>95</v>
      </c>
      <c r="B6462" s="14">
        <v>38687</v>
      </c>
      <c r="C6462" s="2">
        <v>-6.3918914292000001E-2</v>
      </c>
      <c r="D6462" s="2">
        <v>6.1150826999999998E-4</v>
      </c>
      <c r="E6462" s="2">
        <v>1</v>
      </c>
      <c r="F6462" s="2">
        <v>-2.5610056206315001E-3</v>
      </c>
      <c r="G6462" s="2">
        <v>1</v>
      </c>
    </row>
    <row r="6463" spans="1:7" x14ac:dyDescent="0.2">
      <c r="A6463" s="2" t="s">
        <v>95</v>
      </c>
      <c r="B6463" s="14">
        <v>38718</v>
      </c>
      <c r="C6463" s="2">
        <v>2.9550703670000001E-2</v>
      </c>
      <c r="D6463" s="2">
        <v>-1.2784643000000001E-3</v>
      </c>
      <c r="E6463" s="2">
        <v>1</v>
      </c>
      <c r="F6463" s="2">
        <v>-5.1611347119979297E-3</v>
      </c>
      <c r="G6463" s="2">
        <v>1</v>
      </c>
    </row>
    <row r="6464" spans="1:7" x14ac:dyDescent="0.2">
      <c r="A6464" s="2" t="s">
        <v>95</v>
      </c>
      <c r="B6464" s="14">
        <v>38749</v>
      </c>
      <c r="C6464" s="2">
        <v>-4.6535714286999999E-2</v>
      </c>
      <c r="D6464" s="2">
        <v>-5.3255545000000003E-4</v>
      </c>
      <c r="E6464" s="2">
        <v>1</v>
      </c>
      <c r="F6464" s="2">
        <v>-5.4384440986291697E-3</v>
      </c>
      <c r="G6464" s="2">
        <v>1</v>
      </c>
    </row>
    <row r="6465" spans="1:7" x14ac:dyDescent="0.2">
      <c r="A6465" s="2" t="s">
        <v>95</v>
      </c>
      <c r="B6465" s="14">
        <v>38777</v>
      </c>
      <c r="C6465" s="2">
        <v>-0.20090896605</v>
      </c>
      <c r="D6465" s="2">
        <v>-8.3986081999999997E-4</v>
      </c>
      <c r="E6465" s="2">
        <v>1</v>
      </c>
      <c r="F6465" s="2">
        <v>-4.0173451137523498E-3</v>
      </c>
      <c r="G6465" s="2">
        <v>1</v>
      </c>
    </row>
    <row r="6466" spans="1:7" x14ac:dyDescent="0.2">
      <c r="A6466" s="2" t="s">
        <v>95</v>
      </c>
      <c r="B6466" s="14">
        <v>38808</v>
      </c>
      <c r="C6466" s="2">
        <v>0.11698089828</v>
      </c>
      <c r="D6466" s="2">
        <v>-1.8975964000000001E-2</v>
      </c>
      <c r="E6466" s="2">
        <v>1</v>
      </c>
      <c r="F6466" s="2">
        <v>-8.49064514009501E-3</v>
      </c>
      <c r="G6466" s="2">
        <v>1</v>
      </c>
    </row>
    <row r="6467" spans="1:7" x14ac:dyDescent="0.2">
      <c r="A6467" s="2" t="s">
        <v>95</v>
      </c>
      <c r="B6467" s="14">
        <v>38838</v>
      </c>
      <c r="C6467" s="2">
        <v>-2.8673323823E-3</v>
      </c>
      <c r="D6467" s="2">
        <v>-6.8188178999999995E-4</v>
      </c>
      <c r="E6467" s="2">
        <v>1</v>
      </c>
      <c r="F6467" s="2">
        <v>-3.2074507279264302E-3</v>
      </c>
      <c r="G6467" s="2">
        <v>1</v>
      </c>
    </row>
    <row r="6468" spans="1:7" x14ac:dyDescent="0.2">
      <c r="A6468" s="2" t="s">
        <v>95</v>
      </c>
      <c r="B6468" s="14">
        <v>38869</v>
      </c>
      <c r="C6468" s="2">
        <v>-5.5909240476000002E-2</v>
      </c>
      <c r="D6468" s="2">
        <v>-6.2599365000000004E-4</v>
      </c>
      <c r="E6468" s="2">
        <v>1</v>
      </c>
      <c r="F6468" s="2">
        <v>3.0212937094879601E-3</v>
      </c>
      <c r="G6468" s="2">
        <v>1</v>
      </c>
    </row>
    <row r="6469" spans="1:7" x14ac:dyDescent="0.2">
      <c r="A6469" s="2" t="s">
        <v>95</v>
      </c>
      <c r="B6469" s="14">
        <v>38899</v>
      </c>
      <c r="C6469" s="2">
        <v>-6.0477943962999998E-2</v>
      </c>
      <c r="D6469" s="2">
        <v>3.1824794E-4</v>
      </c>
      <c r="E6469" s="2">
        <v>1</v>
      </c>
      <c r="F6469" s="2">
        <v>3.33320529532936E-3</v>
      </c>
      <c r="G6469" s="2">
        <v>1</v>
      </c>
    </row>
    <row r="6470" spans="1:7" x14ac:dyDescent="0.2">
      <c r="A6470" s="2" t="s">
        <v>95</v>
      </c>
      <c r="B6470" s="14">
        <v>38930</v>
      </c>
      <c r="C6470" s="2">
        <v>9.6774193549000007E-2</v>
      </c>
      <c r="D6470" s="2">
        <v>2.9511126999999998E-4</v>
      </c>
      <c r="E6470" s="2">
        <v>1</v>
      </c>
      <c r="F6470" s="2">
        <v>1.13166240942575E-2</v>
      </c>
      <c r="G6470" s="2">
        <v>1</v>
      </c>
    </row>
    <row r="6471" spans="1:7" x14ac:dyDescent="0.2">
      <c r="A6471" s="2" t="s">
        <v>95</v>
      </c>
      <c r="B6471" s="14">
        <v>38961</v>
      </c>
      <c r="C6471" s="2">
        <v>1.2970588235E-2</v>
      </c>
      <c r="D6471" s="2">
        <v>7.8575156000000005E-4</v>
      </c>
      <c r="E6471" s="2">
        <v>1</v>
      </c>
      <c r="F6471" s="2">
        <v>1.5419767540457501E-2</v>
      </c>
      <c r="G6471" s="2">
        <v>1</v>
      </c>
    </row>
    <row r="6472" spans="1:7" x14ac:dyDescent="0.2">
      <c r="A6472" s="2" t="s">
        <v>95</v>
      </c>
      <c r="B6472" s="14">
        <v>38991</v>
      </c>
      <c r="C6472" s="2">
        <v>-3.4493771958999997E-2</v>
      </c>
      <c r="D6472" s="2">
        <v>2.4607072E-3</v>
      </c>
      <c r="E6472" s="2">
        <v>1</v>
      </c>
      <c r="F6472" s="2">
        <v>2.15896790048834E-2</v>
      </c>
      <c r="G6472" s="2">
        <v>1</v>
      </c>
    </row>
    <row r="6473" spans="1:7" x14ac:dyDescent="0.2">
      <c r="A6473" s="2" t="s">
        <v>95</v>
      </c>
      <c r="B6473" s="14">
        <v>39022</v>
      </c>
      <c r="C6473" s="2">
        <v>9.5991339129E-2</v>
      </c>
      <c r="D6473" s="2">
        <v>4.9354880999999996E-3</v>
      </c>
      <c r="E6473" s="2">
        <v>1</v>
      </c>
      <c r="F6473" s="2">
        <v>1.7285351054682201E-2</v>
      </c>
      <c r="G6473" s="2">
        <v>1</v>
      </c>
    </row>
    <row r="6474" spans="1:7" x14ac:dyDescent="0.2">
      <c r="A6474" s="2" t="s">
        <v>95</v>
      </c>
      <c r="B6474" s="14">
        <v>39052</v>
      </c>
      <c r="C6474" s="2">
        <v>-1.9481410344E-2</v>
      </c>
      <c r="D6474" s="2">
        <v>1.5569959999999999E-3</v>
      </c>
      <c r="E6474" s="2">
        <v>1</v>
      </c>
      <c r="F6474" s="2">
        <v>1.97160224859921E-2</v>
      </c>
      <c r="G6474" s="2">
        <v>1</v>
      </c>
    </row>
    <row r="6475" spans="1:7" x14ac:dyDescent="0.2">
      <c r="A6475" s="2" t="s">
        <v>95</v>
      </c>
      <c r="B6475" s="14">
        <v>39083</v>
      </c>
      <c r="C6475" s="2">
        <v>0.14733454596000001</v>
      </c>
      <c r="D6475" s="2">
        <v>2.4567866000000001E-3</v>
      </c>
      <c r="E6475" s="2">
        <v>1</v>
      </c>
      <c r="F6475" s="2">
        <v>2.0783857840543901E-2</v>
      </c>
      <c r="G6475" s="2">
        <v>1</v>
      </c>
    </row>
    <row r="6476" spans="1:7" x14ac:dyDescent="0.2">
      <c r="A6476" s="2" t="s">
        <v>95</v>
      </c>
      <c r="B6476" s="14">
        <v>39114</v>
      </c>
      <c r="C6476" s="2">
        <v>-6.7073170732999995E-2</v>
      </c>
      <c r="D6476" s="2">
        <v>2.8765737000000001E-3</v>
      </c>
      <c r="E6476" s="2">
        <v>1</v>
      </c>
      <c r="F6476" s="2">
        <v>2.6668695124822599E-2</v>
      </c>
      <c r="G6476" s="2">
        <v>1</v>
      </c>
    </row>
    <row r="6477" spans="1:7" x14ac:dyDescent="0.2">
      <c r="A6477" s="2" t="s">
        <v>95</v>
      </c>
      <c r="B6477" s="14">
        <v>39142</v>
      </c>
      <c r="C6477" s="2">
        <v>-1.9477124182999999E-2</v>
      </c>
      <c r="D6477" s="2">
        <v>-5.3497986000000002E-4</v>
      </c>
      <c r="E6477" s="2">
        <v>1</v>
      </c>
      <c r="F6477" s="2">
        <v>2.2114372139349199E-2</v>
      </c>
      <c r="G6477" s="2">
        <v>1</v>
      </c>
    </row>
    <row r="6478" spans="1:7" x14ac:dyDescent="0.2">
      <c r="A6478" s="2" t="s">
        <v>95</v>
      </c>
      <c r="B6478" s="14">
        <v>39173</v>
      </c>
      <c r="C6478" s="2">
        <v>0.11903746167</v>
      </c>
      <c r="D6478" s="2">
        <v>7.8134276000000006E-3</v>
      </c>
      <c r="E6478" s="2">
        <v>1</v>
      </c>
      <c r="F6478" s="2">
        <v>2.0796920077704999E-2</v>
      </c>
      <c r="G6478" s="2">
        <v>1</v>
      </c>
    </row>
    <row r="6479" spans="1:7" x14ac:dyDescent="0.2">
      <c r="A6479" s="2" t="s">
        <v>95</v>
      </c>
      <c r="B6479" s="14">
        <v>39203</v>
      </c>
      <c r="C6479" s="2">
        <v>0.16751450458</v>
      </c>
      <c r="D6479" s="2">
        <v>3.7811533999999999E-3</v>
      </c>
      <c r="E6479" s="2">
        <v>1</v>
      </c>
      <c r="F6479" s="2">
        <v>2.4981297901545099E-2</v>
      </c>
      <c r="G6479" s="2">
        <v>1</v>
      </c>
    </row>
    <row r="6480" spans="1:7" x14ac:dyDescent="0.2">
      <c r="A6480" s="2" t="s">
        <v>95</v>
      </c>
      <c r="B6480" s="14">
        <v>39234</v>
      </c>
      <c r="C6480" s="2">
        <v>0.15306122449000001</v>
      </c>
      <c r="D6480" s="2">
        <v>1.2195942E-2</v>
      </c>
      <c r="E6480" s="2">
        <v>1</v>
      </c>
      <c r="F6480" s="2">
        <v>2.6899461334673899E-2</v>
      </c>
      <c r="G6480" s="2">
        <v>1</v>
      </c>
    </row>
    <row r="6481" spans="1:7" x14ac:dyDescent="0.2">
      <c r="A6481" s="2" t="s">
        <v>95</v>
      </c>
      <c r="B6481" s="14">
        <v>39264</v>
      </c>
      <c r="C6481" s="2">
        <v>-1.3274336284E-2</v>
      </c>
      <c r="D6481" s="2">
        <v>2.693698E-3</v>
      </c>
      <c r="E6481" s="2">
        <v>1</v>
      </c>
      <c r="F6481" s="2">
        <v>3.15925680984811E-2</v>
      </c>
      <c r="G6481" s="2">
        <v>1</v>
      </c>
    </row>
    <row r="6482" spans="1:7" x14ac:dyDescent="0.2">
      <c r="A6482" s="2" t="s">
        <v>95</v>
      </c>
      <c r="B6482" s="14">
        <v>39295</v>
      </c>
      <c r="C6482" s="2">
        <v>0.16340807174999999</v>
      </c>
      <c r="D6482" s="2">
        <v>4.8532113000000002E-3</v>
      </c>
      <c r="E6482" s="2">
        <v>1</v>
      </c>
      <c r="F6482" s="2">
        <v>2.84160012893909E-2</v>
      </c>
      <c r="G6482" s="2">
        <v>1</v>
      </c>
    </row>
    <row r="6483" spans="1:7" x14ac:dyDescent="0.2">
      <c r="A6483" s="2" t="s">
        <v>95</v>
      </c>
      <c r="B6483" s="14">
        <v>39326</v>
      </c>
      <c r="C6483" s="2">
        <v>2.1584952209999998E-3</v>
      </c>
      <c r="D6483" s="2">
        <v>-4.4401837999999997E-3</v>
      </c>
      <c r="E6483" s="2">
        <v>1</v>
      </c>
      <c r="F6483" s="2">
        <v>3.48269009749929E-2</v>
      </c>
      <c r="G6483" s="2">
        <v>1</v>
      </c>
    </row>
    <row r="6484" spans="1:7" x14ac:dyDescent="0.2">
      <c r="A6484" s="2" t="s">
        <v>95</v>
      </c>
      <c r="B6484" s="14">
        <v>39356</v>
      </c>
      <c r="C6484" s="2">
        <v>0.10007692307</v>
      </c>
      <c r="D6484" s="2">
        <v>2.5957427000000001E-3</v>
      </c>
      <c r="E6484" s="2">
        <v>1</v>
      </c>
      <c r="F6484" s="2">
        <v>3.5457454495113297E-2</v>
      </c>
      <c r="G6484" s="2">
        <v>1</v>
      </c>
    </row>
    <row r="6485" spans="1:7" x14ac:dyDescent="0.2">
      <c r="A6485" s="2" t="s">
        <v>95</v>
      </c>
      <c r="B6485" s="14">
        <v>39387</v>
      </c>
      <c r="C6485" s="2">
        <v>-0.19558072862000001</v>
      </c>
      <c r="D6485" s="2">
        <v>-7.8748129E-3</v>
      </c>
      <c r="E6485" s="2">
        <v>1</v>
      </c>
      <c r="F6485" s="2">
        <v>3.4612833874872899E-2</v>
      </c>
      <c r="G6485" s="2">
        <v>1</v>
      </c>
    </row>
    <row r="6486" spans="1:7" x14ac:dyDescent="0.2">
      <c r="A6486" s="2" t="s">
        <v>95</v>
      </c>
      <c r="B6486" s="14">
        <v>39417</v>
      </c>
      <c r="C6486" s="2">
        <v>-5.5111265647000002E-2</v>
      </c>
      <c r="D6486" s="2">
        <v>7.5176341000000001E-4</v>
      </c>
      <c r="E6486" s="2">
        <v>1</v>
      </c>
      <c r="F6486" s="2">
        <v>2.5147226296296E-2</v>
      </c>
      <c r="G6486" s="2">
        <v>1</v>
      </c>
    </row>
    <row r="6487" spans="1:7" x14ac:dyDescent="0.2">
      <c r="A6487" s="2" t="s">
        <v>95</v>
      </c>
      <c r="B6487" s="14">
        <v>39448</v>
      </c>
      <c r="C6487" s="2">
        <v>-0.21659613616000001</v>
      </c>
      <c r="D6487" s="2">
        <v>-9.2453705000000008E-3</v>
      </c>
      <c r="E6487" s="2">
        <v>1</v>
      </c>
      <c r="F6487" s="2">
        <v>1.9304325888708399E-2</v>
      </c>
      <c r="G6487" s="2">
        <v>1</v>
      </c>
    </row>
    <row r="6488" spans="1:7" x14ac:dyDescent="0.2">
      <c r="A6488" s="2" t="s">
        <v>95</v>
      </c>
      <c r="B6488" s="14">
        <v>39479</v>
      </c>
      <c r="C6488" s="2">
        <v>5.1728592231000001E-2</v>
      </c>
      <c r="D6488" s="2">
        <v>7.2631034999999997E-3</v>
      </c>
      <c r="E6488" s="2">
        <v>1</v>
      </c>
      <c r="F6488" s="2">
        <v>1.4290385615238901E-2</v>
      </c>
      <c r="G6488" s="2">
        <v>1</v>
      </c>
    </row>
    <row r="6489" spans="1:7" x14ac:dyDescent="0.2">
      <c r="A6489" s="2" t="s">
        <v>95</v>
      </c>
      <c r="B6489" s="14">
        <v>39508</v>
      </c>
      <c r="C6489" s="2">
        <v>-7.8840120141999995E-2</v>
      </c>
      <c r="D6489" s="2">
        <v>4.7225640000000003E-3</v>
      </c>
      <c r="E6489" s="2">
        <v>1</v>
      </c>
      <c r="F6489" s="2">
        <v>1.0912086278724401E-2</v>
      </c>
      <c r="G6489" s="2">
        <v>1</v>
      </c>
    </row>
    <row r="6490" spans="1:7" x14ac:dyDescent="0.2">
      <c r="A6490" s="2" t="s">
        <v>95</v>
      </c>
      <c r="B6490" s="14">
        <v>39539</v>
      </c>
      <c r="C6490" s="2">
        <v>4.4314214264999999E-2</v>
      </c>
      <c r="D6490" s="2">
        <v>3.9716064999999997E-3</v>
      </c>
      <c r="E6490" s="2">
        <v>1</v>
      </c>
      <c r="F6490" s="2">
        <v>8.8108830076213292E-3</v>
      </c>
      <c r="G6490" s="2">
        <v>1</v>
      </c>
    </row>
    <row r="6491" spans="1:7" x14ac:dyDescent="0.2">
      <c r="A6491" s="2" t="s">
        <v>95</v>
      </c>
      <c r="B6491" s="14">
        <v>39569</v>
      </c>
      <c r="C6491" s="2">
        <v>-8.3474162759000006E-2</v>
      </c>
      <c r="D6491" s="2">
        <v>-8.9315752999999994E-3</v>
      </c>
      <c r="E6491" s="2">
        <v>1</v>
      </c>
      <c r="F6491" s="2">
        <v>7.0922017770047698E-3</v>
      </c>
      <c r="G6491" s="2">
        <v>1</v>
      </c>
    </row>
    <row r="6492" spans="1:7" x14ac:dyDescent="0.2">
      <c r="A6492" s="2" t="s">
        <v>95</v>
      </c>
      <c r="B6492" s="14">
        <v>39600</v>
      </c>
      <c r="C6492" s="2">
        <v>-4.9797434166E-2</v>
      </c>
      <c r="D6492" s="2">
        <v>-1.2283573E-4</v>
      </c>
      <c r="E6492" s="2">
        <v>1</v>
      </c>
      <c r="F6492" s="2">
        <v>1.03863435547951E-2</v>
      </c>
      <c r="G6492" s="2">
        <v>1</v>
      </c>
    </row>
    <row r="6493" spans="1:7" x14ac:dyDescent="0.2">
      <c r="A6493" s="2" t="s">
        <v>95</v>
      </c>
      <c r="B6493" s="14">
        <v>39630</v>
      </c>
      <c r="C6493" s="2">
        <v>4.5410443171999999E-2</v>
      </c>
      <c r="D6493" s="2">
        <v>2.0147883000000001E-3</v>
      </c>
      <c r="E6493" s="2">
        <v>1</v>
      </c>
      <c r="F6493" s="2">
        <v>1.04468715254495E-2</v>
      </c>
      <c r="G6493" s="2">
        <v>1</v>
      </c>
    </row>
    <row r="6494" spans="1:7" x14ac:dyDescent="0.2">
      <c r="A6494" s="2" t="s">
        <v>95</v>
      </c>
      <c r="B6494" s="14">
        <v>39661</v>
      </c>
      <c r="C6494" s="2">
        <v>-8.7095547891999997E-2</v>
      </c>
      <c r="D6494" s="2">
        <v>-5.9390533999999998E-4</v>
      </c>
      <c r="E6494" s="2">
        <v>1</v>
      </c>
      <c r="F6494" s="2">
        <v>1.1364118298569301E-2</v>
      </c>
      <c r="G6494" s="2">
        <v>1</v>
      </c>
    </row>
    <row r="6495" spans="1:7" x14ac:dyDescent="0.2">
      <c r="A6495" s="2" t="s">
        <v>95</v>
      </c>
      <c r="B6495" s="14">
        <v>39692</v>
      </c>
      <c r="C6495" s="2">
        <v>-0.16005797100999999</v>
      </c>
      <c r="D6495" s="2">
        <v>-6.2139439000000003E-3</v>
      </c>
      <c r="E6495" s="2">
        <v>1</v>
      </c>
      <c r="F6495" s="2">
        <v>7.1986032002707596E-3</v>
      </c>
      <c r="G6495" s="2">
        <v>1</v>
      </c>
    </row>
    <row r="6496" spans="1:7" x14ac:dyDescent="0.2">
      <c r="A6496" s="2" t="s">
        <v>95</v>
      </c>
      <c r="B6496" s="14">
        <v>39722</v>
      </c>
      <c r="C6496" s="2">
        <v>-0.11139485126</v>
      </c>
      <c r="D6496" s="2">
        <v>-9.2062353999999998E-4</v>
      </c>
      <c r="E6496" s="2">
        <v>1</v>
      </c>
      <c r="F6496" s="2">
        <v>5.3280777471807301E-3</v>
      </c>
      <c r="G6496" s="2">
        <v>1</v>
      </c>
    </row>
    <row r="6497" spans="1:7" x14ac:dyDescent="0.2">
      <c r="A6497" s="2" t="s">
        <v>95</v>
      </c>
      <c r="B6497" s="14">
        <v>39753</v>
      </c>
      <c r="C6497" s="2">
        <v>-0.11844660193999999</v>
      </c>
      <c r="D6497" s="2">
        <v>-1.7519205999999999E-3</v>
      </c>
      <c r="E6497" s="2">
        <v>1</v>
      </c>
      <c r="F6497" s="2">
        <v>8.72358068659187E-4</v>
      </c>
      <c r="G6497" s="2">
        <v>1</v>
      </c>
    </row>
    <row r="6498" spans="1:7" x14ac:dyDescent="0.2">
      <c r="A6498" s="2" t="s">
        <v>95</v>
      </c>
      <c r="B6498" s="14">
        <v>39783</v>
      </c>
      <c r="C6498" s="2">
        <v>-8.5903083699000002E-2</v>
      </c>
      <c r="D6498" s="2">
        <v>-2.3041044000000001E-3</v>
      </c>
      <c r="E6498" s="2">
        <v>1</v>
      </c>
      <c r="F6498" s="19">
        <v>1.9021251909651901E-5</v>
      </c>
      <c r="G6498" s="2">
        <v>1</v>
      </c>
    </row>
    <row r="6499" spans="1:7" x14ac:dyDescent="0.2">
      <c r="A6499" s="2" t="s">
        <v>96</v>
      </c>
      <c r="B6499" s="14">
        <v>37591</v>
      </c>
      <c r="C6499" s="2">
        <v>0.10300250208</v>
      </c>
      <c r="D6499" s="2">
        <v>0</v>
      </c>
      <c r="E6499" s="2">
        <v>1</v>
      </c>
      <c r="G6499" s="2">
        <v>2</v>
      </c>
    </row>
    <row r="6500" spans="1:7" x14ac:dyDescent="0.2">
      <c r="A6500" s="2" t="s">
        <v>96</v>
      </c>
      <c r="B6500" s="14">
        <v>37622</v>
      </c>
      <c r="C6500" s="2">
        <v>-3.8043478260999998E-2</v>
      </c>
      <c r="D6500" s="2">
        <v>0</v>
      </c>
      <c r="E6500" s="2">
        <v>1</v>
      </c>
      <c r="G6500" s="2">
        <v>2</v>
      </c>
    </row>
    <row r="6501" spans="1:7" x14ac:dyDescent="0.2">
      <c r="A6501" s="2" t="s">
        <v>96</v>
      </c>
      <c r="B6501" s="14">
        <v>37653</v>
      </c>
      <c r="C6501" s="2">
        <v>1.5819209040000001E-2</v>
      </c>
      <c r="D6501" s="2">
        <v>0</v>
      </c>
      <c r="E6501" s="2">
        <v>1</v>
      </c>
      <c r="G6501" s="2">
        <v>2</v>
      </c>
    </row>
    <row r="6502" spans="1:7" x14ac:dyDescent="0.2">
      <c r="A6502" s="2" t="s">
        <v>96</v>
      </c>
      <c r="B6502" s="14">
        <v>37681</v>
      </c>
      <c r="C6502" s="2">
        <v>1.1123470521E-3</v>
      </c>
      <c r="D6502" s="2">
        <v>0</v>
      </c>
      <c r="E6502" s="2">
        <v>1</v>
      </c>
      <c r="G6502" s="2">
        <v>2</v>
      </c>
    </row>
    <row r="6503" spans="1:7" x14ac:dyDescent="0.2">
      <c r="A6503" s="2" t="s">
        <v>96</v>
      </c>
      <c r="B6503" s="14">
        <v>37712</v>
      </c>
      <c r="C6503" s="2">
        <v>9.9999999999E-2</v>
      </c>
      <c r="D6503" s="2">
        <v>0</v>
      </c>
      <c r="E6503" s="2">
        <v>1</v>
      </c>
      <c r="G6503" s="2">
        <v>2</v>
      </c>
    </row>
    <row r="6504" spans="1:7" x14ac:dyDescent="0.2">
      <c r="A6504" s="2" t="s">
        <v>96</v>
      </c>
      <c r="B6504" s="14">
        <v>37742</v>
      </c>
      <c r="C6504" s="2">
        <v>-6.2903465559000001E-3</v>
      </c>
      <c r="D6504" s="2">
        <v>0</v>
      </c>
      <c r="E6504" s="2">
        <v>1</v>
      </c>
      <c r="G6504" s="2">
        <v>2</v>
      </c>
    </row>
    <row r="6505" spans="1:7" x14ac:dyDescent="0.2">
      <c r="A6505" s="2" t="s">
        <v>96</v>
      </c>
      <c r="B6505" s="14">
        <v>37773</v>
      </c>
      <c r="C6505" s="2">
        <v>-5.2631578948000003E-2</v>
      </c>
      <c r="D6505" s="2">
        <v>0</v>
      </c>
      <c r="E6505" s="2">
        <v>1</v>
      </c>
      <c r="G6505" s="2">
        <v>2</v>
      </c>
    </row>
    <row r="6506" spans="1:7" x14ac:dyDescent="0.2">
      <c r="A6506" s="2" t="s">
        <v>96</v>
      </c>
      <c r="B6506" s="14">
        <v>37803</v>
      </c>
      <c r="C6506" s="2">
        <v>6.7848544550000002E-3</v>
      </c>
      <c r="D6506" s="2">
        <v>0</v>
      </c>
      <c r="E6506" s="2">
        <v>1</v>
      </c>
      <c r="G6506" s="2">
        <v>2</v>
      </c>
    </row>
    <row r="6507" spans="1:7" x14ac:dyDescent="0.2">
      <c r="A6507" s="2" t="s">
        <v>96</v>
      </c>
      <c r="B6507" s="14">
        <v>37834</v>
      </c>
      <c r="C6507" s="2">
        <v>0.11666666666</v>
      </c>
      <c r="D6507" s="2">
        <v>0.23952888999999999</v>
      </c>
      <c r="E6507" s="2">
        <v>1</v>
      </c>
      <c r="F6507" s="2">
        <v>2.50574807416757E-2</v>
      </c>
      <c r="G6507" s="2">
        <v>2</v>
      </c>
    </row>
    <row r="6508" spans="1:7" x14ac:dyDescent="0.2">
      <c r="A6508" s="2" t="s">
        <v>96</v>
      </c>
      <c r="B6508" s="14">
        <v>37865</v>
      </c>
      <c r="C6508" s="2">
        <v>-2.0049008699000001E-3</v>
      </c>
      <c r="D6508" s="2">
        <v>0</v>
      </c>
      <c r="E6508" s="2">
        <v>1</v>
      </c>
      <c r="F6508" s="2">
        <v>2.7933409832263601E-2</v>
      </c>
      <c r="G6508" s="2">
        <v>2</v>
      </c>
    </row>
    <row r="6509" spans="1:7" x14ac:dyDescent="0.2">
      <c r="A6509" s="2" t="s">
        <v>96</v>
      </c>
      <c r="B6509" s="14">
        <v>37895</v>
      </c>
      <c r="C6509" s="2">
        <v>5.2631578948000003E-2</v>
      </c>
      <c r="D6509" s="2">
        <v>0</v>
      </c>
      <c r="E6509" s="2">
        <v>1</v>
      </c>
      <c r="F6509" s="2">
        <v>2.77944987230762E-2</v>
      </c>
      <c r="G6509" s="2">
        <v>2</v>
      </c>
    </row>
    <row r="6510" spans="1:7" x14ac:dyDescent="0.2">
      <c r="A6510" s="2" t="s">
        <v>96</v>
      </c>
      <c r="B6510" s="14">
        <v>37926</v>
      </c>
      <c r="C6510" s="2">
        <v>-6.4285714287000001E-2</v>
      </c>
      <c r="D6510" s="19">
        <v>-4.0739730999999997E-5</v>
      </c>
      <c r="E6510" s="2">
        <v>1</v>
      </c>
      <c r="F6510" s="2">
        <v>2.62717689409766E-2</v>
      </c>
      <c r="G6510" s="2">
        <v>2</v>
      </c>
    </row>
    <row r="6511" spans="1:7" x14ac:dyDescent="0.2">
      <c r="A6511" s="2" t="s">
        <v>96</v>
      </c>
      <c r="B6511" s="14">
        <v>37956</v>
      </c>
      <c r="C6511" s="2">
        <v>4.1280861138000002E-2</v>
      </c>
      <c r="D6511" s="2">
        <v>0</v>
      </c>
      <c r="E6511" s="2">
        <v>1</v>
      </c>
      <c r="F6511" s="2">
        <v>2.48029889336372E-2</v>
      </c>
      <c r="G6511" s="2">
        <v>2</v>
      </c>
    </row>
    <row r="6512" spans="1:7" x14ac:dyDescent="0.2">
      <c r="A6512" s="2" t="s">
        <v>96</v>
      </c>
      <c r="B6512" s="14">
        <v>37987</v>
      </c>
      <c r="C6512" s="2">
        <v>-0.11764705882</v>
      </c>
      <c r="E6512" s="2">
        <v>1</v>
      </c>
      <c r="F6512" s="2">
        <v>2.7392689467396002E-2</v>
      </c>
      <c r="G6512" s="2">
        <v>2</v>
      </c>
    </row>
    <row r="6513" spans="1:7" x14ac:dyDescent="0.2">
      <c r="A6513" s="2" t="s">
        <v>96</v>
      </c>
      <c r="B6513" s="14">
        <v>38018</v>
      </c>
      <c r="C6513" s="2">
        <v>6.6666666666000005E-2</v>
      </c>
      <c r="E6513" s="2">
        <v>1</v>
      </c>
      <c r="F6513" s="2">
        <v>2.4279460644925099E-2</v>
      </c>
      <c r="G6513" s="2">
        <v>2</v>
      </c>
    </row>
    <row r="6514" spans="1:7" x14ac:dyDescent="0.2">
      <c r="A6514" s="2" t="s">
        <v>96</v>
      </c>
      <c r="B6514" s="14">
        <v>38047</v>
      </c>
      <c r="C6514" s="2">
        <v>4.6875E-2</v>
      </c>
      <c r="D6514" s="2">
        <v>0</v>
      </c>
      <c r="E6514" s="2">
        <v>1</v>
      </c>
      <c r="F6514" s="2">
        <v>2.2728543401846601E-2</v>
      </c>
      <c r="G6514" s="2">
        <v>2</v>
      </c>
    </row>
    <row r="6515" spans="1:7" x14ac:dyDescent="0.2">
      <c r="A6515" s="2" t="s">
        <v>96</v>
      </c>
      <c r="B6515" s="14">
        <v>38078</v>
      </c>
      <c r="C6515" s="2">
        <v>-5.8208955223999999E-2</v>
      </c>
      <c r="D6515" s="2">
        <v>0</v>
      </c>
      <c r="E6515" s="2">
        <v>1</v>
      </c>
      <c r="F6515" s="2">
        <v>2.4048085124881598E-2</v>
      </c>
      <c r="G6515" s="2">
        <v>2</v>
      </c>
    </row>
    <row r="6516" spans="1:7" x14ac:dyDescent="0.2">
      <c r="A6516" s="2" t="s">
        <v>96</v>
      </c>
      <c r="B6516" s="14">
        <v>38108</v>
      </c>
      <c r="C6516" s="2">
        <v>3.4451820174999999E-3</v>
      </c>
      <c r="D6516" s="2">
        <v>0</v>
      </c>
      <c r="E6516" s="2">
        <v>1</v>
      </c>
      <c r="F6516" s="2">
        <v>2.09353571999411E-2</v>
      </c>
      <c r="G6516" s="2">
        <v>2</v>
      </c>
    </row>
    <row r="6517" spans="1:7" x14ac:dyDescent="0.2">
      <c r="A6517" s="2" t="s">
        <v>96</v>
      </c>
      <c r="B6517" s="14">
        <v>38139</v>
      </c>
      <c r="C6517" s="2">
        <v>5.9206349206E-2</v>
      </c>
      <c r="D6517" s="2">
        <v>0</v>
      </c>
      <c r="E6517" s="2">
        <v>1</v>
      </c>
      <c r="F6517" s="2">
        <v>2.2894689704817499E-2</v>
      </c>
      <c r="G6517" s="2">
        <v>2</v>
      </c>
    </row>
    <row r="6518" spans="1:7" x14ac:dyDescent="0.2">
      <c r="A6518" s="2" t="s">
        <v>96</v>
      </c>
      <c r="B6518" s="14">
        <v>38169</v>
      </c>
      <c r="C6518" s="2">
        <v>4.0046940831000001E-2</v>
      </c>
      <c r="D6518" s="2">
        <v>0</v>
      </c>
      <c r="E6518" s="2">
        <v>1</v>
      </c>
      <c r="F6518" s="2">
        <v>2.32682777055341E-2</v>
      </c>
      <c r="G6518" s="2">
        <v>2</v>
      </c>
    </row>
    <row r="6519" spans="1:7" x14ac:dyDescent="0.2">
      <c r="A6519" s="2" t="s">
        <v>96</v>
      </c>
      <c r="B6519" s="14">
        <v>38200</v>
      </c>
      <c r="C6519" s="2">
        <v>0.21739130435000001</v>
      </c>
      <c r="D6519" s="2">
        <v>0</v>
      </c>
      <c r="E6519" s="2">
        <v>1</v>
      </c>
      <c r="F6519" s="2">
        <v>2.60205684586052E-2</v>
      </c>
      <c r="G6519" s="2">
        <v>2</v>
      </c>
    </row>
    <row r="6520" spans="1:7" x14ac:dyDescent="0.2">
      <c r="A6520" s="2" t="s">
        <v>96</v>
      </c>
      <c r="B6520" s="14">
        <v>38231</v>
      </c>
      <c r="C6520" s="2">
        <v>1.1484036794999999E-2</v>
      </c>
      <c r="D6520" s="2">
        <v>0</v>
      </c>
      <c r="E6520" s="2">
        <v>1</v>
      </c>
      <c r="F6520" s="2">
        <v>3.0263652947343098E-2</v>
      </c>
      <c r="G6520" s="2">
        <v>2</v>
      </c>
    </row>
    <row r="6521" spans="1:7" x14ac:dyDescent="0.2">
      <c r="A6521" s="2" t="s">
        <v>96</v>
      </c>
      <c r="B6521" s="14">
        <v>38261</v>
      </c>
      <c r="C6521" s="2">
        <v>3.5591001071000002E-2</v>
      </c>
      <c r="D6521" s="2">
        <v>0</v>
      </c>
      <c r="E6521" s="2">
        <v>1</v>
      </c>
      <c r="F6521" s="2">
        <v>2.9235553291739901E-2</v>
      </c>
      <c r="G6521" s="2">
        <v>2</v>
      </c>
    </row>
    <row r="6522" spans="1:7" x14ac:dyDescent="0.2">
      <c r="A6522" s="2" t="s">
        <v>96</v>
      </c>
      <c r="B6522" s="14">
        <v>38292</v>
      </c>
      <c r="C6522" s="2">
        <v>-1.7241379311000001E-2</v>
      </c>
      <c r="D6522" s="2">
        <v>0</v>
      </c>
      <c r="E6522" s="2">
        <v>1</v>
      </c>
      <c r="F6522" s="2">
        <v>3.1859042604160698E-2</v>
      </c>
      <c r="G6522" s="2">
        <v>2</v>
      </c>
    </row>
    <row r="6523" spans="1:7" x14ac:dyDescent="0.2">
      <c r="A6523" s="2" t="s">
        <v>96</v>
      </c>
      <c r="B6523" s="14">
        <v>38322</v>
      </c>
      <c r="C6523" s="2">
        <v>5.8479532163E-3</v>
      </c>
      <c r="D6523" s="2">
        <v>0</v>
      </c>
      <c r="E6523" s="2">
        <v>1</v>
      </c>
      <c r="F6523" s="2">
        <v>3.1236142787401399E-2</v>
      </c>
      <c r="G6523" s="2">
        <v>2</v>
      </c>
    </row>
    <row r="6524" spans="1:7" x14ac:dyDescent="0.2">
      <c r="A6524" s="2" t="s">
        <v>96</v>
      </c>
      <c r="B6524" s="14">
        <v>38353</v>
      </c>
      <c r="C6524" s="2">
        <v>-2.3529411763999999E-2</v>
      </c>
      <c r="D6524" s="2">
        <v>0</v>
      </c>
      <c r="E6524" s="2">
        <v>1</v>
      </c>
      <c r="F6524" s="2">
        <v>2.9709702469731598E-2</v>
      </c>
      <c r="G6524" s="2">
        <v>2</v>
      </c>
    </row>
    <row r="6525" spans="1:7" x14ac:dyDescent="0.2">
      <c r="A6525" s="2" t="s">
        <v>96</v>
      </c>
      <c r="B6525" s="14">
        <v>38384</v>
      </c>
      <c r="C6525" s="2">
        <v>-1.2048192772E-2</v>
      </c>
      <c r="D6525" s="2">
        <v>0</v>
      </c>
      <c r="E6525" s="2">
        <v>1</v>
      </c>
      <c r="F6525" s="2">
        <v>2.77142691370563E-2</v>
      </c>
      <c r="G6525" s="2">
        <v>2</v>
      </c>
    </row>
    <row r="6526" spans="1:7" x14ac:dyDescent="0.2">
      <c r="A6526" s="2" t="s">
        <v>96</v>
      </c>
      <c r="B6526" s="14">
        <v>38412</v>
      </c>
      <c r="C6526" s="2">
        <v>1.2195121951999999E-2</v>
      </c>
      <c r="D6526" s="2">
        <v>0</v>
      </c>
      <c r="E6526" s="2">
        <v>1</v>
      </c>
      <c r="F6526" s="2">
        <v>2.1116483776630699E-2</v>
      </c>
      <c r="G6526" s="2">
        <v>2</v>
      </c>
    </row>
    <row r="6527" spans="1:7" x14ac:dyDescent="0.2">
      <c r="A6527" s="2" t="s">
        <v>96</v>
      </c>
      <c r="B6527" s="14">
        <v>38443</v>
      </c>
      <c r="C6527" s="2">
        <v>4.8192771083999997E-2</v>
      </c>
      <c r="D6527" s="2">
        <v>0</v>
      </c>
      <c r="E6527" s="2">
        <v>1</v>
      </c>
      <c r="F6527" s="2">
        <v>2.1104958215838701E-2</v>
      </c>
      <c r="G6527" s="2">
        <v>2</v>
      </c>
    </row>
    <row r="6528" spans="1:7" x14ac:dyDescent="0.2">
      <c r="A6528" s="2" t="s">
        <v>96</v>
      </c>
      <c r="B6528" s="14">
        <v>38473</v>
      </c>
      <c r="C6528" s="2">
        <v>-2.2704385242999999E-2</v>
      </c>
      <c r="D6528" s="2">
        <v>0</v>
      </c>
      <c r="E6528" s="2">
        <v>1</v>
      </c>
      <c r="F6528" s="2">
        <v>2.1273887374198702E-2</v>
      </c>
      <c r="G6528" s="2">
        <v>2</v>
      </c>
    </row>
    <row r="6529" spans="1:7" x14ac:dyDescent="0.2">
      <c r="A6529" s="2" t="s">
        <v>96</v>
      </c>
      <c r="B6529" s="14">
        <v>38504</v>
      </c>
      <c r="C6529" s="2">
        <v>-3.6860879904999998E-2</v>
      </c>
      <c r="D6529" s="2">
        <v>0</v>
      </c>
      <c r="E6529" s="2">
        <v>1</v>
      </c>
      <c r="F6529" s="2">
        <v>2.12208375380551E-2</v>
      </c>
      <c r="G6529" s="2">
        <v>2</v>
      </c>
    </row>
    <row r="6530" spans="1:7" x14ac:dyDescent="0.2">
      <c r="A6530" s="2" t="s">
        <v>96</v>
      </c>
      <c r="B6530" s="14">
        <v>38534</v>
      </c>
      <c r="C6530" s="2">
        <v>-1.5537389978000001E-2</v>
      </c>
      <c r="D6530" s="2">
        <v>0</v>
      </c>
      <c r="E6530" s="2">
        <v>1</v>
      </c>
      <c r="F6530" s="2">
        <v>2.01077166197525E-2</v>
      </c>
      <c r="G6530" s="2">
        <v>2</v>
      </c>
    </row>
    <row r="6531" spans="1:7" x14ac:dyDescent="0.2">
      <c r="A6531" s="2" t="s">
        <v>96</v>
      </c>
      <c r="B6531" s="14">
        <v>38565</v>
      </c>
      <c r="C6531" s="2">
        <v>1.3291139239000001E-2</v>
      </c>
      <c r="D6531" s="2">
        <v>0</v>
      </c>
      <c r="E6531" s="2">
        <v>1</v>
      </c>
      <c r="F6531" s="2">
        <v>1.7381655855548201E-2</v>
      </c>
      <c r="G6531" s="2">
        <v>2</v>
      </c>
    </row>
    <row r="6532" spans="1:7" x14ac:dyDescent="0.2">
      <c r="A6532" s="2" t="s">
        <v>96</v>
      </c>
      <c r="B6532" s="14">
        <v>38596</v>
      </c>
      <c r="C6532" s="2">
        <v>6.4912256799000007E-2</v>
      </c>
      <c r="D6532" s="2">
        <v>0</v>
      </c>
      <c r="E6532" s="2">
        <v>1</v>
      </c>
      <c r="F6532" s="2">
        <v>1.7288825031672402E-2</v>
      </c>
      <c r="G6532" s="2">
        <v>2</v>
      </c>
    </row>
    <row r="6533" spans="1:7" x14ac:dyDescent="0.2">
      <c r="A6533" s="2" t="s">
        <v>96</v>
      </c>
      <c r="B6533" s="14">
        <v>38626</v>
      </c>
      <c r="C6533" s="2">
        <v>-8.7589107496999996E-2</v>
      </c>
      <c r="D6533" s="2">
        <v>0</v>
      </c>
      <c r="E6533" s="2">
        <v>1</v>
      </c>
      <c r="F6533" s="2">
        <v>1.8816985429140301E-2</v>
      </c>
      <c r="G6533" s="2">
        <v>2</v>
      </c>
    </row>
    <row r="6534" spans="1:7" x14ac:dyDescent="0.2">
      <c r="A6534" s="2" t="s">
        <v>96</v>
      </c>
      <c r="B6534" s="14">
        <v>38657</v>
      </c>
      <c r="C6534" s="2">
        <v>-2.3774737681999999E-2</v>
      </c>
      <c r="D6534" s="2">
        <v>0</v>
      </c>
      <c r="E6534" s="2">
        <v>1</v>
      </c>
      <c r="F6534" s="2">
        <v>1.5291568579036701E-2</v>
      </c>
      <c r="G6534" s="2">
        <v>2</v>
      </c>
    </row>
    <row r="6535" spans="1:7" x14ac:dyDescent="0.2">
      <c r="A6535" s="2" t="s">
        <v>96</v>
      </c>
      <c r="B6535" s="14">
        <v>38687</v>
      </c>
      <c r="C6535" s="2">
        <v>-0.10204081632000001</v>
      </c>
      <c r="D6535" s="2">
        <v>0</v>
      </c>
      <c r="E6535" s="2">
        <v>1</v>
      </c>
      <c r="F6535" s="2">
        <v>1.5319398439452001E-2</v>
      </c>
      <c r="G6535" s="2">
        <v>2</v>
      </c>
    </row>
    <row r="6536" spans="1:7" x14ac:dyDescent="0.2">
      <c r="A6536" s="2" t="s">
        <v>96</v>
      </c>
      <c r="B6536" s="14">
        <v>38718</v>
      </c>
      <c r="C6536" s="2">
        <v>0.11363636363</v>
      </c>
      <c r="D6536" s="2">
        <v>0</v>
      </c>
      <c r="E6536" s="2">
        <v>1</v>
      </c>
      <c r="F6536" s="2">
        <v>1.3836394490723899E-2</v>
      </c>
      <c r="G6536" s="2">
        <v>2</v>
      </c>
    </row>
    <row r="6537" spans="1:7" x14ac:dyDescent="0.2">
      <c r="A6537" s="2" t="s">
        <v>96</v>
      </c>
      <c r="B6537" s="14">
        <v>38749</v>
      </c>
      <c r="C6537" s="2">
        <v>-6.8027210881999997E-3</v>
      </c>
      <c r="D6537" s="2">
        <v>0</v>
      </c>
      <c r="E6537" s="2">
        <v>1</v>
      </c>
      <c r="F6537" s="2">
        <v>1.7558866322754899E-2</v>
      </c>
      <c r="G6537" s="2">
        <v>2</v>
      </c>
    </row>
    <row r="6538" spans="1:7" x14ac:dyDescent="0.2">
      <c r="A6538" s="2" t="s">
        <v>96</v>
      </c>
      <c r="B6538" s="14">
        <v>38777</v>
      </c>
      <c r="C6538" s="2">
        <v>1.3698630137E-2</v>
      </c>
      <c r="D6538" s="2">
        <v>0</v>
      </c>
      <c r="E6538" s="2">
        <v>1</v>
      </c>
      <c r="F6538" s="2">
        <v>1.6993041062110598E-2</v>
      </c>
      <c r="G6538" s="2">
        <v>2</v>
      </c>
    </row>
    <row r="6539" spans="1:7" x14ac:dyDescent="0.2">
      <c r="A6539" s="2" t="s">
        <v>96</v>
      </c>
      <c r="B6539" s="14">
        <v>38808</v>
      </c>
      <c r="C6539" s="2">
        <v>4.0540540540000003E-2</v>
      </c>
      <c r="D6539" s="2">
        <v>0</v>
      </c>
      <c r="E6539" s="2">
        <v>1</v>
      </c>
      <c r="F6539" s="2">
        <v>1.54831817589822E-2</v>
      </c>
      <c r="G6539" s="2">
        <v>2</v>
      </c>
    </row>
    <row r="6540" spans="1:7" x14ac:dyDescent="0.2">
      <c r="A6540" s="2" t="s">
        <v>96</v>
      </c>
      <c r="B6540" s="14">
        <v>38838</v>
      </c>
      <c r="C6540" s="2">
        <v>-2.0428607206E-2</v>
      </c>
      <c r="D6540" s="2">
        <v>0</v>
      </c>
      <c r="E6540" s="2">
        <v>1</v>
      </c>
      <c r="F6540" s="2">
        <v>1.9084140880909001E-2</v>
      </c>
      <c r="G6540" s="2">
        <v>2</v>
      </c>
    </row>
    <row r="6541" spans="1:7" x14ac:dyDescent="0.2">
      <c r="A6541" s="2" t="s">
        <v>96</v>
      </c>
      <c r="B6541" s="14">
        <v>38869</v>
      </c>
      <c r="C6541" s="2">
        <v>0</v>
      </c>
      <c r="D6541" s="2">
        <v>0</v>
      </c>
      <c r="E6541" s="2">
        <v>1</v>
      </c>
      <c r="F6541" s="2">
        <v>1.9270091778547899E-2</v>
      </c>
      <c r="G6541" s="2">
        <v>2</v>
      </c>
    </row>
    <row r="6542" spans="1:7" x14ac:dyDescent="0.2">
      <c r="A6542" s="2" t="s">
        <v>96</v>
      </c>
      <c r="B6542" s="14">
        <v>38899</v>
      </c>
      <c r="C6542" s="2">
        <v>-7.7333192566999996E-3</v>
      </c>
      <c r="D6542" s="2">
        <v>0</v>
      </c>
      <c r="E6542" s="2">
        <v>1</v>
      </c>
      <c r="F6542" s="2">
        <v>2.2201216119820798E-2</v>
      </c>
      <c r="G6542" s="2">
        <v>2</v>
      </c>
    </row>
    <row r="6543" spans="1:7" x14ac:dyDescent="0.2">
      <c r="A6543" s="2" t="s">
        <v>96</v>
      </c>
      <c r="B6543" s="14">
        <v>38930</v>
      </c>
      <c r="C6543" s="2">
        <v>-6.8493150692999997E-3</v>
      </c>
      <c r="D6543" s="2">
        <v>0</v>
      </c>
      <c r="E6543" s="2">
        <v>1</v>
      </c>
      <c r="F6543" s="2">
        <v>2.45000539447103E-2</v>
      </c>
      <c r="G6543" s="2">
        <v>2</v>
      </c>
    </row>
    <row r="6544" spans="1:7" x14ac:dyDescent="0.2">
      <c r="A6544" s="2" t="s">
        <v>96</v>
      </c>
      <c r="B6544" s="14">
        <v>38961</v>
      </c>
      <c r="C6544" s="2">
        <v>2.1436189121E-2</v>
      </c>
      <c r="D6544" s="2">
        <v>0</v>
      </c>
      <c r="E6544" s="2">
        <v>1</v>
      </c>
      <c r="F6544" s="2">
        <v>2.4511869792705799E-2</v>
      </c>
      <c r="G6544" s="2">
        <v>2</v>
      </c>
    </row>
    <row r="6545" spans="1:7" x14ac:dyDescent="0.2">
      <c r="A6545" s="2" t="s">
        <v>96</v>
      </c>
      <c r="B6545" s="14">
        <v>38991</v>
      </c>
      <c r="C6545" s="2">
        <v>6.1601642700999997E-3</v>
      </c>
      <c r="D6545" s="2">
        <v>0</v>
      </c>
      <c r="E6545" s="2">
        <v>1</v>
      </c>
      <c r="F6545" s="2">
        <v>2.4657620427303399E-2</v>
      </c>
      <c r="G6545" s="2">
        <v>2</v>
      </c>
    </row>
    <row r="6546" spans="1:7" x14ac:dyDescent="0.2">
      <c r="A6546" s="2" t="s">
        <v>96</v>
      </c>
      <c r="B6546" s="14">
        <v>39022</v>
      </c>
      <c r="C6546" s="2">
        <v>0</v>
      </c>
      <c r="D6546" s="2">
        <v>0</v>
      </c>
      <c r="E6546" s="2">
        <v>1</v>
      </c>
      <c r="F6546" s="2">
        <v>2.3531275574641099E-2</v>
      </c>
      <c r="G6546" s="2">
        <v>2</v>
      </c>
    </row>
    <row r="6547" spans="1:7" x14ac:dyDescent="0.2">
      <c r="A6547" s="2" t="s">
        <v>96</v>
      </c>
      <c r="B6547" s="14">
        <v>39052</v>
      </c>
      <c r="C6547" s="2">
        <v>-6.8017826534E-3</v>
      </c>
      <c r="D6547" s="2">
        <v>0</v>
      </c>
      <c r="E6547" s="2">
        <v>1</v>
      </c>
      <c r="F6547" s="2">
        <v>2.41089005706061E-2</v>
      </c>
      <c r="G6547" s="2">
        <v>2</v>
      </c>
    </row>
    <row r="6548" spans="1:7" x14ac:dyDescent="0.2">
      <c r="A6548" s="2" t="s">
        <v>96</v>
      </c>
      <c r="B6548" s="14">
        <v>39083</v>
      </c>
      <c r="C6548" s="2">
        <v>-2.0689655171999999E-2</v>
      </c>
      <c r="D6548" s="2">
        <v>0</v>
      </c>
      <c r="E6548" s="2">
        <v>1</v>
      </c>
      <c r="F6548" s="2">
        <v>2.3702462734690399E-2</v>
      </c>
      <c r="G6548" s="2">
        <v>2</v>
      </c>
    </row>
    <row r="6549" spans="1:7" x14ac:dyDescent="0.2">
      <c r="A6549" s="2" t="s">
        <v>96</v>
      </c>
      <c r="B6549" s="14">
        <v>39114</v>
      </c>
      <c r="C6549" s="2">
        <v>-3.5211267604999999E-2</v>
      </c>
      <c r="D6549" s="2">
        <v>0</v>
      </c>
      <c r="E6549" s="2">
        <v>1</v>
      </c>
      <c r="F6549" s="2">
        <v>2.3033255786911198E-2</v>
      </c>
      <c r="G6549" s="2">
        <v>2</v>
      </c>
    </row>
    <row r="6550" spans="1:7" x14ac:dyDescent="0.2">
      <c r="A6550" s="2" t="s">
        <v>96</v>
      </c>
      <c r="B6550" s="14">
        <v>39142</v>
      </c>
      <c r="C6550" s="2">
        <v>2.1897810218E-2</v>
      </c>
      <c r="D6550" s="2">
        <v>0</v>
      </c>
      <c r="E6550" s="2">
        <v>1</v>
      </c>
      <c r="F6550" s="2">
        <v>2.23488312857473E-2</v>
      </c>
      <c r="G6550" s="2">
        <v>2</v>
      </c>
    </row>
    <row r="6551" spans="1:7" x14ac:dyDescent="0.2">
      <c r="A6551" s="2" t="s">
        <v>96</v>
      </c>
      <c r="B6551" s="14">
        <v>39173</v>
      </c>
      <c r="C6551" s="2">
        <v>0.16098583621000001</v>
      </c>
      <c r="D6551" s="2">
        <v>0</v>
      </c>
      <c r="E6551" s="2">
        <v>1</v>
      </c>
      <c r="F6551" s="2">
        <v>2.2325578240840201E-2</v>
      </c>
      <c r="G6551" s="2">
        <v>2</v>
      </c>
    </row>
    <row r="6552" spans="1:7" x14ac:dyDescent="0.2">
      <c r="A6552" s="2" t="s">
        <v>96</v>
      </c>
      <c r="B6552" s="14">
        <v>39203</v>
      </c>
      <c r="C6552" s="2">
        <v>0.32</v>
      </c>
      <c r="D6552" s="2">
        <v>0</v>
      </c>
      <c r="E6552" s="2">
        <v>1</v>
      </c>
      <c r="F6552" s="2">
        <v>2.7047813065072999E-2</v>
      </c>
      <c r="G6552" s="2">
        <v>2</v>
      </c>
    </row>
    <row r="6553" spans="1:7" x14ac:dyDescent="0.2">
      <c r="A6553" s="2" t="s">
        <v>96</v>
      </c>
      <c r="B6553" s="14">
        <v>39234</v>
      </c>
      <c r="C6553" s="2">
        <v>1.3257575758E-2</v>
      </c>
      <c r="D6553" s="2">
        <v>0</v>
      </c>
      <c r="E6553" s="2">
        <v>1</v>
      </c>
      <c r="F6553" s="2">
        <v>3.6622215853054002E-2</v>
      </c>
      <c r="G6553" s="2">
        <v>2</v>
      </c>
    </row>
    <row r="6554" spans="1:7" x14ac:dyDescent="0.2">
      <c r="A6554" s="2" t="s">
        <v>96</v>
      </c>
      <c r="B6554" s="14">
        <v>39264</v>
      </c>
      <c r="C6554" s="2">
        <v>-3.1494227599000002E-2</v>
      </c>
      <c r="D6554" s="2">
        <v>0</v>
      </c>
      <c r="E6554" s="2">
        <v>1</v>
      </c>
      <c r="F6554" s="2">
        <v>3.7164739440580997E-2</v>
      </c>
      <c r="G6554" s="2">
        <v>2</v>
      </c>
    </row>
    <row r="6555" spans="1:7" x14ac:dyDescent="0.2">
      <c r="A6555" s="2" t="s">
        <v>96</v>
      </c>
      <c r="B6555" s="14">
        <v>39295</v>
      </c>
      <c r="C6555" s="2">
        <v>0</v>
      </c>
      <c r="D6555" s="2">
        <v>0</v>
      </c>
      <c r="E6555" s="2">
        <v>1</v>
      </c>
      <c r="F6555" s="2">
        <v>3.5655990423193097E-2</v>
      </c>
      <c r="G6555" s="2">
        <v>2</v>
      </c>
    </row>
    <row r="6556" spans="1:7" x14ac:dyDescent="0.2">
      <c r="A6556" s="2" t="s">
        <v>96</v>
      </c>
      <c r="B6556" s="14">
        <v>39326</v>
      </c>
      <c r="C6556" s="2">
        <v>1.0588122052E-2</v>
      </c>
      <c r="D6556" s="2">
        <v>0</v>
      </c>
      <c r="E6556" s="2">
        <v>1</v>
      </c>
      <c r="F6556" s="2">
        <v>3.66686504482749E-2</v>
      </c>
      <c r="G6556" s="2">
        <v>2</v>
      </c>
    </row>
    <row r="6557" spans="1:7" x14ac:dyDescent="0.2">
      <c r="A6557" s="2" t="s">
        <v>96</v>
      </c>
      <c r="B6557" s="14">
        <v>39356</v>
      </c>
      <c r="C6557" s="2">
        <v>-1.9417475728000001E-2</v>
      </c>
      <c r="D6557" s="2">
        <v>0</v>
      </c>
      <c r="E6557" s="2">
        <v>1</v>
      </c>
      <c r="F6557" s="2">
        <v>3.6345690513821798E-2</v>
      </c>
      <c r="G6557" s="2">
        <v>2</v>
      </c>
    </row>
    <row r="6558" spans="1:7" x14ac:dyDescent="0.2">
      <c r="A6558" s="2" t="s">
        <v>96</v>
      </c>
      <c r="B6558" s="14">
        <v>39387</v>
      </c>
      <c r="C6558" s="2">
        <v>0</v>
      </c>
      <c r="D6558" s="2">
        <v>0</v>
      </c>
      <c r="E6558" s="2">
        <v>1</v>
      </c>
      <c r="F6558" s="2">
        <v>3.1196114667505302E-2</v>
      </c>
      <c r="G6558" s="2">
        <v>2</v>
      </c>
    </row>
    <row r="6559" spans="1:7" x14ac:dyDescent="0.2">
      <c r="A6559" s="2" t="s">
        <v>96</v>
      </c>
      <c r="B6559" s="14">
        <v>39417</v>
      </c>
      <c r="C6559" s="2">
        <v>-1.6113471583E-2</v>
      </c>
      <c r="D6559" s="2">
        <v>0</v>
      </c>
      <c r="E6559" s="2">
        <v>1</v>
      </c>
      <c r="F6559" s="2">
        <v>2.1951066497063999E-2</v>
      </c>
      <c r="G6559" s="2">
        <v>2</v>
      </c>
    </row>
    <row r="6560" spans="1:7" x14ac:dyDescent="0.2">
      <c r="A6560" s="2" t="s">
        <v>96</v>
      </c>
      <c r="B6560" s="14">
        <v>39448</v>
      </c>
      <c r="C6560" s="2">
        <v>-0.13705583756</v>
      </c>
      <c r="D6560" s="2">
        <v>0</v>
      </c>
      <c r="E6560" s="2">
        <v>1</v>
      </c>
      <c r="F6560" s="2">
        <v>2.11664931467321E-2</v>
      </c>
      <c r="G6560" s="2">
        <v>2</v>
      </c>
    </row>
    <row r="6561" spans="1:7" x14ac:dyDescent="0.2">
      <c r="A6561" s="2" t="s">
        <v>96</v>
      </c>
      <c r="B6561" s="14">
        <v>39479</v>
      </c>
      <c r="C6561" s="2">
        <v>1.1764705883E-2</v>
      </c>
      <c r="D6561" s="2">
        <v>0</v>
      </c>
      <c r="E6561" s="2">
        <v>1</v>
      </c>
      <c r="F6561" s="2">
        <v>1.8647662568924899E-2</v>
      </c>
      <c r="G6561" s="2">
        <v>2</v>
      </c>
    </row>
    <row r="6562" spans="1:7" x14ac:dyDescent="0.2">
      <c r="A6562" s="2" t="s">
        <v>96</v>
      </c>
      <c r="B6562" s="14">
        <v>39508</v>
      </c>
      <c r="C6562" s="2">
        <v>0.10465116279</v>
      </c>
      <c r="D6562" s="2">
        <v>0</v>
      </c>
      <c r="E6562" s="2">
        <v>1</v>
      </c>
      <c r="F6562" s="2">
        <v>1.8934446107039302E-2</v>
      </c>
      <c r="G6562" s="2">
        <v>2</v>
      </c>
    </row>
    <row r="6563" spans="1:7" x14ac:dyDescent="0.2">
      <c r="A6563" s="2" t="s">
        <v>96</v>
      </c>
      <c r="B6563" s="14">
        <v>39539</v>
      </c>
      <c r="C6563" s="2">
        <v>2.1052631564E-4</v>
      </c>
      <c r="D6563" s="2">
        <v>0</v>
      </c>
      <c r="E6563" s="2">
        <v>1</v>
      </c>
      <c r="F6563" s="2">
        <v>2.1465084917538499E-2</v>
      </c>
      <c r="G6563" s="2">
        <v>2</v>
      </c>
    </row>
    <row r="6564" spans="1:7" x14ac:dyDescent="0.2">
      <c r="A6564" s="2" t="s">
        <v>96</v>
      </c>
      <c r="B6564" s="14">
        <v>39569</v>
      </c>
      <c r="C6564" s="2">
        <v>6.2511289846999996E-2</v>
      </c>
      <c r="D6564" s="2">
        <v>0</v>
      </c>
      <c r="E6564" s="2">
        <v>1</v>
      </c>
      <c r="F6564" s="2">
        <v>2.1902764965205698E-2</v>
      </c>
      <c r="G6564" s="2">
        <v>2</v>
      </c>
    </row>
    <row r="6565" spans="1:7" x14ac:dyDescent="0.2">
      <c r="A6565" s="2" t="s">
        <v>96</v>
      </c>
      <c r="B6565" s="14">
        <v>39600</v>
      </c>
      <c r="C6565" s="2">
        <v>0.2001</v>
      </c>
      <c r="E6565" s="2">
        <v>1</v>
      </c>
      <c r="F6565" s="2">
        <v>2.26330627664246E-2</v>
      </c>
      <c r="G6565" s="2">
        <v>2</v>
      </c>
    </row>
    <row r="6566" spans="1:7" x14ac:dyDescent="0.2">
      <c r="A6566" s="2" t="s">
        <v>96</v>
      </c>
      <c r="B6566" s="14">
        <v>39630</v>
      </c>
      <c r="C6566" s="2">
        <v>-3.3625728927999997E-2</v>
      </c>
      <c r="E6566" s="2">
        <v>1</v>
      </c>
      <c r="F6566" s="2">
        <v>2.89204063077955E-2</v>
      </c>
      <c r="G6566" s="2">
        <v>2</v>
      </c>
    </row>
    <row r="6567" spans="1:7" x14ac:dyDescent="0.2">
      <c r="A6567" s="2" t="s">
        <v>96</v>
      </c>
      <c r="B6567" s="14">
        <v>39661</v>
      </c>
      <c r="C6567" s="2">
        <v>4.347826087E-2</v>
      </c>
      <c r="E6567" s="2">
        <v>1</v>
      </c>
      <c r="F6567" s="2">
        <v>2.7517807743170801E-2</v>
      </c>
      <c r="G6567" s="2">
        <v>2</v>
      </c>
    </row>
    <row r="6568" spans="1:7" x14ac:dyDescent="0.2">
      <c r="A6568" s="2" t="s">
        <v>96</v>
      </c>
      <c r="B6568" s="14">
        <v>39692</v>
      </c>
      <c r="C6568" s="2">
        <v>-7.1830376461000003E-2</v>
      </c>
      <c r="E6568" s="2">
        <v>1</v>
      </c>
      <c r="F6568" s="2">
        <v>2.8341414816853899E-2</v>
      </c>
      <c r="G6568" s="2">
        <v>2</v>
      </c>
    </row>
    <row r="6569" spans="1:7" x14ac:dyDescent="0.2">
      <c r="A6569" s="2" t="s">
        <v>96</v>
      </c>
      <c r="B6569" s="14">
        <v>39722</v>
      </c>
      <c r="C6569" s="2">
        <v>-9.0909090908999998E-2</v>
      </c>
      <c r="E6569" s="2">
        <v>1</v>
      </c>
      <c r="F6569" s="2">
        <v>2.3518037195913302E-2</v>
      </c>
      <c r="G6569" s="2">
        <v>2</v>
      </c>
    </row>
    <row r="6570" spans="1:7" x14ac:dyDescent="0.2">
      <c r="A6570" s="2" t="s">
        <v>96</v>
      </c>
      <c r="B6570" s="14">
        <v>39753</v>
      </c>
      <c r="C6570" s="2">
        <v>0</v>
      </c>
      <c r="E6570" s="2">
        <v>1</v>
      </c>
      <c r="F6570" s="2">
        <v>2.1191135010912601E-2</v>
      </c>
      <c r="G6570" s="2">
        <v>2</v>
      </c>
    </row>
    <row r="6571" spans="1:7" x14ac:dyDescent="0.2">
      <c r="A6571" s="2" t="s">
        <v>96</v>
      </c>
      <c r="B6571" s="14">
        <v>39783</v>
      </c>
      <c r="C6571" s="2">
        <v>4.0842105264999998E-2</v>
      </c>
      <c r="E6571" s="2">
        <v>1</v>
      </c>
      <c r="F6571" s="2">
        <v>1.9385135367687802E-2</v>
      </c>
      <c r="G6571" s="2">
        <v>2</v>
      </c>
    </row>
    <row r="6572" spans="1:7" x14ac:dyDescent="0.2">
      <c r="A6572" s="2" t="s">
        <v>97</v>
      </c>
      <c r="B6572" s="14">
        <v>37591</v>
      </c>
      <c r="E6572" s="2">
        <v>1</v>
      </c>
      <c r="G6572" s="2">
        <v>2</v>
      </c>
    </row>
    <row r="6573" spans="1:7" x14ac:dyDescent="0.2">
      <c r="A6573" s="2" t="s">
        <v>97</v>
      </c>
      <c r="B6573" s="14">
        <v>37622</v>
      </c>
      <c r="C6573" s="2">
        <v>-1.7857142857000002E-2</v>
      </c>
      <c r="E6573" s="2">
        <v>1</v>
      </c>
      <c r="G6573" s="2">
        <v>2</v>
      </c>
    </row>
    <row r="6574" spans="1:7" x14ac:dyDescent="0.2">
      <c r="A6574" s="2" t="s">
        <v>97</v>
      </c>
      <c r="B6574" s="14">
        <v>37653</v>
      </c>
      <c r="C6574" s="2">
        <v>0</v>
      </c>
      <c r="E6574" s="2">
        <v>1</v>
      </c>
      <c r="G6574" s="2">
        <v>2</v>
      </c>
    </row>
    <row r="6575" spans="1:7" x14ac:dyDescent="0.2">
      <c r="A6575" s="2" t="s">
        <v>97</v>
      </c>
      <c r="B6575" s="14">
        <v>37681</v>
      </c>
      <c r="E6575" s="2">
        <v>1</v>
      </c>
      <c r="G6575" s="2">
        <v>2</v>
      </c>
    </row>
    <row r="6576" spans="1:7" x14ac:dyDescent="0.2">
      <c r="A6576" s="2" t="s">
        <v>97</v>
      </c>
      <c r="B6576" s="14">
        <v>37712</v>
      </c>
      <c r="C6576" s="2">
        <v>1.8518518518000002E-2</v>
      </c>
      <c r="E6576" s="2">
        <v>1</v>
      </c>
      <c r="G6576" s="2">
        <v>2</v>
      </c>
    </row>
    <row r="6577" spans="1:7" x14ac:dyDescent="0.2">
      <c r="A6577" s="2" t="s">
        <v>97</v>
      </c>
      <c r="B6577" s="14">
        <v>37742</v>
      </c>
      <c r="C6577" s="2">
        <v>1.8537055122999999E-2</v>
      </c>
      <c r="D6577" s="2">
        <v>0</v>
      </c>
      <c r="E6577" s="2">
        <v>1</v>
      </c>
      <c r="G6577" s="2">
        <v>2</v>
      </c>
    </row>
    <row r="6578" spans="1:7" x14ac:dyDescent="0.2">
      <c r="A6578" s="2" t="s">
        <v>97</v>
      </c>
      <c r="B6578" s="14">
        <v>37773</v>
      </c>
      <c r="C6578" s="2">
        <v>3.6344775330000002E-2</v>
      </c>
      <c r="D6578" s="2">
        <v>0</v>
      </c>
      <c r="E6578" s="2">
        <v>1</v>
      </c>
      <c r="G6578" s="2">
        <v>2</v>
      </c>
    </row>
    <row r="6579" spans="1:7" x14ac:dyDescent="0.2">
      <c r="A6579" s="2" t="s">
        <v>97</v>
      </c>
      <c r="B6579" s="14">
        <v>37803</v>
      </c>
      <c r="D6579" s="2">
        <v>0</v>
      </c>
      <c r="E6579" s="2">
        <v>1</v>
      </c>
      <c r="G6579" s="2">
        <v>2</v>
      </c>
    </row>
    <row r="6580" spans="1:7" x14ac:dyDescent="0.2">
      <c r="A6580" s="2" t="s">
        <v>97</v>
      </c>
      <c r="B6580" s="14">
        <v>37834</v>
      </c>
      <c r="C6580" s="2">
        <v>0.14035087719</v>
      </c>
      <c r="D6580" s="2">
        <v>0</v>
      </c>
      <c r="E6580" s="2">
        <v>1</v>
      </c>
      <c r="G6580" s="2">
        <v>2</v>
      </c>
    </row>
    <row r="6581" spans="1:7" x14ac:dyDescent="0.2">
      <c r="A6581" s="2" t="s">
        <v>97</v>
      </c>
      <c r="B6581" s="14">
        <v>37865</v>
      </c>
      <c r="C6581" s="2">
        <v>2.3076923078000001E-2</v>
      </c>
      <c r="D6581" s="2">
        <v>0</v>
      </c>
      <c r="E6581" s="2">
        <v>1</v>
      </c>
      <c r="G6581" s="2">
        <v>2</v>
      </c>
    </row>
    <row r="6582" spans="1:7" x14ac:dyDescent="0.2">
      <c r="A6582" s="2" t="s">
        <v>97</v>
      </c>
      <c r="B6582" s="14">
        <v>37895</v>
      </c>
      <c r="C6582" s="2">
        <v>6.8702290077000003E-2</v>
      </c>
      <c r="D6582" s="2">
        <v>0</v>
      </c>
      <c r="E6582" s="2">
        <v>1</v>
      </c>
      <c r="G6582" s="2">
        <v>2</v>
      </c>
    </row>
    <row r="6583" spans="1:7" x14ac:dyDescent="0.2">
      <c r="A6583" s="2" t="s">
        <v>97</v>
      </c>
      <c r="B6583" s="14">
        <v>37926</v>
      </c>
      <c r="C6583" s="2">
        <v>0</v>
      </c>
      <c r="D6583" s="2">
        <v>0</v>
      </c>
      <c r="E6583" s="2">
        <v>1</v>
      </c>
      <c r="G6583" s="2">
        <v>2</v>
      </c>
    </row>
    <row r="6584" spans="1:7" x14ac:dyDescent="0.2">
      <c r="A6584" s="2" t="s">
        <v>97</v>
      </c>
      <c r="B6584" s="14">
        <v>37956</v>
      </c>
      <c r="D6584" s="2">
        <v>0</v>
      </c>
      <c r="E6584" s="2">
        <v>1</v>
      </c>
      <c r="G6584" s="2">
        <v>2</v>
      </c>
    </row>
    <row r="6585" spans="1:7" x14ac:dyDescent="0.2">
      <c r="A6585" s="2" t="s">
        <v>97</v>
      </c>
      <c r="B6585" s="14">
        <v>37987</v>
      </c>
      <c r="E6585" s="2">
        <v>1</v>
      </c>
      <c r="G6585" s="2">
        <v>2</v>
      </c>
    </row>
    <row r="6586" spans="1:7" x14ac:dyDescent="0.2">
      <c r="A6586" s="2" t="s">
        <v>97</v>
      </c>
      <c r="B6586" s="14">
        <v>38018</v>
      </c>
      <c r="E6586" s="2">
        <v>1</v>
      </c>
      <c r="G6586" s="2">
        <v>2</v>
      </c>
    </row>
    <row r="6587" spans="1:7" x14ac:dyDescent="0.2">
      <c r="A6587" s="2" t="s">
        <v>97</v>
      </c>
      <c r="B6587" s="14">
        <v>38047</v>
      </c>
      <c r="C6587" s="2">
        <v>1.5965166909E-2</v>
      </c>
      <c r="D6587" s="2">
        <v>0</v>
      </c>
      <c r="E6587" s="2">
        <v>1</v>
      </c>
      <c r="G6587" s="2">
        <v>2</v>
      </c>
    </row>
    <row r="6588" spans="1:7" x14ac:dyDescent="0.2">
      <c r="A6588" s="2" t="s">
        <v>97</v>
      </c>
      <c r="B6588" s="14">
        <v>38078</v>
      </c>
      <c r="C6588" s="2">
        <v>0</v>
      </c>
      <c r="D6588" s="2">
        <v>0</v>
      </c>
      <c r="E6588" s="2">
        <v>1</v>
      </c>
      <c r="G6588" s="2">
        <v>2</v>
      </c>
    </row>
    <row r="6589" spans="1:7" x14ac:dyDescent="0.2">
      <c r="A6589" s="2" t="s">
        <v>97</v>
      </c>
      <c r="B6589" s="14">
        <v>38108</v>
      </c>
      <c r="C6589" s="2">
        <v>2.1897810218E-2</v>
      </c>
      <c r="D6589" s="2">
        <v>0</v>
      </c>
      <c r="E6589" s="2">
        <v>1</v>
      </c>
      <c r="G6589" s="2">
        <v>2</v>
      </c>
    </row>
    <row r="6590" spans="1:7" x14ac:dyDescent="0.2">
      <c r="A6590" s="2" t="s">
        <v>97</v>
      </c>
      <c r="B6590" s="14">
        <v>38139</v>
      </c>
      <c r="C6590" s="2">
        <v>0</v>
      </c>
      <c r="D6590" s="2">
        <v>0</v>
      </c>
      <c r="E6590" s="2">
        <v>1</v>
      </c>
      <c r="G6590" s="2">
        <v>2</v>
      </c>
    </row>
    <row r="6591" spans="1:7" x14ac:dyDescent="0.2">
      <c r="A6591" s="2" t="s">
        <v>97</v>
      </c>
      <c r="B6591" s="14">
        <v>38169</v>
      </c>
      <c r="C6591" s="2">
        <v>0.45857142856999999</v>
      </c>
      <c r="D6591" s="2">
        <v>0</v>
      </c>
      <c r="E6591" s="2">
        <v>1</v>
      </c>
      <c r="G6591" s="2">
        <v>2</v>
      </c>
    </row>
    <row r="6592" spans="1:7" x14ac:dyDescent="0.2">
      <c r="A6592" s="2" t="s">
        <v>97</v>
      </c>
      <c r="B6592" s="14">
        <v>38200</v>
      </c>
      <c r="C6592" s="2">
        <v>0</v>
      </c>
      <c r="D6592" s="2">
        <v>0</v>
      </c>
      <c r="E6592" s="2">
        <v>1</v>
      </c>
      <c r="G6592" s="2">
        <v>2</v>
      </c>
    </row>
    <row r="6593" spans="1:7" x14ac:dyDescent="0.2">
      <c r="A6593" s="2" t="s">
        <v>97</v>
      </c>
      <c r="B6593" s="14">
        <v>38231</v>
      </c>
      <c r="C6593" s="2">
        <v>0.14885114885</v>
      </c>
      <c r="D6593" s="2">
        <v>0</v>
      </c>
      <c r="E6593" s="2">
        <v>1</v>
      </c>
      <c r="G6593" s="2">
        <v>2</v>
      </c>
    </row>
    <row r="6594" spans="1:7" x14ac:dyDescent="0.2">
      <c r="A6594" s="2" t="s">
        <v>97</v>
      </c>
      <c r="B6594" s="14">
        <v>38261</v>
      </c>
      <c r="C6594" s="2">
        <v>0</v>
      </c>
      <c r="D6594" s="2">
        <v>0</v>
      </c>
      <c r="E6594" s="2">
        <v>1</v>
      </c>
      <c r="G6594" s="2">
        <v>2</v>
      </c>
    </row>
    <row r="6595" spans="1:7" x14ac:dyDescent="0.2">
      <c r="A6595" s="2" t="s">
        <v>97</v>
      </c>
      <c r="B6595" s="14">
        <v>38292</v>
      </c>
      <c r="C6595" s="2">
        <v>0.30434782609</v>
      </c>
      <c r="D6595" s="2">
        <v>0</v>
      </c>
      <c r="E6595" s="2">
        <v>1</v>
      </c>
      <c r="G6595" s="2">
        <v>2</v>
      </c>
    </row>
    <row r="6596" spans="1:7" x14ac:dyDescent="0.2">
      <c r="A6596" s="2" t="s">
        <v>97</v>
      </c>
      <c r="B6596" s="14">
        <v>38322</v>
      </c>
      <c r="C6596" s="2">
        <v>-3.3333333334000001E-2</v>
      </c>
      <c r="D6596" s="2">
        <v>0</v>
      </c>
      <c r="E6596" s="2">
        <v>1</v>
      </c>
      <c r="G6596" s="2">
        <v>2</v>
      </c>
    </row>
    <row r="6597" spans="1:7" x14ac:dyDescent="0.2">
      <c r="A6597" s="2" t="s">
        <v>97</v>
      </c>
      <c r="B6597" s="14">
        <v>38353</v>
      </c>
      <c r="C6597" s="2">
        <v>0.10344827585999999</v>
      </c>
      <c r="D6597" s="2">
        <v>0</v>
      </c>
      <c r="E6597" s="2">
        <v>1</v>
      </c>
      <c r="G6597" s="2">
        <v>2</v>
      </c>
    </row>
    <row r="6598" spans="1:7" x14ac:dyDescent="0.2">
      <c r="A6598" s="2" t="s">
        <v>97</v>
      </c>
      <c r="B6598" s="14">
        <v>38384</v>
      </c>
      <c r="C6598" s="2">
        <v>7.5000000001000003E-2</v>
      </c>
      <c r="D6598" s="2">
        <v>0</v>
      </c>
      <c r="E6598" s="2">
        <v>1</v>
      </c>
      <c r="G6598" s="2">
        <v>2</v>
      </c>
    </row>
    <row r="6599" spans="1:7" x14ac:dyDescent="0.2">
      <c r="A6599" s="2" t="s">
        <v>97</v>
      </c>
      <c r="B6599" s="14">
        <v>38412</v>
      </c>
      <c r="C6599" s="2">
        <v>-3.1121550206E-2</v>
      </c>
      <c r="D6599" s="2">
        <v>0</v>
      </c>
      <c r="E6599" s="2">
        <v>1</v>
      </c>
      <c r="G6599" s="2">
        <v>2</v>
      </c>
    </row>
    <row r="6600" spans="1:7" x14ac:dyDescent="0.2">
      <c r="A6600" s="2" t="s">
        <v>97</v>
      </c>
      <c r="B6600" s="14">
        <v>38443</v>
      </c>
      <c r="C6600" s="2">
        <v>-6.6666666671000002E-3</v>
      </c>
      <c r="D6600" s="2">
        <v>0</v>
      </c>
      <c r="E6600" s="2">
        <v>1</v>
      </c>
      <c r="G6600" s="2">
        <v>2</v>
      </c>
    </row>
    <row r="6601" spans="1:7" x14ac:dyDescent="0.2">
      <c r="A6601" s="2" t="s">
        <v>97</v>
      </c>
      <c r="B6601" s="14">
        <v>38473</v>
      </c>
      <c r="C6601" s="2">
        <v>-7.4885445331E-2</v>
      </c>
      <c r="D6601" s="2">
        <v>0</v>
      </c>
      <c r="E6601" s="2">
        <v>1</v>
      </c>
      <c r="G6601" s="2">
        <v>2</v>
      </c>
    </row>
    <row r="6602" spans="1:7" x14ac:dyDescent="0.2">
      <c r="A6602" s="2" t="s">
        <v>97</v>
      </c>
      <c r="B6602" s="14">
        <v>38504</v>
      </c>
      <c r="C6602" s="2">
        <v>6.6000000000999995E-2</v>
      </c>
      <c r="D6602" s="2">
        <v>0</v>
      </c>
      <c r="E6602" s="2">
        <v>1</v>
      </c>
      <c r="G6602" s="2">
        <v>2</v>
      </c>
    </row>
    <row r="6603" spans="1:7" x14ac:dyDescent="0.2">
      <c r="A6603" s="2" t="s">
        <v>97</v>
      </c>
      <c r="B6603" s="14">
        <v>38534</v>
      </c>
      <c r="C6603" s="2">
        <v>6.2539087048000001E-4</v>
      </c>
      <c r="D6603" s="2">
        <v>0</v>
      </c>
      <c r="E6603" s="2">
        <v>1</v>
      </c>
      <c r="G6603" s="2">
        <v>2</v>
      </c>
    </row>
    <row r="6604" spans="1:7" x14ac:dyDescent="0.2">
      <c r="A6604" s="2" t="s">
        <v>97</v>
      </c>
      <c r="B6604" s="14">
        <v>38565</v>
      </c>
      <c r="C6604" s="2">
        <v>-3.1250000000999999E-2</v>
      </c>
      <c r="D6604" s="2">
        <v>0</v>
      </c>
      <c r="E6604" s="2">
        <v>1</v>
      </c>
      <c r="F6604" s="2">
        <v>1.7471574275600799E-2</v>
      </c>
      <c r="G6604" s="2">
        <v>2</v>
      </c>
    </row>
    <row r="6605" spans="1:7" x14ac:dyDescent="0.2">
      <c r="A6605" s="2" t="s">
        <v>97</v>
      </c>
      <c r="B6605" s="14">
        <v>38596</v>
      </c>
      <c r="C6605" s="2">
        <v>1.5727391875999999E-2</v>
      </c>
      <c r="D6605" s="2">
        <v>0</v>
      </c>
      <c r="E6605" s="2">
        <v>1</v>
      </c>
      <c r="F6605" s="2">
        <v>1.45049596241034E-2</v>
      </c>
      <c r="G6605" s="2">
        <v>2</v>
      </c>
    </row>
    <row r="6606" spans="1:7" x14ac:dyDescent="0.2">
      <c r="A6606" s="2" t="s">
        <v>97</v>
      </c>
      <c r="B6606" s="14">
        <v>38626</v>
      </c>
      <c r="C6606" s="2">
        <v>-6.4516129031999998E-3</v>
      </c>
      <c r="D6606" s="2">
        <v>4.5191598999999999E-3</v>
      </c>
      <c r="E6606" s="2">
        <v>1</v>
      </c>
      <c r="F6606" s="2">
        <v>1.57601880543227E-2</v>
      </c>
      <c r="G6606" s="2">
        <v>2</v>
      </c>
    </row>
    <row r="6607" spans="1:7" x14ac:dyDescent="0.2">
      <c r="A6607" s="2" t="s">
        <v>97</v>
      </c>
      <c r="B6607" s="14">
        <v>38657</v>
      </c>
      <c r="C6607" s="2">
        <v>5.8441558430999997E-3</v>
      </c>
      <c r="D6607" s="2">
        <v>0</v>
      </c>
      <c r="E6607" s="2">
        <v>1</v>
      </c>
      <c r="F6607" s="2">
        <v>1.5785004776156498E-2</v>
      </c>
      <c r="G6607" s="2">
        <v>2</v>
      </c>
    </row>
    <row r="6608" spans="1:7" x14ac:dyDescent="0.2">
      <c r="A6608" s="2" t="s">
        <v>97</v>
      </c>
      <c r="B6608" s="14">
        <v>38687</v>
      </c>
      <c r="C6608" s="2">
        <v>3.938024532E-2</v>
      </c>
      <c r="D6608" s="2">
        <v>0</v>
      </c>
      <c r="E6608" s="2">
        <v>1</v>
      </c>
      <c r="F6608" s="2">
        <v>1.71931629109391E-2</v>
      </c>
      <c r="G6608" s="2">
        <v>2</v>
      </c>
    </row>
    <row r="6609" spans="1:7" x14ac:dyDescent="0.2">
      <c r="A6609" s="2" t="s">
        <v>97</v>
      </c>
      <c r="B6609" s="14">
        <v>38718</v>
      </c>
      <c r="C6609" s="2">
        <v>9.0192998741000004E-3</v>
      </c>
      <c r="D6609" s="2">
        <v>0</v>
      </c>
      <c r="E6609" s="2">
        <v>1</v>
      </c>
      <c r="F6609" s="2">
        <v>1.63194302528669E-2</v>
      </c>
      <c r="G6609" s="2">
        <v>2</v>
      </c>
    </row>
    <row r="6610" spans="1:7" x14ac:dyDescent="0.2">
      <c r="A6610" s="2" t="s">
        <v>97</v>
      </c>
      <c r="B6610" s="14">
        <v>38749</v>
      </c>
      <c r="D6610" s="2">
        <v>0</v>
      </c>
      <c r="E6610" s="2">
        <v>1</v>
      </c>
      <c r="F6610" s="2">
        <v>1.6411737984929502E-2</v>
      </c>
      <c r="G6610" s="2">
        <v>2</v>
      </c>
    </row>
    <row r="6611" spans="1:7" x14ac:dyDescent="0.2">
      <c r="A6611" s="2" t="s">
        <v>97</v>
      </c>
      <c r="B6611" s="14">
        <v>38777</v>
      </c>
      <c r="C6611" s="2">
        <v>4.9999999998999997E-2</v>
      </c>
      <c r="D6611" s="2">
        <v>3.7811333E-3</v>
      </c>
      <c r="E6611" s="2">
        <v>1</v>
      </c>
      <c r="F6611" s="2">
        <v>1.7229679244934799E-2</v>
      </c>
      <c r="G6611" s="2">
        <v>2</v>
      </c>
    </row>
    <row r="6612" spans="1:7" x14ac:dyDescent="0.2">
      <c r="A6612" s="2" t="s">
        <v>97</v>
      </c>
      <c r="B6612" s="14">
        <v>38808</v>
      </c>
      <c r="C6612" s="2">
        <v>7.1428571428999998E-2</v>
      </c>
      <c r="D6612" s="2">
        <v>7.0495065000000003E-3</v>
      </c>
      <c r="E6612" s="2">
        <v>1</v>
      </c>
      <c r="F6612" s="2">
        <v>1.81368465683815E-2</v>
      </c>
      <c r="G6612" s="2">
        <v>2</v>
      </c>
    </row>
    <row r="6613" spans="1:7" x14ac:dyDescent="0.2">
      <c r="A6613" s="2" t="s">
        <v>97</v>
      </c>
      <c r="B6613" s="14">
        <v>38838</v>
      </c>
      <c r="C6613" s="2">
        <v>6.0085043448000003E-2</v>
      </c>
      <c r="D6613" s="2">
        <v>0</v>
      </c>
      <c r="E6613" s="2">
        <v>1</v>
      </c>
      <c r="F6613" s="2">
        <v>2.03110898305476E-2</v>
      </c>
      <c r="G6613" s="2">
        <v>2</v>
      </c>
    </row>
    <row r="6614" spans="1:7" x14ac:dyDescent="0.2">
      <c r="A6614" s="2" t="s">
        <v>97</v>
      </c>
      <c r="B6614" s="14">
        <v>38869</v>
      </c>
      <c r="D6614" s="2">
        <v>0</v>
      </c>
      <c r="E6614" s="2">
        <v>1</v>
      </c>
      <c r="F6614" s="2">
        <v>2.1602973957926899E-2</v>
      </c>
      <c r="G6614" s="2">
        <v>2</v>
      </c>
    </row>
    <row r="6615" spans="1:7" x14ac:dyDescent="0.2">
      <c r="A6615" s="2" t="s">
        <v>97</v>
      </c>
      <c r="B6615" s="14">
        <v>38899</v>
      </c>
      <c r="D6615" s="2">
        <v>0</v>
      </c>
      <c r="E6615" s="2">
        <v>1</v>
      </c>
      <c r="G6615" s="2">
        <v>2</v>
      </c>
    </row>
    <row r="6616" spans="1:7" x14ac:dyDescent="0.2">
      <c r="A6616" s="2" t="s">
        <v>97</v>
      </c>
      <c r="B6616" s="14">
        <v>38930</v>
      </c>
      <c r="C6616" s="2">
        <v>2.1276595743999999E-2</v>
      </c>
      <c r="D6616" s="2">
        <v>0</v>
      </c>
      <c r="E6616" s="2">
        <v>1</v>
      </c>
      <c r="G6616" s="2">
        <v>2</v>
      </c>
    </row>
    <row r="6617" spans="1:7" x14ac:dyDescent="0.2">
      <c r="A6617" s="2" t="s">
        <v>97</v>
      </c>
      <c r="B6617" s="14">
        <v>38961</v>
      </c>
      <c r="C6617" s="2">
        <v>3.104422859E-2</v>
      </c>
      <c r="D6617" s="2">
        <v>0</v>
      </c>
      <c r="E6617" s="2">
        <v>1</v>
      </c>
      <c r="F6617" s="2">
        <v>2.06056277719797E-2</v>
      </c>
      <c r="G6617" s="2">
        <v>2</v>
      </c>
    </row>
    <row r="6618" spans="1:7" x14ac:dyDescent="0.2">
      <c r="A6618" s="2" t="s">
        <v>97</v>
      </c>
      <c r="B6618" s="14">
        <v>38991</v>
      </c>
      <c r="C6618" s="2">
        <v>-1.0282776351E-2</v>
      </c>
      <c r="D6618" s="2">
        <v>0</v>
      </c>
      <c r="E6618" s="2">
        <v>1</v>
      </c>
      <c r="F6618" s="2">
        <v>2.0019008930112801E-2</v>
      </c>
      <c r="G6618" s="2">
        <v>2</v>
      </c>
    </row>
    <row r="6619" spans="1:7" x14ac:dyDescent="0.2">
      <c r="A6619" s="2" t="s">
        <v>97</v>
      </c>
      <c r="B6619" s="14">
        <v>39022</v>
      </c>
      <c r="C6619" s="2">
        <v>6.4935064936E-2</v>
      </c>
      <c r="D6619" s="2">
        <v>0</v>
      </c>
      <c r="E6619" s="2">
        <v>1</v>
      </c>
      <c r="F6619" s="2">
        <v>1.7695111256964699E-2</v>
      </c>
      <c r="G6619" s="2">
        <v>2</v>
      </c>
    </row>
    <row r="6620" spans="1:7" x14ac:dyDescent="0.2">
      <c r="A6620" s="2" t="s">
        <v>97</v>
      </c>
      <c r="B6620" s="14">
        <v>39052</v>
      </c>
      <c r="C6620" s="2">
        <v>7.3170731705999997E-2</v>
      </c>
      <c r="D6620" s="2">
        <v>0</v>
      </c>
      <c r="E6620" s="2">
        <v>1</v>
      </c>
      <c r="F6620" s="2">
        <v>1.7698422800213599E-2</v>
      </c>
      <c r="G6620" s="2">
        <v>2</v>
      </c>
    </row>
    <row r="6621" spans="1:7" x14ac:dyDescent="0.2">
      <c r="A6621" s="2" t="s">
        <v>97</v>
      </c>
      <c r="B6621" s="14">
        <v>39083</v>
      </c>
      <c r="C6621" s="2">
        <v>-2.2727272727000002E-2</v>
      </c>
      <c r="D6621" s="2">
        <v>0</v>
      </c>
      <c r="E6621" s="2">
        <v>1</v>
      </c>
      <c r="F6621" s="2">
        <v>1.9698711786326598E-2</v>
      </c>
      <c r="G6621" s="2">
        <v>2</v>
      </c>
    </row>
    <row r="6622" spans="1:7" x14ac:dyDescent="0.2">
      <c r="A6622" s="2" t="s">
        <v>97</v>
      </c>
      <c r="B6622" s="14">
        <v>39114</v>
      </c>
      <c r="C6622" s="2">
        <v>4.6511627907000003E-2</v>
      </c>
      <c r="D6622" s="2">
        <v>0</v>
      </c>
      <c r="E6622" s="2">
        <v>1</v>
      </c>
      <c r="F6622" s="2">
        <v>1.9199817906892999E-2</v>
      </c>
      <c r="G6622" s="2">
        <v>2</v>
      </c>
    </row>
    <row r="6623" spans="1:7" x14ac:dyDescent="0.2">
      <c r="A6623" s="2" t="s">
        <v>97</v>
      </c>
      <c r="B6623" s="14">
        <v>39142</v>
      </c>
      <c r="C6623" s="2">
        <v>8.3521444693999997E-2</v>
      </c>
      <c r="D6623" s="2">
        <v>0</v>
      </c>
      <c r="E6623" s="2">
        <v>1</v>
      </c>
      <c r="F6623" s="2">
        <v>1.97896422016989E-2</v>
      </c>
      <c r="G6623" s="2">
        <v>2</v>
      </c>
    </row>
    <row r="6624" spans="1:7" x14ac:dyDescent="0.2">
      <c r="A6624" s="2" t="s">
        <v>97</v>
      </c>
      <c r="B6624" s="14">
        <v>39173</v>
      </c>
      <c r="C6624" s="2">
        <v>8.3333333334000004E-2</v>
      </c>
      <c r="D6624" s="2">
        <v>0</v>
      </c>
      <c r="E6624" s="2">
        <v>1</v>
      </c>
      <c r="F6624" s="2">
        <v>2.12119049879252E-2</v>
      </c>
      <c r="G6624" s="2">
        <v>2</v>
      </c>
    </row>
    <row r="6625" spans="1:7" x14ac:dyDescent="0.2">
      <c r="A6625" s="2" t="s">
        <v>97</v>
      </c>
      <c r="B6625" s="14">
        <v>39203</v>
      </c>
      <c r="C6625" s="2">
        <v>4.2951971887E-2</v>
      </c>
      <c r="D6625" s="2">
        <v>0</v>
      </c>
      <c r="E6625" s="2">
        <v>1</v>
      </c>
      <c r="F6625" s="2">
        <v>2.3757818862277399E-2</v>
      </c>
      <c r="G6625" s="2">
        <v>2</v>
      </c>
    </row>
    <row r="6626" spans="1:7" x14ac:dyDescent="0.2">
      <c r="A6626" s="2" t="s">
        <v>97</v>
      </c>
      <c r="B6626" s="14">
        <v>39234</v>
      </c>
      <c r="C6626" s="2">
        <v>1.0857356796000001E-2</v>
      </c>
      <c r="D6626" s="2">
        <v>0</v>
      </c>
      <c r="E6626" s="2">
        <v>1</v>
      </c>
      <c r="F6626" s="2">
        <v>2.3052554013477101E-2</v>
      </c>
      <c r="G6626" s="2">
        <v>2</v>
      </c>
    </row>
    <row r="6627" spans="1:7" x14ac:dyDescent="0.2">
      <c r="A6627" s="2" t="s">
        <v>97</v>
      </c>
      <c r="B6627" s="14">
        <v>39264</v>
      </c>
      <c r="D6627" s="2">
        <v>0</v>
      </c>
      <c r="E6627" s="2">
        <v>1</v>
      </c>
      <c r="F6627" s="2">
        <v>2.1214118123131499E-2</v>
      </c>
      <c r="G6627" s="2">
        <v>2</v>
      </c>
    </row>
    <row r="6628" spans="1:7" x14ac:dyDescent="0.2">
      <c r="A6628" s="2" t="s">
        <v>97</v>
      </c>
      <c r="B6628" s="14">
        <v>39295</v>
      </c>
      <c r="D6628" s="2">
        <v>0</v>
      </c>
      <c r="E6628" s="2">
        <v>1</v>
      </c>
      <c r="F6628" s="2">
        <v>1.8588016730026899E-2</v>
      </c>
      <c r="G6628" s="2">
        <v>2</v>
      </c>
    </row>
    <row r="6629" spans="1:7" x14ac:dyDescent="0.2">
      <c r="A6629" s="2" t="s">
        <v>97</v>
      </c>
      <c r="B6629" s="14">
        <v>39326</v>
      </c>
      <c r="C6629" s="2">
        <v>-6.6118789688999993E-2</v>
      </c>
      <c r="D6629" s="2">
        <v>0</v>
      </c>
      <c r="E6629" s="2">
        <v>1</v>
      </c>
      <c r="G6629" s="2">
        <v>2</v>
      </c>
    </row>
    <row r="6630" spans="1:7" x14ac:dyDescent="0.2">
      <c r="A6630" s="2" t="s">
        <v>97</v>
      </c>
      <c r="B6630" s="14">
        <v>39356</v>
      </c>
      <c r="D6630" s="2">
        <v>0</v>
      </c>
      <c r="E6630" s="2">
        <v>1</v>
      </c>
      <c r="F6630" s="2">
        <v>1.336577203929E-2</v>
      </c>
      <c r="G6630" s="2">
        <v>2</v>
      </c>
    </row>
    <row r="6631" spans="1:7" x14ac:dyDescent="0.2">
      <c r="A6631" s="2" t="s">
        <v>97</v>
      </c>
      <c r="B6631" s="14">
        <v>39387</v>
      </c>
      <c r="C6631" s="2">
        <v>-4.0000000001E-2</v>
      </c>
      <c r="D6631" s="2">
        <v>0</v>
      </c>
      <c r="E6631" s="2">
        <v>1</v>
      </c>
      <c r="G6631" s="2">
        <v>2</v>
      </c>
    </row>
    <row r="6632" spans="1:7" x14ac:dyDescent="0.2">
      <c r="A6632" s="2" t="s">
        <v>97</v>
      </c>
      <c r="B6632" s="14">
        <v>39417</v>
      </c>
      <c r="C6632" s="2">
        <v>-5.2083333332999998E-2</v>
      </c>
      <c r="D6632" s="2">
        <v>0</v>
      </c>
      <c r="E6632" s="2">
        <v>1</v>
      </c>
      <c r="F6632" s="2">
        <v>8.7481685995825197E-3</v>
      </c>
      <c r="G6632" s="2">
        <v>2</v>
      </c>
    </row>
    <row r="6633" spans="1:7" x14ac:dyDescent="0.2">
      <c r="A6633" s="2" t="s">
        <v>97</v>
      </c>
      <c r="B6633" s="14">
        <v>39448</v>
      </c>
      <c r="C6633" s="2">
        <v>-0.24070796459999999</v>
      </c>
      <c r="D6633" s="2">
        <v>2.6666667000000002E-4</v>
      </c>
      <c r="E6633" s="2">
        <v>1</v>
      </c>
      <c r="F6633" s="2">
        <v>7.0825208350474601E-3</v>
      </c>
      <c r="G6633" s="2">
        <v>2</v>
      </c>
    </row>
    <row r="6634" spans="1:7" x14ac:dyDescent="0.2">
      <c r="A6634" s="2" t="s">
        <v>97</v>
      </c>
      <c r="B6634" s="14">
        <v>39479</v>
      </c>
      <c r="C6634" s="2">
        <v>0</v>
      </c>
      <c r="D6634" s="2">
        <v>1.6000000000000001E-4</v>
      </c>
      <c r="E6634" s="2">
        <v>1</v>
      </c>
      <c r="F6634" s="2">
        <v>1.5986414901995899E-3</v>
      </c>
      <c r="G6634" s="2">
        <v>2</v>
      </c>
    </row>
    <row r="6635" spans="1:7" x14ac:dyDescent="0.2">
      <c r="A6635" s="2" t="s">
        <v>97</v>
      </c>
      <c r="B6635" s="14">
        <v>39508</v>
      </c>
      <c r="C6635" s="2">
        <v>-0.16083916084</v>
      </c>
      <c r="D6635" s="2">
        <v>1.3246533E-3</v>
      </c>
      <c r="E6635" s="2">
        <v>1</v>
      </c>
      <c r="F6635" s="2">
        <v>1.5547764092904699E-3</v>
      </c>
      <c r="G6635" s="2">
        <v>2</v>
      </c>
    </row>
    <row r="6636" spans="1:7" x14ac:dyDescent="0.2">
      <c r="A6636" s="2" t="s">
        <v>97</v>
      </c>
      <c r="B6636" s="14">
        <v>39539</v>
      </c>
      <c r="C6636" s="2">
        <v>4.0972222220999999E-2</v>
      </c>
      <c r="D6636" s="2">
        <v>0</v>
      </c>
      <c r="E6636" s="2">
        <v>1</v>
      </c>
      <c r="F6636" s="2">
        <v>-7.5266924690585305E-4</v>
      </c>
      <c r="G6636" s="2">
        <v>2</v>
      </c>
    </row>
    <row r="6637" spans="1:7" x14ac:dyDescent="0.2">
      <c r="A6637" s="2" t="s">
        <v>97</v>
      </c>
      <c r="B6637" s="14">
        <v>39569</v>
      </c>
      <c r="C6637" s="2">
        <v>-5.8140311690000002E-2</v>
      </c>
      <c r="D6637" s="2">
        <v>0</v>
      </c>
      <c r="E6637" s="2">
        <v>1</v>
      </c>
      <c r="F6637" s="2">
        <v>2.2679106408991001E-4</v>
      </c>
      <c r="G6637" s="2">
        <v>2</v>
      </c>
    </row>
    <row r="6638" spans="1:7" x14ac:dyDescent="0.2">
      <c r="A6638" s="2" t="s">
        <v>97</v>
      </c>
      <c r="B6638" s="14">
        <v>39600</v>
      </c>
      <c r="C6638" s="2">
        <v>0</v>
      </c>
      <c r="D6638" s="2">
        <v>0</v>
      </c>
      <c r="E6638" s="2">
        <v>1</v>
      </c>
      <c r="F6638" s="2">
        <v>-2.7041069042727601E-4</v>
      </c>
      <c r="G6638" s="2">
        <v>2</v>
      </c>
    </row>
    <row r="6639" spans="1:7" x14ac:dyDescent="0.2">
      <c r="A6639" s="2" t="s">
        <v>97</v>
      </c>
      <c r="B6639" s="14">
        <v>39630</v>
      </c>
      <c r="C6639" s="2">
        <v>-5.7142857142999999E-2</v>
      </c>
      <c r="D6639" s="2">
        <v>0</v>
      </c>
      <c r="E6639" s="2">
        <v>1</v>
      </c>
      <c r="F6639" s="2">
        <v>1.2142950174065901E-3</v>
      </c>
      <c r="G6639" s="2">
        <v>2</v>
      </c>
    </row>
    <row r="6640" spans="1:7" x14ac:dyDescent="0.2">
      <c r="A6640" s="2" t="s">
        <v>97</v>
      </c>
      <c r="B6640" s="14">
        <v>39661</v>
      </c>
      <c r="C6640" s="2">
        <v>-5.3030303030000003E-2</v>
      </c>
      <c r="D6640" s="2">
        <v>0</v>
      </c>
      <c r="E6640" s="2">
        <v>1</v>
      </c>
      <c r="F6640" s="2">
        <v>7.4222421248428703E-3</v>
      </c>
      <c r="G6640" s="2">
        <v>2</v>
      </c>
    </row>
    <row r="6641" spans="1:7" x14ac:dyDescent="0.2">
      <c r="A6641" s="2" t="s">
        <v>97</v>
      </c>
      <c r="B6641" s="14">
        <v>39692</v>
      </c>
      <c r="C6641" s="2">
        <v>-0.19024390244</v>
      </c>
      <c r="D6641" s="2">
        <v>0</v>
      </c>
      <c r="E6641" s="2">
        <v>1</v>
      </c>
      <c r="F6641" s="2">
        <v>5.9363815853353298E-3</v>
      </c>
      <c r="G6641" s="2">
        <v>2</v>
      </c>
    </row>
    <row r="6642" spans="1:7" x14ac:dyDescent="0.2">
      <c r="A6642" s="2" t="s">
        <v>97</v>
      </c>
      <c r="B6642" s="14">
        <v>39722</v>
      </c>
      <c r="C6642" s="2">
        <v>-8.0000000000999993E-2</v>
      </c>
      <c r="D6642" s="19">
        <v>6.6666667000000006E-5</v>
      </c>
      <c r="E6642" s="2">
        <v>1</v>
      </c>
      <c r="F6642" s="2">
        <v>5.76401431132075E-3</v>
      </c>
      <c r="G6642" s="2">
        <v>2</v>
      </c>
    </row>
    <row r="6643" spans="1:7" x14ac:dyDescent="0.2">
      <c r="A6643" s="2" t="s">
        <v>97</v>
      </c>
      <c r="B6643" s="14">
        <v>39753</v>
      </c>
      <c r="C6643" s="2">
        <v>-4.3478260869000002E-2</v>
      </c>
      <c r="D6643" s="2">
        <v>0</v>
      </c>
      <c r="E6643" s="2">
        <v>1</v>
      </c>
      <c r="F6643" s="2">
        <v>2.3832637137641702E-3</v>
      </c>
      <c r="G6643" s="2">
        <v>2</v>
      </c>
    </row>
    <row r="6644" spans="1:7" x14ac:dyDescent="0.2">
      <c r="A6644" s="2" t="s">
        <v>97</v>
      </c>
      <c r="B6644" s="14">
        <v>39783</v>
      </c>
      <c r="C6644" s="2">
        <v>1.1363636364E-2</v>
      </c>
      <c r="D6644" s="2">
        <v>0</v>
      </c>
      <c r="E6644" s="2">
        <v>1</v>
      </c>
      <c r="F6644" s="2">
        <v>2.9056560960141601E-3</v>
      </c>
      <c r="G6644" s="2">
        <v>2</v>
      </c>
    </row>
    <row r="6645" spans="1:7" x14ac:dyDescent="0.2">
      <c r="A6645" s="2" t="s">
        <v>98</v>
      </c>
      <c r="B6645" s="14">
        <v>37591</v>
      </c>
      <c r="C6645" s="2">
        <v>8.2621071978999996E-2</v>
      </c>
      <c r="D6645" s="2">
        <v>5.8605107E-3</v>
      </c>
      <c r="E6645" s="2">
        <v>1</v>
      </c>
      <c r="G6645" s="2">
        <v>1</v>
      </c>
    </row>
    <row r="6646" spans="1:7" x14ac:dyDescent="0.2">
      <c r="A6646" s="2" t="s">
        <v>98</v>
      </c>
      <c r="B6646" s="14">
        <v>37622</v>
      </c>
      <c r="C6646" s="2">
        <v>-3.2894737255000001E-2</v>
      </c>
      <c r="D6646" s="2">
        <v>3.4924571000000001E-3</v>
      </c>
      <c r="E6646" s="2">
        <v>1</v>
      </c>
      <c r="G6646" s="2">
        <v>1</v>
      </c>
    </row>
    <row r="6647" spans="1:7" x14ac:dyDescent="0.2">
      <c r="A6647" s="2" t="s">
        <v>98</v>
      </c>
      <c r="B6647" s="14">
        <v>37653</v>
      </c>
      <c r="C6647" s="2">
        <v>-9.5237681271000008E-3</v>
      </c>
      <c r="D6647" s="2">
        <v>-1.9735317E-3</v>
      </c>
      <c r="E6647" s="2">
        <v>1</v>
      </c>
      <c r="G6647" s="2">
        <v>1</v>
      </c>
    </row>
    <row r="6648" spans="1:7" x14ac:dyDescent="0.2">
      <c r="A6648" s="2" t="s">
        <v>98</v>
      </c>
      <c r="B6648" s="14">
        <v>37681</v>
      </c>
      <c r="C6648" s="2">
        <v>-2.3351658157000001E-2</v>
      </c>
      <c r="D6648" s="2">
        <v>-2.5617087E-3</v>
      </c>
      <c r="E6648" s="2">
        <v>1</v>
      </c>
      <c r="G6648" s="2">
        <v>1</v>
      </c>
    </row>
    <row r="6649" spans="1:7" x14ac:dyDescent="0.2">
      <c r="A6649" s="2" t="s">
        <v>98</v>
      </c>
      <c r="B6649" s="14">
        <v>37712</v>
      </c>
      <c r="C6649" s="2">
        <v>0.10407872814999999</v>
      </c>
      <c r="D6649" s="2">
        <v>-7.9871987999999999E-4</v>
      </c>
      <c r="E6649" s="2">
        <v>1</v>
      </c>
      <c r="G6649" s="2">
        <v>1</v>
      </c>
    </row>
    <row r="6650" spans="1:7" x14ac:dyDescent="0.2">
      <c r="A6650" s="2" t="s">
        <v>98</v>
      </c>
      <c r="B6650" s="14">
        <v>37742</v>
      </c>
      <c r="C6650" s="2">
        <v>4.0485551463000001E-2</v>
      </c>
      <c r="D6650" s="2">
        <v>-1.9696492E-3</v>
      </c>
      <c r="E6650" s="2">
        <v>1</v>
      </c>
      <c r="G6650" s="2">
        <v>1</v>
      </c>
    </row>
    <row r="6651" spans="1:7" x14ac:dyDescent="0.2">
      <c r="A6651" s="2" t="s">
        <v>98</v>
      </c>
      <c r="B6651" s="14">
        <v>37773</v>
      </c>
      <c r="C6651" s="2">
        <v>-2.3485791549000001E-2</v>
      </c>
      <c r="D6651" s="2">
        <v>1.3372716000000001E-3</v>
      </c>
      <c r="E6651" s="2">
        <v>1</v>
      </c>
      <c r="G6651" s="2">
        <v>1</v>
      </c>
    </row>
    <row r="6652" spans="1:7" x14ac:dyDescent="0.2">
      <c r="A6652" s="2" t="s">
        <v>98</v>
      </c>
      <c r="B6652" s="14">
        <v>37803</v>
      </c>
      <c r="C6652" s="2">
        <v>1.2658215622999999E-2</v>
      </c>
      <c r="D6652" s="2">
        <v>-2.7632497E-3</v>
      </c>
      <c r="E6652" s="2">
        <v>1</v>
      </c>
      <c r="G6652" s="2">
        <v>1</v>
      </c>
    </row>
    <row r="6653" spans="1:7" x14ac:dyDescent="0.2">
      <c r="A6653" s="2" t="s">
        <v>98</v>
      </c>
      <c r="B6653" s="14">
        <v>37834</v>
      </c>
      <c r="C6653" s="2">
        <v>8.7499976157999995E-2</v>
      </c>
      <c r="D6653" s="2">
        <v>1.9747193E-4</v>
      </c>
      <c r="E6653" s="2">
        <v>1</v>
      </c>
      <c r="F6653" s="2">
        <v>1.53364069238627E-2</v>
      </c>
      <c r="G6653" s="2">
        <v>1</v>
      </c>
    </row>
    <row r="6654" spans="1:7" x14ac:dyDescent="0.2">
      <c r="A6654" s="2" t="s">
        <v>98</v>
      </c>
      <c r="B6654" s="14">
        <v>37865</v>
      </c>
      <c r="C6654" s="2">
        <v>-6.0919510873000002E-2</v>
      </c>
      <c r="D6654" s="2">
        <v>2.0396995E-4</v>
      </c>
      <c r="E6654" s="2">
        <v>1</v>
      </c>
      <c r="F6654" s="2">
        <v>1.80256729525364E-2</v>
      </c>
      <c r="G6654" s="2">
        <v>1</v>
      </c>
    </row>
    <row r="6655" spans="1:7" x14ac:dyDescent="0.2">
      <c r="A6655" s="2" t="s">
        <v>98</v>
      </c>
      <c r="B6655" s="14">
        <v>37895</v>
      </c>
      <c r="C6655" s="2">
        <v>-0.11872708175</v>
      </c>
      <c r="D6655" s="19">
        <v>1.5478126E-6</v>
      </c>
      <c r="E6655" s="2">
        <v>1</v>
      </c>
      <c r="F6655" s="2">
        <v>1.7146638688195E-2</v>
      </c>
      <c r="G6655" s="2">
        <v>1</v>
      </c>
    </row>
    <row r="6656" spans="1:7" x14ac:dyDescent="0.2">
      <c r="A6656" s="2" t="s">
        <v>98</v>
      </c>
      <c r="B6656" s="14">
        <v>37926</v>
      </c>
      <c r="C6656" s="2">
        <v>-6.2499975164999999E-2</v>
      </c>
      <c r="D6656" s="2">
        <v>-6.5447018000000003E-3</v>
      </c>
      <c r="E6656" s="2">
        <v>1</v>
      </c>
      <c r="F6656" s="2">
        <v>1.11978835419414E-2</v>
      </c>
      <c r="G6656" s="2">
        <v>1</v>
      </c>
    </row>
    <row r="6657" spans="1:7" x14ac:dyDescent="0.2">
      <c r="A6657" s="2" t="s">
        <v>98</v>
      </c>
      <c r="B6657" s="14">
        <v>37956</v>
      </c>
      <c r="C6657" s="2">
        <v>-0.19259259259</v>
      </c>
      <c r="D6657" s="2">
        <v>-5.4491655999999999E-3</v>
      </c>
      <c r="E6657" s="2">
        <v>1</v>
      </c>
      <c r="F6657" s="2">
        <v>8.3525115138813402E-3</v>
      </c>
      <c r="G6657" s="2">
        <v>1</v>
      </c>
    </row>
    <row r="6658" spans="1:7" x14ac:dyDescent="0.2">
      <c r="A6658" s="2" t="s">
        <v>98</v>
      </c>
      <c r="B6658" s="14">
        <v>37987</v>
      </c>
      <c r="C6658" s="2">
        <v>-9.1743119256000004E-3</v>
      </c>
      <c r="E6658" s="2">
        <v>1</v>
      </c>
      <c r="F6658" s="2">
        <v>4.2623131619486301E-3</v>
      </c>
      <c r="G6658" s="2">
        <v>1</v>
      </c>
    </row>
    <row r="6659" spans="1:7" x14ac:dyDescent="0.2">
      <c r="A6659" s="2" t="s">
        <v>98</v>
      </c>
      <c r="B6659" s="14">
        <v>38018</v>
      </c>
      <c r="C6659" s="2">
        <v>3.7037037036000003E-2</v>
      </c>
      <c r="E6659" s="2">
        <v>1</v>
      </c>
      <c r="F6659" s="2">
        <v>3.6531350099102901E-3</v>
      </c>
      <c r="G6659" s="2">
        <v>1</v>
      </c>
    </row>
    <row r="6660" spans="1:7" x14ac:dyDescent="0.2">
      <c r="A6660" s="2" t="s">
        <v>98</v>
      </c>
      <c r="B6660" s="14">
        <v>38047</v>
      </c>
      <c r="C6660" s="2">
        <v>8.9285714293999997E-3</v>
      </c>
      <c r="D6660" s="2">
        <v>-5.5277371E-3</v>
      </c>
      <c r="E6660" s="2">
        <v>1</v>
      </c>
      <c r="F6660" s="2">
        <v>2.14398527831796E-3</v>
      </c>
      <c r="G6660" s="2">
        <v>1</v>
      </c>
    </row>
    <row r="6661" spans="1:7" x14ac:dyDescent="0.2">
      <c r="A6661" s="2" t="s">
        <v>98</v>
      </c>
      <c r="B6661" s="14">
        <v>38078</v>
      </c>
      <c r="C6661" s="2">
        <v>-5.3097345134000003E-2</v>
      </c>
      <c r="D6661" s="2">
        <v>-1.2016819999999999E-3</v>
      </c>
      <c r="E6661" s="2">
        <v>1</v>
      </c>
      <c r="F6661" s="2">
        <v>4.1475022073597699E-3</v>
      </c>
      <c r="G6661" s="2">
        <v>1</v>
      </c>
    </row>
    <row r="6662" spans="1:7" x14ac:dyDescent="0.2">
      <c r="A6662" s="2" t="s">
        <v>98</v>
      </c>
      <c r="B6662" s="14">
        <v>38108</v>
      </c>
      <c r="C6662" s="2">
        <v>8.1282080866E-2</v>
      </c>
      <c r="D6662" s="19">
        <v>-7.8571516000000002E-5</v>
      </c>
      <c r="E6662" s="2">
        <v>1</v>
      </c>
      <c r="F6662" s="2">
        <v>6.0119077727624299E-3</v>
      </c>
      <c r="G6662" s="2">
        <v>1</v>
      </c>
    </row>
    <row r="6663" spans="1:7" x14ac:dyDescent="0.2">
      <c r="A6663" s="2" t="s">
        <v>98</v>
      </c>
      <c r="B6663" s="14">
        <v>38139</v>
      </c>
      <c r="C6663" s="2">
        <v>-2.6086956522999999E-2</v>
      </c>
      <c r="D6663" s="2">
        <v>-1.3495813E-3</v>
      </c>
      <c r="E6663" s="2">
        <v>1</v>
      </c>
      <c r="F6663" s="2">
        <v>1.0079103000457199E-2</v>
      </c>
      <c r="G6663" s="2">
        <v>1</v>
      </c>
    </row>
    <row r="6664" spans="1:7" x14ac:dyDescent="0.2">
      <c r="A6664" s="2" t="s">
        <v>98</v>
      </c>
      <c r="B6664" s="14">
        <v>38169</v>
      </c>
      <c r="C6664" s="2">
        <v>8.9285714293999997E-3</v>
      </c>
      <c r="D6664" s="2">
        <v>-1.7193295999999999E-3</v>
      </c>
      <c r="E6664" s="2">
        <v>1</v>
      </c>
      <c r="F6664" s="2">
        <v>1.49497311960291E-2</v>
      </c>
      <c r="G6664" s="2">
        <v>1</v>
      </c>
    </row>
    <row r="6665" spans="1:7" x14ac:dyDescent="0.2">
      <c r="A6665" s="2" t="s">
        <v>98</v>
      </c>
      <c r="B6665" s="14">
        <v>38200</v>
      </c>
      <c r="C6665" s="2">
        <v>0.18584070795999999</v>
      </c>
      <c r="D6665" s="2">
        <v>7.9958071000000002E-4</v>
      </c>
      <c r="E6665" s="2">
        <v>1</v>
      </c>
      <c r="F6665" s="2">
        <v>2.15839826909653E-2</v>
      </c>
      <c r="G6665" s="2">
        <v>1</v>
      </c>
    </row>
    <row r="6666" spans="1:7" x14ac:dyDescent="0.2">
      <c r="A6666" s="2" t="s">
        <v>98</v>
      </c>
      <c r="B6666" s="14">
        <v>38231</v>
      </c>
      <c r="C6666" s="2">
        <v>0</v>
      </c>
      <c r="D6666" s="2">
        <v>9.983204099999999E-4</v>
      </c>
      <c r="E6666" s="2">
        <v>1</v>
      </c>
      <c r="F6666" s="2">
        <v>2.57945637125266E-2</v>
      </c>
      <c r="G6666" s="2">
        <v>1</v>
      </c>
    </row>
    <row r="6667" spans="1:7" x14ac:dyDescent="0.2">
      <c r="A6667" s="2" t="s">
        <v>98</v>
      </c>
      <c r="B6667" s="14">
        <v>38261</v>
      </c>
      <c r="C6667" s="2">
        <v>-4.4776119401999999E-2</v>
      </c>
      <c r="D6667" s="2">
        <v>-1.6684892000000001E-3</v>
      </c>
      <c r="E6667" s="2">
        <v>1</v>
      </c>
      <c r="F6667" s="2">
        <v>2.5518994923828701E-2</v>
      </c>
      <c r="G6667" s="2">
        <v>1</v>
      </c>
    </row>
    <row r="6668" spans="1:7" x14ac:dyDescent="0.2">
      <c r="A6668" s="2" t="s">
        <v>98</v>
      </c>
      <c r="B6668" s="14">
        <v>38292</v>
      </c>
      <c r="C6668" s="2">
        <v>0</v>
      </c>
      <c r="D6668" s="2">
        <v>-6.9789993999999998E-3</v>
      </c>
      <c r="E6668" s="2">
        <v>1</v>
      </c>
      <c r="F6668" s="2">
        <v>2.57640530479042E-2</v>
      </c>
      <c r="G6668" s="2">
        <v>1</v>
      </c>
    </row>
    <row r="6669" spans="1:7" x14ac:dyDescent="0.2">
      <c r="A6669" s="2" t="s">
        <v>98</v>
      </c>
      <c r="B6669" s="14">
        <v>38322</v>
      </c>
      <c r="C6669" s="2">
        <v>-1.40625E-2</v>
      </c>
      <c r="D6669" s="2">
        <v>1.6315144000000001E-3</v>
      </c>
      <c r="E6669" s="2">
        <v>1</v>
      </c>
      <c r="F6669" s="2">
        <v>2.3381849565045899E-2</v>
      </c>
      <c r="G6669" s="2">
        <v>1</v>
      </c>
    </row>
    <row r="6670" spans="1:7" x14ac:dyDescent="0.2">
      <c r="A6670" s="2" t="s">
        <v>98</v>
      </c>
      <c r="B6670" s="14">
        <v>38353</v>
      </c>
      <c r="C6670" s="2">
        <v>-1.7432646592999999E-2</v>
      </c>
      <c r="D6670" s="2">
        <v>1.3865561000000001E-4</v>
      </c>
      <c r="E6670" s="2">
        <v>1</v>
      </c>
      <c r="F6670" s="2">
        <v>2.3321467736114002E-2</v>
      </c>
      <c r="G6670" s="2">
        <v>1</v>
      </c>
    </row>
    <row r="6671" spans="1:7" x14ac:dyDescent="0.2">
      <c r="A6671" s="2" t="s">
        <v>98</v>
      </c>
      <c r="B6671" s="14">
        <v>38384</v>
      </c>
      <c r="C6671" s="2">
        <v>0</v>
      </c>
      <c r="D6671" s="19">
        <v>-9.2437076000000004E-5</v>
      </c>
      <c r="E6671" s="2">
        <v>1</v>
      </c>
      <c r="F6671" s="2">
        <v>2.2605861104425501E-2</v>
      </c>
      <c r="G6671" s="2">
        <v>1</v>
      </c>
    </row>
    <row r="6672" spans="1:7" x14ac:dyDescent="0.2">
      <c r="A6672" s="2" t="s">
        <v>98</v>
      </c>
      <c r="B6672" s="14">
        <v>38412</v>
      </c>
      <c r="C6672" s="2">
        <v>-8.0645161279000004E-3</v>
      </c>
      <c r="D6672" s="2">
        <v>-8.4117741999999998E-4</v>
      </c>
      <c r="E6672" s="2">
        <v>1</v>
      </c>
      <c r="F6672" s="2">
        <v>1.7230757000370599E-2</v>
      </c>
      <c r="G6672" s="2">
        <v>1</v>
      </c>
    </row>
    <row r="6673" spans="1:7" x14ac:dyDescent="0.2">
      <c r="A6673" s="2" t="s">
        <v>98</v>
      </c>
      <c r="B6673" s="14">
        <v>38443</v>
      </c>
      <c r="C6673" s="2">
        <v>-2.4390243902000001E-2</v>
      </c>
      <c r="D6673" s="2">
        <v>-2.3109269E-4</v>
      </c>
      <c r="E6673" s="2">
        <v>1</v>
      </c>
      <c r="F6673" s="2">
        <v>1.7020506338456299E-2</v>
      </c>
      <c r="G6673" s="2">
        <v>1</v>
      </c>
    </row>
    <row r="6674" spans="1:7" x14ac:dyDescent="0.2">
      <c r="A6674" s="2" t="s">
        <v>98</v>
      </c>
      <c r="B6674" s="14">
        <v>38473</v>
      </c>
      <c r="C6674" s="2">
        <v>8.0854629240999995E-2</v>
      </c>
      <c r="D6674" s="2">
        <v>-3.0689108999999999E-2</v>
      </c>
      <c r="E6674" s="2">
        <v>1</v>
      </c>
      <c r="F6674" s="2">
        <v>1.7627861568815802E-2</v>
      </c>
      <c r="G6674" s="2">
        <v>1</v>
      </c>
    </row>
    <row r="6675" spans="1:7" x14ac:dyDescent="0.2">
      <c r="A6675" s="2" t="s">
        <v>98</v>
      </c>
      <c r="B6675" s="14">
        <v>38504</v>
      </c>
      <c r="C6675" s="2">
        <v>9.3023255812999996E-3</v>
      </c>
      <c r="D6675" s="2">
        <v>-6.1008467999999999E-4</v>
      </c>
      <c r="E6675" s="2">
        <v>1</v>
      </c>
      <c r="F6675" s="2">
        <v>1.9798476929818599E-2</v>
      </c>
      <c r="G6675" s="2">
        <v>1</v>
      </c>
    </row>
    <row r="6676" spans="1:7" x14ac:dyDescent="0.2">
      <c r="A6676" s="2" t="s">
        <v>98</v>
      </c>
      <c r="B6676" s="14">
        <v>38534</v>
      </c>
      <c r="C6676" s="2">
        <v>5.9907834101999999E-2</v>
      </c>
      <c r="D6676" s="2">
        <v>1.1231105E-3</v>
      </c>
      <c r="E6676" s="2">
        <v>1</v>
      </c>
      <c r="F6676" s="2">
        <v>2.0431508948799901E-2</v>
      </c>
      <c r="G6676" s="2">
        <v>1</v>
      </c>
    </row>
    <row r="6677" spans="1:7" x14ac:dyDescent="0.2">
      <c r="A6677" s="2" t="s">
        <v>98</v>
      </c>
      <c r="B6677" s="14">
        <v>38565</v>
      </c>
      <c r="C6677" s="2">
        <v>-5.7971014493000003E-2</v>
      </c>
      <c r="D6677" s="2">
        <v>-2.3109269E-4</v>
      </c>
      <c r="E6677" s="2">
        <v>1</v>
      </c>
      <c r="F6677" s="2">
        <v>2.0125946261444299E-2</v>
      </c>
      <c r="G6677" s="2">
        <v>1</v>
      </c>
    </row>
    <row r="6678" spans="1:7" x14ac:dyDescent="0.2">
      <c r="A6678" s="2" t="s">
        <v>98</v>
      </c>
      <c r="B6678" s="14">
        <v>38596</v>
      </c>
      <c r="C6678" s="2">
        <v>-4.4615384615000003E-2</v>
      </c>
      <c r="D6678" s="2">
        <v>0</v>
      </c>
      <c r="E6678" s="2">
        <v>1</v>
      </c>
      <c r="F6678" s="2">
        <v>1.8137546948582099E-2</v>
      </c>
      <c r="G6678" s="2">
        <v>1</v>
      </c>
    </row>
    <row r="6679" spans="1:7" x14ac:dyDescent="0.2">
      <c r="A6679" s="2" t="s">
        <v>98</v>
      </c>
      <c r="B6679" s="14">
        <v>38626</v>
      </c>
      <c r="C6679" s="2">
        <v>-9.1207272892999999E-2</v>
      </c>
      <c r="D6679" s="2">
        <v>-6.7941251000000003E-4</v>
      </c>
      <c r="E6679" s="2">
        <v>1</v>
      </c>
      <c r="F6679" s="2">
        <v>1.7221664815276899E-2</v>
      </c>
      <c r="G6679" s="2">
        <v>1</v>
      </c>
    </row>
    <row r="6680" spans="1:7" x14ac:dyDescent="0.2">
      <c r="A6680" s="2" t="s">
        <v>98</v>
      </c>
      <c r="B6680" s="14">
        <v>38657</v>
      </c>
      <c r="C6680" s="2">
        <v>-1.4159292036E-2</v>
      </c>
      <c r="D6680" s="2">
        <v>1.6649894999999999E-3</v>
      </c>
      <c r="E6680" s="2">
        <v>1</v>
      </c>
      <c r="F6680" s="2">
        <v>1.56114361100223E-2</v>
      </c>
      <c r="G6680" s="2">
        <v>1</v>
      </c>
    </row>
    <row r="6681" spans="1:7" x14ac:dyDescent="0.2">
      <c r="A6681" s="2" t="s">
        <v>98</v>
      </c>
      <c r="B6681" s="14">
        <v>38687</v>
      </c>
      <c r="C6681" s="2">
        <v>-8.4380610413000004E-2</v>
      </c>
      <c r="D6681" s="19">
        <v>9.2243186000000007E-5</v>
      </c>
      <c r="E6681" s="2">
        <v>1</v>
      </c>
      <c r="F6681" s="2">
        <v>1.28975723898425E-2</v>
      </c>
      <c r="G6681" s="2">
        <v>1</v>
      </c>
    </row>
    <row r="6682" spans="1:7" x14ac:dyDescent="0.2">
      <c r="A6682" s="2" t="s">
        <v>98</v>
      </c>
      <c r="B6682" s="14">
        <v>38718</v>
      </c>
      <c r="C6682" s="2">
        <v>7.8431372548999997E-2</v>
      </c>
      <c r="D6682" s="2">
        <v>-4.6813417999999997E-3</v>
      </c>
      <c r="E6682" s="2">
        <v>1</v>
      </c>
      <c r="F6682" s="2">
        <v>1.0479772504399101E-2</v>
      </c>
      <c r="G6682" s="2">
        <v>1</v>
      </c>
    </row>
    <row r="6683" spans="1:7" x14ac:dyDescent="0.2">
      <c r="A6683" s="2" t="s">
        <v>98</v>
      </c>
      <c r="B6683" s="14">
        <v>38749</v>
      </c>
      <c r="C6683" s="2">
        <v>-7.2727272728000003E-2</v>
      </c>
      <c r="D6683" s="2">
        <v>-4.2431865999999999E-4</v>
      </c>
      <c r="E6683" s="2">
        <v>1</v>
      </c>
      <c r="F6683" s="2">
        <v>1.09698375162985E-2</v>
      </c>
      <c r="G6683" s="2">
        <v>1</v>
      </c>
    </row>
    <row r="6684" spans="1:7" x14ac:dyDescent="0.2">
      <c r="A6684" s="2" t="s">
        <v>98</v>
      </c>
      <c r="B6684" s="14">
        <v>38777</v>
      </c>
      <c r="C6684" s="2">
        <v>-5.8823529410999997E-2</v>
      </c>
      <c r="D6684" s="2">
        <v>0</v>
      </c>
      <c r="E6684" s="2">
        <v>1</v>
      </c>
      <c r="F6684" s="2">
        <v>1.0767920146409499E-2</v>
      </c>
      <c r="G6684" s="2">
        <v>1</v>
      </c>
    </row>
    <row r="6685" spans="1:7" x14ac:dyDescent="0.2">
      <c r="A6685" s="2" t="s">
        <v>98</v>
      </c>
      <c r="B6685" s="14">
        <v>38808</v>
      </c>
      <c r="C6685" s="2">
        <v>-6.2500000001000006E-2</v>
      </c>
      <c r="D6685" s="2">
        <v>1.8448636999999999E-4</v>
      </c>
      <c r="E6685" s="2">
        <v>1</v>
      </c>
      <c r="F6685" s="2">
        <v>1.0519550261894E-2</v>
      </c>
      <c r="G6685" s="2">
        <v>1</v>
      </c>
    </row>
    <row r="6686" spans="1:7" x14ac:dyDescent="0.2">
      <c r="A6686" s="2" t="s">
        <v>98</v>
      </c>
      <c r="B6686" s="14">
        <v>38838</v>
      </c>
      <c r="C6686" s="2">
        <v>-0.10888888888000001</v>
      </c>
      <c r="D6686" s="19">
        <v>-2.3060797E-5</v>
      </c>
      <c r="E6686" s="2">
        <v>1</v>
      </c>
      <c r="F6686" s="2">
        <v>1.1520040022897599E-2</v>
      </c>
      <c r="G6686" s="2">
        <v>1</v>
      </c>
    </row>
    <row r="6687" spans="1:7" x14ac:dyDescent="0.2">
      <c r="A6687" s="2" t="s">
        <v>98</v>
      </c>
      <c r="B6687" s="14">
        <v>38869</v>
      </c>
      <c r="C6687" s="2">
        <v>0.15960099750000001</v>
      </c>
      <c r="D6687" s="2">
        <v>5.9496856000000001E-4</v>
      </c>
      <c r="E6687" s="2">
        <v>1</v>
      </c>
      <c r="F6687" s="2">
        <v>8.96457803159568E-3</v>
      </c>
      <c r="G6687" s="2">
        <v>1</v>
      </c>
    </row>
    <row r="6688" spans="1:7" x14ac:dyDescent="0.2">
      <c r="A6688" s="2" t="s">
        <v>98</v>
      </c>
      <c r="B6688" s="14">
        <v>38899</v>
      </c>
      <c r="C6688" s="2">
        <v>-0.10107526880999999</v>
      </c>
      <c r="D6688" s="2">
        <v>0</v>
      </c>
      <c r="E6688" s="2">
        <v>1</v>
      </c>
      <c r="F6688" s="2">
        <v>1.60961789537571E-2</v>
      </c>
      <c r="G6688" s="2">
        <v>1</v>
      </c>
    </row>
    <row r="6689" spans="1:7" x14ac:dyDescent="0.2">
      <c r="A6689" s="2" t="s">
        <v>98</v>
      </c>
      <c r="B6689" s="14">
        <v>38930</v>
      </c>
      <c r="C6689" s="2">
        <v>0.12440191387000001</v>
      </c>
      <c r="D6689" s="19">
        <v>-9.2243189999999994E-6</v>
      </c>
      <c r="E6689" s="2">
        <v>1</v>
      </c>
      <c r="F6689" s="2">
        <v>1.53813671617052E-2</v>
      </c>
      <c r="G6689" s="2">
        <v>1</v>
      </c>
    </row>
    <row r="6690" spans="1:7" x14ac:dyDescent="0.2">
      <c r="A6690" s="2" t="s">
        <v>98</v>
      </c>
      <c r="B6690" s="14">
        <v>38961</v>
      </c>
      <c r="C6690" s="2">
        <v>4.2553191492E-2</v>
      </c>
      <c r="D6690" s="2">
        <v>4.9350108000000004E-4</v>
      </c>
      <c r="E6690" s="2">
        <v>1</v>
      </c>
      <c r="F6690" s="2">
        <v>2.1040760651254601E-2</v>
      </c>
      <c r="G6690" s="2">
        <v>1</v>
      </c>
    </row>
    <row r="6691" spans="1:7" x14ac:dyDescent="0.2">
      <c r="A6691" s="2" t="s">
        <v>98</v>
      </c>
      <c r="B6691" s="14">
        <v>38991</v>
      </c>
      <c r="C6691" s="2">
        <v>-4.0816326532E-2</v>
      </c>
      <c r="D6691" s="2">
        <v>0</v>
      </c>
      <c r="E6691" s="2">
        <v>1</v>
      </c>
      <c r="F6691" s="2">
        <v>2.3904142484274901E-2</v>
      </c>
      <c r="G6691" s="2">
        <v>1</v>
      </c>
    </row>
    <row r="6692" spans="1:7" x14ac:dyDescent="0.2">
      <c r="A6692" s="2" t="s">
        <v>98</v>
      </c>
      <c r="B6692" s="14">
        <v>39022</v>
      </c>
      <c r="C6692" s="2">
        <v>-1.9148936169E-2</v>
      </c>
      <c r="D6692" s="2">
        <v>8.3018868000000003E-4</v>
      </c>
      <c r="E6692" s="2">
        <v>1</v>
      </c>
      <c r="F6692" s="2">
        <v>2.4576678098776301E-2</v>
      </c>
      <c r="G6692" s="2">
        <v>1</v>
      </c>
    </row>
    <row r="6693" spans="1:7" x14ac:dyDescent="0.2">
      <c r="A6693" s="2" t="s">
        <v>98</v>
      </c>
      <c r="B6693" s="14">
        <v>39052</v>
      </c>
      <c r="C6693" s="2">
        <v>-1.0845986986000001E-2</v>
      </c>
      <c r="D6693" s="2">
        <v>0</v>
      </c>
      <c r="E6693" s="2">
        <v>1</v>
      </c>
      <c r="F6693" s="2">
        <v>2.72137815218624E-2</v>
      </c>
      <c r="G6693" s="2">
        <v>1</v>
      </c>
    </row>
    <row r="6694" spans="1:7" x14ac:dyDescent="0.2">
      <c r="A6694" s="2" t="s">
        <v>98</v>
      </c>
      <c r="B6694" s="14">
        <v>39083</v>
      </c>
      <c r="C6694" s="2">
        <v>0.11842105263</v>
      </c>
      <c r="D6694" s="2">
        <v>-9.2243187999999999E-4</v>
      </c>
      <c r="E6694" s="2">
        <v>1</v>
      </c>
      <c r="F6694" s="2">
        <v>2.2260068954402999E-2</v>
      </c>
      <c r="G6694" s="2">
        <v>1</v>
      </c>
    </row>
    <row r="6695" spans="1:7" x14ac:dyDescent="0.2">
      <c r="A6695" s="2" t="s">
        <v>98</v>
      </c>
      <c r="B6695" s="14">
        <v>39114</v>
      </c>
      <c r="C6695" s="2">
        <v>-6.8627450980000004E-2</v>
      </c>
      <c r="D6695" s="2">
        <v>0</v>
      </c>
      <c r="E6695" s="2">
        <v>1</v>
      </c>
      <c r="F6695" s="2">
        <v>2.84243649359259E-2</v>
      </c>
      <c r="G6695" s="2">
        <v>1</v>
      </c>
    </row>
    <row r="6696" spans="1:7" x14ac:dyDescent="0.2">
      <c r="A6696" s="2" t="s">
        <v>98</v>
      </c>
      <c r="B6696" s="14">
        <v>39142</v>
      </c>
      <c r="C6696" s="2">
        <v>3.1578947368000002E-2</v>
      </c>
      <c r="D6696" s="19">
        <v>-4.6121594999999997E-6</v>
      </c>
      <c r="E6696" s="2">
        <v>1</v>
      </c>
      <c r="F6696" s="2">
        <v>2.3004160522414299E-2</v>
      </c>
      <c r="G6696" s="2">
        <v>1</v>
      </c>
    </row>
    <row r="6697" spans="1:7" x14ac:dyDescent="0.2">
      <c r="A6697" s="2" t="s">
        <v>98</v>
      </c>
      <c r="B6697" s="14">
        <v>39173</v>
      </c>
      <c r="C6697" s="2">
        <v>0.11510769216</v>
      </c>
      <c r="D6697" s="2">
        <v>-5.6290799000000002E-3</v>
      </c>
      <c r="E6697" s="2">
        <v>1</v>
      </c>
      <c r="F6697" s="2">
        <v>2.2590654739837401E-2</v>
      </c>
      <c r="G6697" s="2">
        <v>1</v>
      </c>
    </row>
    <row r="6698" spans="1:7" x14ac:dyDescent="0.2">
      <c r="A6698" s="2" t="s">
        <v>98</v>
      </c>
      <c r="B6698" s="14">
        <v>39203</v>
      </c>
      <c r="C6698" s="2">
        <v>-4.3853211007000001E-2</v>
      </c>
      <c r="D6698" s="2">
        <v>1.0617191E-2</v>
      </c>
      <c r="E6698" s="2">
        <v>1</v>
      </c>
      <c r="F6698" s="2">
        <v>2.6897954371967198E-2</v>
      </c>
      <c r="G6698" s="2">
        <v>1</v>
      </c>
    </row>
    <row r="6699" spans="1:7" x14ac:dyDescent="0.2">
      <c r="A6699" s="2" t="s">
        <v>98</v>
      </c>
      <c r="B6699" s="14">
        <v>39234</v>
      </c>
      <c r="C6699" s="2">
        <v>0.29533678756999998</v>
      </c>
      <c r="D6699" s="2">
        <v>0</v>
      </c>
      <c r="E6699" s="2">
        <v>1</v>
      </c>
      <c r="F6699" s="2">
        <v>2.6163638239132099E-2</v>
      </c>
      <c r="G6699" s="2">
        <v>1</v>
      </c>
    </row>
    <row r="6700" spans="1:7" x14ac:dyDescent="0.2">
      <c r="A6700" s="2" t="s">
        <v>98</v>
      </c>
      <c r="B6700" s="14">
        <v>39264</v>
      </c>
      <c r="C6700" s="2">
        <v>-8.8888888888999998E-2</v>
      </c>
      <c r="D6700" s="2">
        <v>-7.3333334999999998E-4</v>
      </c>
      <c r="E6700" s="2">
        <v>1</v>
      </c>
      <c r="F6700" s="2">
        <v>3.4880474463505499E-2</v>
      </c>
      <c r="G6700" s="2">
        <v>1</v>
      </c>
    </row>
    <row r="6701" spans="1:7" x14ac:dyDescent="0.2">
      <c r="A6701" s="2" t="s">
        <v>98</v>
      </c>
      <c r="B6701" s="14">
        <v>39295</v>
      </c>
      <c r="C6701" s="2">
        <v>-8.1300813017000009E-3</v>
      </c>
      <c r="D6701" s="2">
        <v>-7.8406709000000002E-4</v>
      </c>
      <c r="E6701" s="2">
        <v>1</v>
      </c>
      <c r="F6701" s="2">
        <v>3.1289618097631602E-2</v>
      </c>
      <c r="G6701" s="2">
        <v>1</v>
      </c>
    </row>
    <row r="6702" spans="1:7" x14ac:dyDescent="0.2">
      <c r="A6702" s="2" t="s">
        <v>98</v>
      </c>
      <c r="B6702" s="14">
        <v>39326</v>
      </c>
      <c r="C6702" s="2">
        <v>-7.1967213114000006E-2</v>
      </c>
      <c r="D6702" s="2">
        <v>-5.9958071999999998E-3</v>
      </c>
      <c r="E6702" s="2">
        <v>1</v>
      </c>
      <c r="F6702" s="2">
        <v>3.3002329704164203E-2</v>
      </c>
      <c r="G6702" s="2">
        <v>1</v>
      </c>
    </row>
    <row r="6703" spans="1:7" x14ac:dyDescent="0.2">
      <c r="A6703" s="2" t="s">
        <v>98</v>
      </c>
      <c r="B6703" s="14">
        <v>39356</v>
      </c>
      <c r="C6703" s="2">
        <v>-6.2003179651000002E-2</v>
      </c>
      <c r="D6703" s="2">
        <v>0</v>
      </c>
      <c r="E6703" s="2">
        <v>1</v>
      </c>
      <c r="F6703" s="2">
        <v>3.0017541506744301E-2</v>
      </c>
      <c r="G6703" s="2">
        <v>1</v>
      </c>
    </row>
    <row r="6704" spans="1:7" x14ac:dyDescent="0.2">
      <c r="A6704" s="2" t="s">
        <v>98</v>
      </c>
      <c r="B6704" s="14">
        <v>39387</v>
      </c>
      <c r="C6704" s="2">
        <v>-0.10564971751</v>
      </c>
      <c r="D6704" s="2">
        <v>-5.1122060999999998E-3</v>
      </c>
      <c r="E6704" s="2">
        <v>1</v>
      </c>
      <c r="F6704" s="2">
        <v>2.5068387139203199E-2</v>
      </c>
      <c r="G6704" s="2">
        <v>1</v>
      </c>
    </row>
    <row r="6705" spans="1:7" x14ac:dyDescent="0.2">
      <c r="A6705" s="2" t="s">
        <v>98</v>
      </c>
      <c r="B6705" s="14">
        <v>39417</v>
      </c>
      <c r="C6705" s="2">
        <v>-5.2432090967000002E-2</v>
      </c>
      <c r="D6705" s="2">
        <v>0</v>
      </c>
      <c r="E6705" s="2">
        <v>1</v>
      </c>
      <c r="F6705" s="2">
        <v>2.3633171905010901E-2</v>
      </c>
      <c r="G6705" s="2">
        <v>1</v>
      </c>
    </row>
    <row r="6706" spans="1:7" x14ac:dyDescent="0.2">
      <c r="A6706" s="2" t="s">
        <v>98</v>
      </c>
      <c r="B6706" s="14">
        <v>39448</v>
      </c>
      <c r="C6706" s="2">
        <v>-0.11777777776999999</v>
      </c>
      <c r="D6706" s="2">
        <v>5.6292646999999999E-3</v>
      </c>
      <c r="E6706" s="2">
        <v>1</v>
      </c>
      <c r="F6706" s="2">
        <v>1.3731520695661499E-2</v>
      </c>
      <c r="G6706" s="2">
        <v>1</v>
      </c>
    </row>
    <row r="6707" spans="1:7" x14ac:dyDescent="0.2">
      <c r="A6707" s="2" t="s">
        <v>98</v>
      </c>
      <c r="B6707" s="14">
        <v>39479</v>
      </c>
      <c r="C6707" s="2">
        <v>-5.5415617128E-2</v>
      </c>
      <c r="D6707" s="2">
        <v>-1.2509477000000001E-4</v>
      </c>
      <c r="E6707" s="2">
        <v>1</v>
      </c>
      <c r="F6707" s="2">
        <v>1.3163970028128399E-2</v>
      </c>
      <c r="G6707" s="2">
        <v>1</v>
      </c>
    </row>
    <row r="6708" spans="1:7" x14ac:dyDescent="0.2">
      <c r="A6708" s="2" t="s">
        <v>98</v>
      </c>
      <c r="B6708" s="14">
        <v>39508</v>
      </c>
      <c r="C6708" s="2">
        <v>-9.3333333332999993E-2</v>
      </c>
      <c r="D6708" s="19">
        <v>-2.1395376E-6</v>
      </c>
      <c r="E6708" s="2">
        <v>1</v>
      </c>
      <c r="F6708" s="2">
        <v>1.19183325233846E-2</v>
      </c>
      <c r="G6708" s="2">
        <v>1</v>
      </c>
    </row>
    <row r="6709" spans="1:7" x14ac:dyDescent="0.2">
      <c r="A6709" s="2" t="s">
        <v>98</v>
      </c>
      <c r="B6709" s="14">
        <v>39539</v>
      </c>
      <c r="C6709" s="2">
        <v>-7.9819532819000005E-2</v>
      </c>
      <c r="D6709" s="2">
        <v>-1.7930250000000001E-4</v>
      </c>
      <c r="E6709" s="2">
        <v>1</v>
      </c>
      <c r="F6709" s="2">
        <v>1.15457871614202E-2</v>
      </c>
      <c r="G6709" s="2">
        <v>1</v>
      </c>
    </row>
    <row r="6710" spans="1:7" x14ac:dyDescent="0.2">
      <c r="A6710" s="2" t="s">
        <v>98</v>
      </c>
      <c r="B6710" s="14">
        <v>39569</v>
      </c>
      <c r="C6710" s="2">
        <v>3.2258064517000001E-2</v>
      </c>
      <c r="D6710" s="2">
        <v>-2.752085E-3</v>
      </c>
      <c r="E6710" s="2">
        <v>1</v>
      </c>
      <c r="F6710" s="2">
        <v>1.10955796367241E-2</v>
      </c>
      <c r="G6710" s="2">
        <v>1</v>
      </c>
    </row>
    <row r="6711" spans="1:7" x14ac:dyDescent="0.2">
      <c r="A6711" s="2" t="s">
        <v>98</v>
      </c>
      <c r="B6711" s="14">
        <v>39600</v>
      </c>
      <c r="C6711" s="2">
        <v>3.1250000029000002E-4</v>
      </c>
      <c r="D6711" s="2">
        <v>-9.5989387000000002E-3</v>
      </c>
      <c r="E6711" s="2">
        <v>1</v>
      </c>
      <c r="F6711" s="2">
        <v>1.5044322376563E-2</v>
      </c>
      <c r="G6711" s="2">
        <v>1</v>
      </c>
    </row>
    <row r="6712" spans="1:7" x14ac:dyDescent="0.2">
      <c r="A6712" s="2" t="s">
        <v>98</v>
      </c>
      <c r="B6712" s="14">
        <v>39630</v>
      </c>
      <c r="C6712" s="2">
        <v>7.7788191189000003E-2</v>
      </c>
      <c r="D6712" s="19">
        <v>-3.3358607000000002E-5</v>
      </c>
      <c r="E6712" s="2">
        <v>1</v>
      </c>
      <c r="F6712" s="2">
        <v>1.53268441177101E-2</v>
      </c>
      <c r="G6712" s="2">
        <v>1</v>
      </c>
    </row>
    <row r="6713" spans="1:7" x14ac:dyDescent="0.2">
      <c r="A6713" s="2" t="s">
        <v>98</v>
      </c>
      <c r="B6713" s="14">
        <v>39661</v>
      </c>
      <c r="C6713" s="2">
        <v>7.2463768117999997E-2</v>
      </c>
      <c r="D6713" s="2">
        <v>3.1273693000000002E-3</v>
      </c>
      <c r="E6713" s="2">
        <v>1</v>
      </c>
      <c r="F6713" s="2">
        <v>2.35837044184278E-2</v>
      </c>
      <c r="G6713" s="2">
        <v>1</v>
      </c>
    </row>
    <row r="6714" spans="1:7" x14ac:dyDescent="0.2">
      <c r="A6714" s="2" t="s">
        <v>98</v>
      </c>
      <c r="B6714" s="14">
        <v>39692</v>
      </c>
      <c r="C6714" s="2">
        <v>-0.1054054054</v>
      </c>
      <c r="D6714" s="2">
        <v>-1.1825626000000001E-2</v>
      </c>
      <c r="E6714" s="2">
        <v>1</v>
      </c>
      <c r="F6714" s="2">
        <v>2.7278818625485101E-2</v>
      </c>
      <c r="G6714" s="2">
        <v>1</v>
      </c>
    </row>
    <row r="6715" spans="1:7" x14ac:dyDescent="0.2">
      <c r="A6715" s="2" t="s">
        <v>98</v>
      </c>
      <c r="B6715" s="14">
        <v>39722</v>
      </c>
      <c r="C6715" s="2">
        <v>-9.3655589124999994E-2</v>
      </c>
      <c r="D6715" s="2">
        <v>5.6709629000000004E-4</v>
      </c>
      <c r="E6715" s="2">
        <v>1</v>
      </c>
      <c r="F6715" s="2">
        <v>2.7224462114015701E-2</v>
      </c>
      <c r="G6715" s="2">
        <v>1</v>
      </c>
    </row>
    <row r="6716" spans="1:7" x14ac:dyDescent="0.2">
      <c r="A6716" s="2" t="s">
        <v>98</v>
      </c>
      <c r="B6716" s="14">
        <v>39753</v>
      </c>
      <c r="C6716" s="2">
        <v>0.21666666667000001</v>
      </c>
      <c r="D6716" s="2">
        <v>9.2570129000000005E-4</v>
      </c>
      <c r="E6716" s="2">
        <v>1</v>
      </c>
      <c r="F6716" s="2">
        <v>2.7075857754421E-2</v>
      </c>
      <c r="G6716" s="2">
        <v>1</v>
      </c>
    </row>
    <row r="6717" spans="1:7" x14ac:dyDescent="0.2">
      <c r="A6717" s="2" t="s">
        <v>98</v>
      </c>
      <c r="B6717" s="14">
        <v>39783</v>
      </c>
      <c r="C6717" s="2">
        <v>1.315068493E-2</v>
      </c>
      <c r="D6717" s="2">
        <v>-4.8828661000000001E-3</v>
      </c>
      <c r="E6717" s="2">
        <v>1</v>
      </c>
      <c r="F6717" s="2">
        <v>3.2505039637583999E-2</v>
      </c>
      <c r="G6717" s="2">
        <v>1</v>
      </c>
    </row>
    <row r="6718" spans="1:7" x14ac:dyDescent="0.2">
      <c r="A6718" s="2" t="s">
        <v>99</v>
      </c>
      <c r="B6718" s="14">
        <v>37591</v>
      </c>
      <c r="C6718" s="2">
        <v>-5.2631578948000003E-2</v>
      </c>
      <c r="E6718" s="2">
        <v>1</v>
      </c>
      <c r="G6718" s="2">
        <v>2</v>
      </c>
    </row>
    <row r="6719" spans="1:7" x14ac:dyDescent="0.2">
      <c r="A6719" s="2" t="s">
        <v>99</v>
      </c>
      <c r="B6719" s="14">
        <v>37622</v>
      </c>
      <c r="C6719" s="2">
        <v>0</v>
      </c>
      <c r="E6719" s="2">
        <v>1</v>
      </c>
      <c r="G6719" s="2">
        <v>2</v>
      </c>
    </row>
    <row r="6720" spans="1:7" x14ac:dyDescent="0.2">
      <c r="A6720" s="2" t="s">
        <v>99</v>
      </c>
      <c r="B6720" s="14">
        <v>37653</v>
      </c>
      <c r="C6720" s="2">
        <v>-0.11111111110999999</v>
      </c>
      <c r="E6720" s="2">
        <v>1</v>
      </c>
      <c r="G6720" s="2">
        <v>2</v>
      </c>
    </row>
    <row r="6721" spans="1:7" x14ac:dyDescent="0.2">
      <c r="A6721" s="2" t="s">
        <v>99</v>
      </c>
      <c r="B6721" s="14">
        <v>37681</v>
      </c>
      <c r="C6721" s="2">
        <v>0.125</v>
      </c>
      <c r="E6721" s="2">
        <v>1</v>
      </c>
      <c r="G6721" s="2">
        <v>2</v>
      </c>
    </row>
    <row r="6722" spans="1:7" x14ac:dyDescent="0.2">
      <c r="A6722" s="2" t="s">
        <v>99</v>
      </c>
      <c r="B6722" s="14">
        <v>37712</v>
      </c>
      <c r="C6722" s="2">
        <v>0</v>
      </c>
      <c r="E6722" s="2">
        <v>1</v>
      </c>
      <c r="G6722" s="2">
        <v>2</v>
      </c>
    </row>
    <row r="6723" spans="1:7" x14ac:dyDescent="0.2">
      <c r="A6723" s="2" t="s">
        <v>99</v>
      </c>
      <c r="B6723" s="14">
        <v>37742</v>
      </c>
      <c r="C6723" s="2">
        <v>8.2910321489000002E-2</v>
      </c>
      <c r="E6723" s="2">
        <v>1</v>
      </c>
      <c r="G6723" s="2">
        <v>2</v>
      </c>
    </row>
    <row r="6724" spans="1:7" x14ac:dyDescent="0.2">
      <c r="A6724" s="2" t="s">
        <v>99</v>
      </c>
      <c r="B6724" s="14">
        <v>37773</v>
      </c>
      <c r="C6724" s="2">
        <v>-6.25E-2</v>
      </c>
      <c r="E6724" s="2">
        <v>1</v>
      </c>
      <c r="G6724" s="2">
        <v>2</v>
      </c>
    </row>
    <row r="6725" spans="1:7" x14ac:dyDescent="0.2">
      <c r="A6725" s="2" t="s">
        <v>99</v>
      </c>
      <c r="B6725" s="14">
        <v>37803</v>
      </c>
      <c r="C6725" s="2">
        <v>0</v>
      </c>
      <c r="E6725" s="2">
        <v>1</v>
      </c>
      <c r="G6725" s="2">
        <v>2</v>
      </c>
    </row>
    <row r="6726" spans="1:7" x14ac:dyDescent="0.2">
      <c r="A6726" s="2" t="s">
        <v>99</v>
      </c>
      <c r="B6726" s="14">
        <v>37834</v>
      </c>
      <c r="C6726" s="2">
        <v>0.27777777778000001</v>
      </c>
      <c r="E6726" s="2">
        <v>1</v>
      </c>
      <c r="F6726" s="2">
        <v>5.0892551003099099E-2</v>
      </c>
      <c r="G6726" s="2">
        <v>2</v>
      </c>
    </row>
    <row r="6727" spans="1:7" x14ac:dyDescent="0.2">
      <c r="A6727" s="2" t="s">
        <v>99</v>
      </c>
      <c r="B6727" s="14">
        <v>37865</v>
      </c>
      <c r="C6727" s="2">
        <v>4.3478260868000003E-3</v>
      </c>
      <c r="E6727" s="2">
        <v>1</v>
      </c>
      <c r="F6727" s="2">
        <v>6.2397376231351401E-2</v>
      </c>
      <c r="G6727" s="2">
        <v>2</v>
      </c>
    </row>
    <row r="6728" spans="1:7" x14ac:dyDescent="0.2">
      <c r="A6728" s="2" t="s">
        <v>99</v>
      </c>
      <c r="B6728" s="14">
        <v>37895</v>
      </c>
      <c r="C6728" s="2">
        <v>0.21212121212000001</v>
      </c>
      <c r="E6728" s="2">
        <v>1</v>
      </c>
      <c r="F6728" s="2">
        <v>5.8735626995082099E-2</v>
      </c>
      <c r="G6728" s="2">
        <v>2</v>
      </c>
    </row>
    <row r="6729" spans="1:7" x14ac:dyDescent="0.2">
      <c r="A6729" s="2" t="s">
        <v>99</v>
      </c>
      <c r="B6729" s="14">
        <v>37926</v>
      </c>
      <c r="C6729" s="2">
        <v>3.5714285714000003E-2</v>
      </c>
      <c r="E6729" s="2">
        <v>1</v>
      </c>
      <c r="F6729" s="2">
        <v>6.4554631276853097E-2</v>
      </c>
      <c r="G6729" s="2">
        <v>2</v>
      </c>
    </row>
    <row r="6730" spans="1:7" x14ac:dyDescent="0.2">
      <c r="A6730" s="2" t="s">
        <v>99</v>
      </c>
      <c r="B6730" s="14">
        <v>37956</v>
      </c>
      <c r="C6730" s="2">
        <v>3.4482758620999997E-2</v>
      </c>
      <c r="E6730" s="2">
        <v>1</v>
      </c>
      <c r="F6730" s="2">
        <v>6.3007063583725001E-2</v>
      </c>
      <c r="G6730" s="2">
        <v>2</v>
      </c>
    </row>
    <row r="6731" spans="1:7" x14ac:dyDescent="0.2">
      <c r="A6731" s="2" t="s">
        <v>99</v>
      </c>
      <c r="B6731" s="14">
        <v>37987</v>
      </c>
      <c r="C6731" s="2">
        <v>0.19333333333</v>
      </c>
      <c r="E6731" s="2">
        <v>1</v>
      </c>
      <c r="F6731" s="2">
        <v>6.5619062869351402E-2</v>
      </c>
      <c r="G6731" s="2">
        <v>2</v>
      </c>
    </row>
    <row r="6732" spans="1:7" x14ac:dyDescent="0.2">
      <c r="A6732" s="2" t="s">
        <v>99</v>
      </c>
      <c r="B6732" s="14">
        <v>38018</v>
      </c>
      <c r="C6732" s="2">
        <v>-2.2346368714E-2</v>
      </c>
      <c r="E6732" s="2">
        <v>1</v>
      </c>
      <c r="F6732" s="2">
        <v>7.0917882075144406E-2</v>
      </c>
      <c r="G6732" s="2">
        <v>2</v>
      </c>
    </row>
    <row r="6733" spans="1:7" x14ac:dyDescent="0.2">
      <c r="A6733" s="2" t="s">
        <v>99</v>
      </c>
      <c r="B6733" s="14">
        <v>38047</v>
      </c>
      <c r="C6733" s="2">
        <v>5.7142857143999998E-2</v>
      </c>
      <c r="E6733" s="2">
        <v>1</v>
      </c>
      <c r="F6733" s="2">
        <v>6.2145393571451497E-2</v>
      </c>
      <c r="G6733" s="2">
        <v>2</v>
      </c>
    </row>
    <row r="6734" spans="1:7" x14ac:dyDescent="0.2">
      <c r="A6734" s="2" t="s">
        <v>99</v>
      </c>
      <c r="B6734" s="14">
        <v>38078</v>
      </c>
      <c r="C6734" s="2">
        <v>-2.7027027028E-2</v>
      </c>
      <c r="E6734" s="2">
        <v>1</v>
      </c>
      <c r="F6734" s="2">
        <v>6.3465489089091096E-2</v>
      </c>
      <c r="G6734" s="2">
        <v>2</v>
      </c>
    </row>
    <row r="6735" spans="1:7" x14ac:dyDescent="0.2">
      <c r="A6735" s="2" t="s">
        <v>99</v>
      </c>
      <c r="B6735" s="14">
        <v>38108</v>
      </c>
      <c r="C6735" s="2">
        <v>-2.4013188490999999E-2</v>
      </c>
      <c r="E6735" s="2">
        <v>1</v>
      </c>
      <c r="F6735" s="2">
        <v>5.6686208222339399E-2</v>
      </c>
      <c r="G6735" s="2">
        <v>2</v>
      </c>
    </row>
    <row r="6736" spans="1:7" x14ac:dyDescent="0.2">
      <c r="A6736" s="2" t="s">
        <v>99</v>
      </c>
      <c r="B6736" s="14">
        <v>38139</v>
      </c>
      <c r="C6736" s="2">
        <v>0.20588235294000001</v>
      </c>
      <c r="E6736" s="2">
        <v>1</v>
      </c>
      <c r="F6736" s="2">
        <v>5.5110074559366201E-2</v>
      </c>
      <c r="G6736" s="2">
        <v>2</v>
      </c>
    </row>
    <row r="6737" spans="1:7" x14ac:dyDescent="0.2">
      <c r="A6737" s="2" t="s">
        <v>99</v>
      </c>
      <c r="B6737" s="14">
        <v>38169</v>
      </c>
      <c r="C6737" s="2">
        <v>0.48292682927000002</v>
      </c>
      <c r="E6737" s="2">
        <v>1</v>
      </c>
      <c r="F6737" s="2">
        <v>5.96639047039218E-2</v>
      </c>
      <c r="G6737" s="2">
        <v>2</v>
      </c>
    </row>
    <row r="6738" spans="1:7" x14ac:dyDescent="0.2">
      <c r="A6738" s="2" t="s">
        <v>99</v>
      </c>
      <c r="B6738" s="14">
        <v>38200</v>
      </c>
      <c r="C6738" s="2">
        <v>-2.9605263157E-2</v>
      </c>
      <c r="E6738" s="2">
        <v>1</v>
      </c>
      <c r="F6738" s="2">
        <v>5.8105278082065899E-2</v>
      </c>
      <c r="G6738" s="2">
        <v>2</v>
      </c>
    </row>
    <row r="6739" spans="1:7" x14ac:dyDescent="0.2">
      <c r="A6739" s="2" t="s">
        <v>99</v>
      </c>
      <c r="B6739" s="14">
        <v>38231</v>
      </c>
      <c r="C6739" s="2">
        <v>0.33898305085000002</v>
      </c>
      <c r="E6739" s="2">
        <v>1</v>
      </c>
      <c r="F6739" s="2">
        <v>5.7899024305127798E-2</v>
      </c>
      <c r="G6739" s="2">
        <v>2</v>
      </c>
    </row>
    <row r="6740" spans="1:7" x14ac:dyDescent="0.2">
      <c r="A6740" s="2" t="s">
        <v>99</v>
      </c>
      <c r="B6740" s="14">
        <v>38261</v>
      </c>
      <c r="C6740" s="2">
        <v>-3.7974683544999999E-2</v>
      </c>
      <c r="E6740" s="2">
        <v>1</v>
      </c>
      <c r="F6740" s="2">
        <v>6.5608396329808999E-2</v>
      </c>
      <c r="G6740" s="2">
        <v>2</v>
      </c>
    </row>
    <row r="6741" spans="1:7" x14ac:dyDescent="0.2">
      <c r="A6741" s="2" t="s">
        <v>99</v>
      </c>
      <c r="B6741" s="14">
        <v>38292</v>
      </c>
      <c r="C6741" s="2">
        <v>4.4736842105000001E-2</v>
      </c>
      <c r="E6741" s="2">
        <v>1</v>
      </c>
      <c r="F6741" s="2">
        <v>6.5445007856787696E-2</v>
      </c>
      <c r="G6741" s="2">
        <v>2</v>
      </c>
    </row>
    <row r="6742" spans="1:7" x14ac:dyDescent="0.2">
      <c r="A6742" s="2" t="s">
        <v>99</v>
      </c>
      <c r="B6742" s="14">
        <v>38322</v>
      </c>
      <c r="C6742" s="2">
        <v>8.3123425693000005E-2</v>
      </c>
      <c r="E6742" s="2">
        <v>1</v>
      </c>
      <c r="F6742" s="2">
        <v>6.7333156005912206E-2</v>
      </c>
      <c r="G6742" s="2">
        <v>2</v>
      </c>
    </row>
    <row r="6743" spans="1:7" x14ac:dyDescent="0.2">
      <c r="A6743" s="2" t="s">
        <v>99</v>
      </c>
      <c r="B6743" s="14">
        <v>38353</v>
      </c>
      <c r="C6743" s="2">
        <v>-5.8139534884999997E-2</v>
      </c>
      <c r="E6743" s="2">
        <v>1</v>
      </c>
      <c r="F6743" s="2">
        <v>6.3603775270871105E-2</v>
      </c>
      <c r="G6743" s="2">
        <v>2</v>
      </c>
    </row>
    <row r="6744" spans="1:7" x14ac:dyDescent="0.2">
      <c r="A6744" s="2" t="s">
        <v>99</v>
      </c>
      <c r="B6744" s="14">
        <v>38384</v>
      </c>
      <c r="C6744" s="2">
        <v>0</v>
      </c>
      <c r="E6744" s="2">
        <v>1</v>
      </c>
      <c r="F6744" s="2">
        <v>4.8183860320793803E-2</v>
      </c>
      <c r="G6744" s="2">
        <v>2</v>
      </c>
    </row>
    <row r="6745" spans="1:7" x14ac:dyDescent="0.2">
      <c r="A6745" s="2" t="s">
        <v>99</v>
      </c>
      <c r="B6745" s="14">
        <v>38412</v>
      </c>
      <c r="C6745" s="2">
        <v>1.2345679013E-2</v>
      </c>
      <c r="E6745" s="2">
        <v>1</v>
      </c>
      <c r="F6745" s="2">
        <v>4.89881368013197E-2</v>
      </c>
      <c r="G6745" s="2">
        <v>2</v>
      </c>
    </row>
    <row r="6746" spans="1:7" x14ac:dyDescent="0.2">
      <c r="A6746" s="2" t="s">
        <v>99</v>
      </c>
      <c r="B6746" s="14">
        <v>38443</v>
      </c>
      <c r="C6746" s="2">
        <v>-2.4390243902000001E-2</v>
      </c>
      <c r="E6746" s="2">
        <v>1</v>
      </c>
      <c r="F6746" s="2">
        <v>3.9550358850348702E-2</v>
      </c>
      <c r="G6746" s="2">
        <v>2</v>
      </c>
    </row>
    <row r="6747" spans="1:7" x14ac:dyDescent="0.2">
      <c r="A6747" s="2" t="s">
        <v>99</v>
      </c>
      <c r="B6747" s="14">
        <v>38473</v>
      </c>
      <c r="C6747" s="2">
        <v>-5.0076666668000001E-2</v>
      </c>
      <c r="E6747" s="2">
        <v>1</v>
      </c>
      <c r="F6747" s="2">
        <v>4.00018792592493E-2</v>
      </c>
      <c r="G6747" s="2">
        <v>2</v>
      </c>
    </row>
    <row r="6748" spans="1:7" x14ac:dyDescent="0.2">
      <c r="A6748" s="2" t="s">
        <v>99</v>
      </c>
      <c r="B6748" s="14">
        <v>38504</v>
      </c>
      <c r="C6748" s="2">
        <v>0.10780870034999999</v>
      </c>
      <c r="E6748" s="2">
        <v>1</v>
      </c>
      <c r="F6748" s="2">
        <v>3.74546933429191E-2</v>
      </c>
      <c r="G6748" s="2">
        <v>2</v>
      </c>
    </row>
    <row r="6749" spans="1:7" x14ac:dyDescent="0.2">
      <c r="A6749" s="2" t="s">
        <v>99</v>
      </c>
      <c r="B6749" s="14">
        <v>38534</v>
      </c>
      <c r="C6749" s="2">
        <v>1.2195121951999999E-2</v>
      </c>
      <c r="E6749" s="2">
        <v>1</v>
      </c>
      <c r="F6749" s="2">
        <v>3.7875876892212598E-2</v>
      </c>
      <c r="G6749" s="2">
        <v>2</v>
      </c>
    </row>
    <row r="6750" spans="1:7" x14ac:dyDescent="0.2">
      <c r="A6750" s="2" t="s">
        <v>99</v>
      </c>
      <c r="B6750" s="14">
        <v>38565</v>
      </c>
      <c r="C6750" s="2">
        <v>-3.6144578314000003E-2</v>
      </c>
      <c r="E6750" s="2">
        <v>1</v>
      </c>
      <c r="F6750" s="2">
        <v>1.96843903523236E-2</v>
      </c>
      <c r="G6750" s="2">
        <v>2</v>
      </c>
    </row>
    <row r="6751" spans="1:7" x14ac:dyDescent="0.2">
      <c r="A6751" s="2" t="s">
        <v>99</v>
      </c>
      <c r="B6751" s="14">
        <v>38596</v>
      </c>
      <c r="C6751" s="2">
        <v>0</v>
      </c>
      <c r="E6751" s="2">
        <v>1</v>
      </c>
      <c r="F6751" s="2">
        <v>1.87506994241558E-2</v>
      </c>
      <c r="G6751" s="2">
        <v>2</v>
      </c>
    </row>
    <row r="6752" spans="1:7" x14ac:dyDescent="0.2">
      <c r="A6752" s="2" t="s">
        <v>99</v>
      </c>
      <c r="B6752" s="14">
        <v>38626</v>
      </c>
      <c r="C6752" s="2">
        <v>-2.5000000001E-2</v>
      </c>
      <c r="E6752" s="2">
        <v>1</v>
      </c>
      <c r="F6752" s="2">
        <v>1.7311018632206899E-2</v>
      </c>
      <c r="G6752" s="2">
        <v>2</v>
      </c>
    </row>
    <row r="6753" spans="1:7" x14ac:dyDescent="0.2">
      <c r="A6753" s="2" t="s">
        <v>99</v>
      </c>
      <c r="B6753" s="14">
        <v>38657</v>
      </c>
      <c r="C6753" s="2">
        <v>-5.1282051282000002E-2</v>
      </c>
      <c r="E6753" s="2">
        <v>1</v>
      </c>
      <c r="F6753" s="2">
        <v>1.7335902880265701E-2</v>
      </c>
      <c r="G6753" s="2">
        <v>2</v>
      </c>
    </row>
    <row r="6754" spans="1:7" x14ac:dyDescent="0.2">
      <c r="A6754" s="2" t="s">
        <v>99</v>
      </c>
      <c r="B6754" s="14">
        <v>38687</v>
      </c>
      <c r="C6754" s="2">
        <v>-5.4054054054000003E-2</v>
      </c>
      <c r="E6754" s="2">
        <v>1</v>
      </c>
      <c r="F6754" s="2">
        <v>1.7421048660049301E-2</v>
      </c>
      <c r="G6754" s="2">
        <v>2</v>
      </c>
    </row>
    <row r="6755" spans="1:7" x14ac:dyDescent="0.2">
      <c r="A6755" s="2" t="s">
        <v>99</v>
      </c>
      <c r="B6755" s="14">
        <v>38718</v>
      </c>
      <c r="C6755" s="2">
        <v>-7.8571428570999996E-2</v>
      </c>
      <c r="E6755" s="2">
        <v>1</v>
      </c>
      <c r="F6755" s="2">
        <v>1.2769172426037E-2</v>
      </c>
      <c r="G6755" s="2">
        <v>2</v>
      </c>
    </row>
    <row r="6756" spans="1:7" x14ac:dyDescent="0.2">
      <c r="A6756" s="2" t="s">
        <v>99</v>
      </c>
      <c r="B6756" s="14">
        <v>38749</v>
      </c>
      <c r="C6756" s="2">
        <v>-7.7519379846999999E-3</v>
      </c>
      <c r="E6756" s="2">
        <v>1</v>
      </c>
      <c r="F6756" s="2">
        <v>1.0364170974798199E-2</v>
      </c>
      <c r="G6756" s="2">
        <v>2</v>
      </c>
    </row>
    <row r="6757" spans="1:7" x14ac:dyDescent="0.2">
      <c r="A6757" s="2" t="s">
        <v>99</v>
      </c>
      <c r="B6757" s="14">
        <v>38777</v>
      </c>
      <c r="C6757" s="2">
        <v>1.2500000000999999E-2</v>
      </c>
      <c r="E6757" s="2">
        <v>1</v>
      </c>
      <c r="F6757" s="2">
        <v>1.11834657624923E-2</v>
      </c>
      <c r="G6757" s="2">
        <v>2</v>
      </c>
    </row>
    <row r="6758" spans="1:7" x14ac:dyDescent="0.2">
      <c r="A6758" s="2" t="s">
        <v>99</v>
      </c>
      <c r="B6758" s="14">
        <v>38808</v>
      </c>
      <c r="C6758" s="2">
        <v>3.1182637649000001E-3</v>
      </c>
      <c r="E6758" s="2">
        <v>1</v>
      </c>
      <c r="F6758" s="2">
        <v>1.15459921387095E-2</v>
      </c>
      <c r="G6758" s="2">
        <v>2</v>
      </c>
    </row>
    <row r="6759" spans="1:7" x14ac:dyDescent="0.2">
      <c r="A6759" s="2" t="s">
        <v>99</v>
      </c>
      <c r="B6759" s="14">
        <v>38838</v>
      </c>
      <c r="C6759" s="19">
        <v>-3.1745023988999997E-5</v>
      </c>
      <c r="E6759" s="2">
        <v>1</v>
      </c>
      <c r="F6759" s="2">
        <v>1.23783372443398E-2</v>
      </c>
      <c r="G6759" s="2">
        <v>2</v>
      </c>
    </row>
    <row r="6760" spans="1:7" x14ac:dyDescent="0.2">
      <c r="A6760" s="2" t="s">
        <v>99</v>
      </c>
      <c r="B6760" s="14">
        <v>38869</v>
      </c>
      <c r="C6760" s="2">
        <v>1.0571428573000001E-2</v>
      </c>
      <c r="E6760" s="2">
        <v>1</v>
      </c>
      <c r="F6760" s="2">
        <v>1.38541922430864E-2</v>
      </c>
      <c r="G6760" s="2">
        <v>2</v>
      </c>
    </row>
    <row r="6761" spans="1:7" x14ac:dyDescent="0.2">
      <c r="A6761" s="2" t="s">
        <v>99</v>
      </c>
      <c r="B6761" s="14">
        <v>38899</v>
      </c>
      <c r="C6761" s="2">
        <v>5.2461282320999999E-3</v>
      </c>
      <c r="E6761" s="2">
        <v>1</v>
      </c>
      <c r="F6761" s="2">
        <v>1.5409444095746801E-2</v>
      </c>
      <c r="G6761" s="2">
        <v>2</v>
      </c>
    </row>
    <row r="6762" spans="1:7" x14ac:dyDescent="0.2">
      <c r="A6762" s="2" t="s">
        <v>99</v>
      </c>
      <c r="B6762" s="14">
        <v>38930</v>
      </c>
      <c r="C6762" s="2">
        <v>-3.125E-2</v>
      </c>
      <c r="E6762" s="2">
        <v>1</v>
      </c>
      <c r="F6762" s="2">
        <v>2.3019664449724302E-2</v>
      </c>
      <c r="G6762" s="2">
        <v>2</v>
      </c>
    </row>
    <row r="6763" spans="1:7" x14ac:dyDescent="0.2">
      <c r="A6763" s="2" t="s">
        <v>99</v>
      </c>
      <c r="B6763" s="14">
        <v>38961</v>
      </c>
      <c r="C6763" s="2">
        <v>3.2258064517000001E-2</v>
      </c>
      <c r="E6763" s="2">
        <v>1</v>
      </c>
      <c r="F6763" s="2">
        <v>2.2396314213206401E-2</v>
      </c>
      <c r="G6763" s="2">
        <v>2</v>
      </c>
    </row>
    <row r="6764" spans="1:7" x14ac:dyDescent="0.2">
      <c r="A6764" s="2" t="s">
        <v>99</v>
      </c>
      <c r="B6764" s="14">
        <v>38991</v>
      </c>
      <c r="C6764" s="2">
        <v>3.125E-2</v>
      </c>
      <c r="E6764" s="2">
        <v>1</v>
      </c>
      <c r="F6764" s="2">
        <v>2.29772982139421E-2</v>
      </c>
      <c r="G6764" s="2">
        <v>2</v>
      </c>
    </row>
    <row r="6765" spans="1:7" x14ac:dyDescent="0.2">
      <c r="A6765" s="2" t="s">
        <v>99</v>
      </c>
      <c r="B6765" s="14">
        <v>39022</v>
      </c>
      <c r="C6765" s="2">
        <v>-3.0303030303000002E-2</v>
      </c>
      <c r="E6765" s="2">
        <v>1</v>
      </c>
      <c r="F6765" s="2">
        <v>2.3740502121184601E-2</v>
      </c>
      <c r="G6765" s="2">
        <v>2</v>
      </c>
    </row>
    <row r="6766" spans="1:7" x14ac:dyDescent="0.2">
      <c r="A6766" s="2" t="s">
        <v>99</v>
      </c>
      <c r="B6766" s="14">
        <v>39052</v>
      </c>
      <c r="C6766" s="2">
        <v>0.125</v>
      </c>
      <c r="E6766" s="2">
        <v>1</v>
      </c>
      <c r="F6766" s="2">
        <v>2.2903796674749701E-2</v>
      </c>
      <c r="G6766" s="2">
        <v>2</v>
      </c>
    </row>
    <row r="6767" spans="1:7" x14ac:dyDescent="0.2">
      <c r="A6767" s="2" t="s">
        <v>99</v>
      </c>
      <c r="B6767" s="14">
        <v>39083</v>
      </c>
      <c r="C6767" s="2">
        <v>0</v>
      </c>
      <c r="E6767" s="2">
        <v>1</v>
      </c>
      <c r="F6767" s="2">
        <v>2.6211411783020298E-2</v>
      </c>
      <c r="G6767" s="2">
        <v>2</v>
      </c>
    </row>
    <row r="6768" spans="1:7" x14ac:dyDescent="0.2">
      <c r="A6768" s="2" t="s">
        <v>99</v>
      </c>
      <c r="B6768" s="14">
        <v>39114</v>
      </c>
      <c r="C6768" s="2">
        <v>-2.7777777778000001E-2</v>
      </c>
      <c r="D6768" s="2">
        <v>0</v>
      </c>
      <c r="E6768" s="2">
        <v>1</v>
      </c>
      <c r="F6768" s="2">
        <v>2.59188576100444E-2</v>
      </c>
      <c r="G6768" s="2">
        <v>2</v>
      </c>
    </row>
    <row r="6769" spans="1:7" x14ac:dyDescent="0.2">
      <c r="A6769" s="2" t="s">
        <v>99</v>
      </c>
      <c r="B6769" s="14">
        <v>39142</v>
      </c>
      <c r="C6769" s="2">
        <v>0</v>
      </c>
      <c r="D6769" s="2">
        <v>0</v>
      </c>
      <c r="E6769" s="2">
        <v>1</v>
      </c>
      <c r="F6769" s="2">
        <v>2.61077222476515E-2</v>
      </c>
      <c r="G6769" s="2">
        <v>2</v>
      </c>
    </row>
    <row r="6770" spans="1:7" x14ac:dyDescent="0.2">
      <c r="A6770" s="2" t="s">
        <v>99</v>
      </c>
      <c r="B6770" s="14">
        <v>39173</v>
      </c>
      <c r="C6770" s="2">
        <v>6.2872796793999999E-2</v>
      </c>
      <c r="D6770" s="2">
        <v>0</v>
      </c>
      <c r="E6770" s="2">
        <v>1</v>
      </c>
      <c r="F6770" s="2">
        <v>2.5171080671683499E-2</v>
      </c>
      <c r="G6770" s="2">
        <v>2</v>
      </c>
    </row>
    <row r="6771" spans="1:7" x14ac:dyDescent="0.2">
      <c r="A6771" s="2" t="s">
        <v>99</v>
      </c>
      <c r="B6771" s="14">
        <v>39203</v>
      </c>
      <c r="C6771" s="2">
        <v>1.1267605634E-2</v>
      </c>
      <c r="D6771" s="2">
        <v>0</v>
      </c>
      <c r="E6771" s="2">
        <v>1</v>
      </c>
      <c r="F6771" s="2">
        <v>2.60967844925655E-2</v>
      </c>
      <c r="G6771" s="2">
        <v>2</v>
      </c>
    </row>
    <row r="6772" spans="1:7" x14ac:dyDescent="0.2">
      <c r="A6772" s="2" t="s">
        <v>99</v>
      </c>
      <c r="B6772" s="14">
        <v>39234</v>
      </c>
      <c r="C6772" s="2">
        <v>3.0640668525000001E-2</v>
      </c>
      <c r="D6772" s="2">
        <v>0</v>
      </c>
      <c r="E6772" s="2">
        <v>1</v>
      </c>
      <c r="F6772" s="2">
        <v>2.7278123382951699E-2</v>
      </c>
      <c r="G6772" s="2">
        <v>2</v>
      </c>
    </row>
    <row r="6773" spans="1:7" x14ac:dyDescent="0.2">
      <c r="A6773" s="2" t="s">
        <v>99</v>
      </c>
      <c r="B6773" s="14">
        <v>39264</v>
      </c>
      <c r="C6773" s="2">
        <v>0.13513513513</v>
      </c>
      <c r="D6773" s="2">
        <v>0</v>
      </c>
      <c r="E6773" s="2">
        <v>1</v>
      </c>
      <c r="F6773" s="2">
        <v>2.4466248052504601E-2</v>
      </c>
      <c r="G6773" s="2">
        <v>2</v>
      </c>
    </row>
    <row r="6774" spans="1:7" x14ac:dyDescent="0.2">
      <c r="A6774" s="2" t="s">
        <v>99</v>
      </c>
      <c r="B6774" s="14">
        <v>39295</v>
      </c>
      <c r="C6774" s="2">
        <v>1.4285714285999999E-2</v>
      </c>
      <c r="D6774" s="2">
        <v>0</v>
      </c>
      <c r="E6774" s="2">
        <v>1</v>
      </c>
      <c r="F6774" s="2">
        <v>3.10753780403887E-2</v>
      </c>
      <c r="G6774" s="2">
        <v>2</v>
      </c>
    </row>
    <row r="6775" spans="1:7" x14ac:dyDescent="0.2">
      <c r="A6775" s="2" t="s">
        <v>99</v>
      </c>
      <c r="B6775" s="14">
        <v>39326</v>
      </c>
      <c r="C6775" s="2">
        <v>-8.3286384977E-2</v>
      </c>
      <c r="D6775" s="2">
        <v>0</v>
      </c>
      <c r="E6775" s="2">
        <v>1</v>
      </c>
      <c r="F6775" s="2">
        <v>3.2208338669067901E-2</v>
      </c>
      <c r="G6775" s="2">
        <v>2</v>
      </c>
    </row>
    <row r="6776" spans="1:7" x14ac:dyDescent="0.2">
      <c r="A6776" s="2" t="s">
        <v>99</v>
      </c>
      <c r="B6776" s="14">
        <v>39356</v>
      </c>
      <c r="C6776" s="2">
        <v>-1.3315579217000001E-3</v>
      </c>
      <c r="D6776" s="2">
        <v>0</v>
      </c>
      <c r="E6776" s="2">
        <v>1</v>
      </c>
      <c r="F6776" s="2">
        <v>3.01608910471227E-2</v>
      </c>
      <c r="G6776" s="2">
        <v>2</v>
      </c>
    </row>
    <row r="6777" spans="1:7" x14ac:dyDescent="0.2">
      <c r="A6777" s="2" t="s">
        <v>99</v>
      </c>
      <c r="B6777" s="14">
        <v>39387</v>
      </c>
      <c r="C6777" s="2">
        <v>5.1282051281000003E-2</v>
      </c>
      <c r="D6777" s="2">
        <v>0</v>
      </c>
      <c r="E6777" s="2">
        <v>1</v>
      </c>
      <c r="F6777" s="2">
        <v>2.82957520922285E-2</v>
      </c>
      <c r="G6777" s="2">
        <v>2</v>
      </c>
    </row>
    <row r="6778" spans="1:7" x14ac:dyDescent="0.2">
      <c r="A6778" s="2" t="s">
        <v>99</v>
      </c>
      <c r="B6778" s="14">
        <v>39417</v>
      </c>
      <c r="C6778" s="2">
        <v>-1.2195121953E-2</v>
      </c>
      <c r="D6778" s="2">
        <v>0</v>
      </c>
      <c r="E6778" s="2">
        <v>1</v>
      </c>
      <c r="F6778" s="2">
        <v>2.93334907020543E-2</v>
      </c>
      <c r="G6778" s="2">
        <v>2</v>
      </c>
    </row>
    <row r="6779" spans="1:7" x14ac:dyDescent="0.2">
      <c r="A6779" s="2" t="s">
        <v>99</v>
      </c>
      <c r="B6779" s="14">
        <v>39448</v>
      </c>
      <c r="C6779" s="2">
        <v>0</v>
      </c>
      <c r="D6779" s="2">
        <v>0</v>
      </c>
      <c r="E6779" s="2">
        <v>1</v>
      </c>
      <c r="F6779" s="2">
        <v>2.8012464422799099E-2</v>
      </c>
      <c r="G6779" s="2">
        <v>2</v>
      </c>
    </row>
    <row r="6780" spans="1:7" x14ac:dyDescent="0.2">
      <c r="A6780" s="2" t="s">
        <v>99</v>
      </c>
      <c r="B6780" s="14">
        <v>39479</v>
      </c>
      <c r="C6780" s="2">
        <v>-0.11111111110999999</v>
      </c>
      <c r="D6780" s="2">
        <v>0</v>
      </c>
      <c r="E6780" s="2">
        <v>1</v>
      </c>
      <c r="F6780" s="2">
        <v>2.41138508284627E-2</v>
      </c>
      <c r="G6780" s="2">
        <v>2</v>
      </c>
    </row>
    <row r="6781" spans="1:7" x14ac:dyDescent="0.2">
      <c r="A6781" s="2" t="s">
        <v>99</v>
      </c>
      <c r="B6781" s="14">
        <v>39508</v>
      </c>
      <c r="C6781" s="2">
        <v>-0.11111111110999999</v>
      </c>
      <c r="D6781" s="2">
        <v>7.3725666000000001E-4</v>
      </c>
      <c r="E6781" s="2">
        <v>1</v>
      </c>
      <c r="F6781" s="2">
        <v>2.0918491921642E-2</v>
      </c>
      <c r="G6781" s="2">
        <v>2</v>
      </c>
    </row>
    <row r="6782" spans="1:7" x14ac:dyDescent="0.2">
      <c r="A6782" s="2" t="s">
        <v>99</v>
      </c>
      <c r="B6782" s="14">
        <v>39539</v>
      </c>
      <c r="C6782" s="2">
        <v>6.25E-2</v>
      </c>
      <c r="D6782" s="2">
        <v>0</v>
      </c>
      <c r="E6782" s="2">
        <v>1</v>
      </c>
      <c r="F6782" s="2">
        <v>2.05342253196855E-2</v>
      </c>
      <c r="G6782" s="2">
        <v>2</v>
      </c>
    </row>
    <row r="6783" spans="1:7" x14ac:dyDescent="0.2">
      <c r="A6783" s="2" t="s">
        <v>99</v>
      </c>
      <c r="B6783" s="14">
        <v>39569</v>
      </c>
      <c r="C6783" s="2">
        <v>-4.9079754599999997E-2</v>
      </c>
      <c r="D6783" s="19">
        <v>3.1298969000000002E-5</v>
      </c>
      <c r="E6783" s="2">
        <v>1</v>
      </c>
      <c r="F6783" s="2">
        <v>2.2312599045857501E-2</v>
      </c>
      <c r="G6783" s="2">
        <v>2</v>
      </c>
    </row>
    <row r="6784" spans="1:7" x14ac:dyDescent="0.2">
      <c r="A6784" s="2" t="s">
        <v>99</v>
      </c>
      <c r="B6784" s="14">
        <v>39600</v>
      </c>
      <c r="C6784" s="2">
        <v>3.1935483870000003E-2</v>
      </c>
      <c r="D6784" s="2">
        <v>0</v>
      </c>
      <c r="E6784" s="2">
        <v>1</v>
      </c>
      <c r="F6784" s="2">
        <v>1.9546546425128101E-2</v>
      </c>
      <c r="G6784" s="2">
        <v>2</v>
      </c>
    </row>
    <row r="6785" spans="1:7" x14ac:dyDescent="0.2">
      <c r="A6785" s="2" t="s">
        <v>99</v>
      </c>
      <c r="B6785" s="14">
        <v>39630</v>
      </c>
      <c r="C6785" s="2">
        <v>9.4091903719999995E-2</v>
      </c>
      <c r="D6785" s="2">
        <v>0</v>
      </c>
      <c r="E6785" s="2">
        <v>1</v>
      </c>
      <c r="F6785" s="2">
        <v>2.0776380395339099E-2</v>
      </c>
      <c r="G6785" s="2">
        <v>2</v>
      </c>
    </row>
    <row r="6786" spans="1:7" x14ac:dyDescent="0.2">
      <c r="A6786" s="2" t="s">
        <v>99</v>
      </c>
      <c r="B6786" s="14">
        <v>39661</v>
      </c>
      <c r="C6786" s="2">
        <v>-5.7142857142E-2</v>
      </c>
      <c r="D6786" s="19">
        <v>3.8059547000000001E-6</v>
      </c>
      <c r="E6786" s="2">
        <v>1</v>
      </c>
      <c r="F6786" s="2">
        <v>2.21016401218718E-2</v>
      </c>
      <c r="G6786" s="2">
        <v>2</v>
      </c>
    </row>
    <row r="6787" spans="1:7" x14ac:dyDescent="0.2">
      <c r="A6787" s="2" t="s">
        <v>99</v>
      </c>
      <c r="B6787" s="14">
        <v>39692</v>
      </c>
      <c r="C6787" s="2">
        <v>0</v>
      </c>
      <c r="D6787" s="19">
        <v>3.2779410999999997E-5</v>
      </c>
      <c r="E6787" s="2">
        <v>1</v>
      </c>
      <c r="F6787" s="2">
        <v>2.37931667258762E-2</v>
      </c>
      <c r="G6787" s="2">
        <v>2</v>
      </c>
    </row>
    <row r="6788" spans="1:7" x14ac:dyDescent="0.2">
      <c r="A6788" s="2" t="s">
        <v>99</v>
      </c>
      <c r="B6788" s="14">
        <v>39722</v>
      </c>
      <c r="D6788" s="2">
        <v>0</v>
      </c>
      <c r="E6788" s="2">
        <v>1</v>
      </c>
      <c r="F6788" s="2">
        <v>2.6951836914529601E-2</v>
      </c>
      <c r="G6788" s="2">
        <v>2</v>
      </c>
    </row>
    <row r="6789" spans="1:7" x14ac:dyDescent="0.2">
      <c r="A6789" s="2" t="s">
        <v>99</v>
      </c>
      <c r="B6789" s="14">
        <v>39753</v>
      </c>
      <c r="C6789" s="2">
        <v>0</v>
      </c>
      <c r="D6789" s="2">
        <v>0</v>
      </c>
      <c r="E6789" s="2">
        <v>1</v>
      </c>
      <c r="F6789" s="2">
        <v>2.5383797643450001E-2</v>
      </c>
      <c r="G6789" s="2">
        <v>2</v>
      </c>
    </row>
    <row r="6790" spans="1:7" x14ac:dyDescent="0.2">
      <c r="A6790" s="2" t="s">
        <v>99</v>
      </c>
      <c r="B6790" s="14">
        <v>39783</v>
      </c>
      <c r="C6790" s="2">
        <v>-0.12121212121</v>
      </c>
      <c r="D6790" s="19">
        <v>7.8247426999999997E-7</v>
      </c>
      <c r="E6790" s="2">
        <v>1</v>
      </c>
      <c r="F6790" s="2">
        <v>2.66172429420709E-2</v>
      </c>
      <c r="G6790" s="2">
        <v>2</v>
      </c>
    </row>
    <row r="6791" spans="1:7" x14ac:dyDescent="0.2">
      <c r="A6791" s="2" t="s">
        <v>100</v>
      </c>
      <c r="B6791" s="14">
        <v>37591</v>
      </c>
      <c r="C6791" s="2">
        <v>-2.7777777778000001E-2</v>
      </c>
      <c r="E6791" s="2">
        <v>1</v>
      </c>
      <c r="G6791" s="2">
        <v>2</v>
      </c>
    </row>
    <row r="6792" spans="1:7" x14ac:dyDescent="0.2">
      <c r="A6792" s="2" t="s">
        <v>100</v>
      </c>
      <c r="B6792" s="14">
        <v>37622</v>
      </c>
      <c r="C6792" s="2">
        <v>2.8566633045999998E-4</v>
      </c>
      <c r="E6792" s="2">
        <v>1</v>
      </c>
      <c r="G6792" s="2">
        <v>2</v>
      </c>
    </row>
    <row r="6793" spans="1:7" x14ac:dyDescent="0.2">
      <c r="A6793" s="2" t="s">
        <v>100</v>
      </c>
      <c r="B6793" s="14">
        <v>37653</v>
      </c>
      <c r="C6793" s="2">
        <v>-2.8558474787E-4</v>
      </c>
      <c r="E6793" s="2">
        <v>1</v>
      </c>
      <c r="G6793" s="2">
        <v>2</v>
      </c>
    </row>
    <row r="6794" spans="1:7" x14ac:dyDescent="0.2">
      <c r="A6794" s="2" t="s">
        <v>100</v>
      </c>
      <c r="B6794" s="14">
        <v>37681</v>
      </c>
      <c r="C6794" s="2">
        <v>0</v>
      </c>
      <c r="E6794" s="2">
        <v>1</v>
      </c>
      <c r="G6794" s="2">
        <v>2</v>
      </c>
    </row>
    <row r="6795" spans="1:7" x14ac:dyDescent="0.2">
      <c r="A6795" s="2" t="s">
        <v>100</v>
      </c>
      <c r="B6795" s="14">
        <v>37712</v>
      </c>
      <c r="C6795" s="2">
        <v>0</v>
      </c>
      <c r="E6795" s="2">
        <v>1</v>
      </c>
      <c r="G6795" s="2">
        <v>2</v>
      </c>
    </row>
    <row r="6796" spans="1:7" x14ac:dyDescent="0.2">
      <c r="A6796" s="2" t="s">
        <v>100</v>
      </c>
      <c r="B6796" s="14">
        <v>37742</v>
      </c>
      <c r="C6796" s="2">
        <v>0.40060233080000002</v>
      </c>
      <c r="E6796" s="2">
        <v>1</v>
      </c>
      <c r="G6796" s="2">
        <v>2</v>
      </c>
    </row>
    <row r="6797" spans="1:7" x14ac:dyDescent="0.2">
      <c r="A6797" s="2" t="s">
        <v>100</v>
      </c>
      <c r="B6797" s="14">
        <v>37773</v>
      </c>
      <c r="C6797" s="2">
        <v>0.30434782609</v>
      </c>
      <c r="E6797" s="2">
        <v>1</v>
      </c>
      <c r="G6797" s="2">
        <v>2</v>
      </c>
    </row>
    <row r="6798" spans="1:7" x14ac:dyDescent="0.2">
      <c r="A6798" s="2" t="s">
        <v>100</v>
      </c>
      <c r="B6798" s="14">
        <v>37803</v>
      </c>
      <c r="C6798" s="2">
        <v>-8.3333333332000006E-2</v>
      </c>
      <c r="E6798" s="2">
        <v>1</v>
      </c>
      <c r="G6798" s="2">
        <v>2</v>
      </c>
    </row>
    <row r="6799" spans="1:7" x14ac:dyDescent="0.2">
      <c r="A6799" s="2" t="s">
        <v>100</v>
      </c>
      <c r="B6799" s="14">
        <v>37834</v>
      </c>
      <c r="C6799" s="2">
        <v>0.38181818181999999</v>
      </c>
      <c r="E6799" s="2">
        <v>1</v>
      </c>
      <c r="G6799" s="2">
        <v>2</v>
      </c>
    </row>
    <row r="6800" spans="1:7" x14ac:dyDescent="0.2">
      <c r="A6800" s="2" t="s">
        <v>100</v>
      </c>
      <c r="B6800" s="14">
        <v>37865</v>
      </c>
      <c r="C6800" s="2">
        <v>3.9473684212000003E-2</v>
      </c>
      <c r="E6800" s="2">
        <v>1</v>
      </c>
      <c r="G6800" s="2">
        <v>2</v>
      </c>
    </row>
    <row r="6801" spans="1:7" x14ac:dyDescent="0.2">
      <c r="A6801" s="2" t="s">
        <v>100</v>
      </c>
      <c r="B6801" s="14">
        <v>37895</v>
      </c>
      <c r="C6801" s="2">
        <v>0</v>
      </c>
      <c r="E6801" s="2">
        <v>1</v>
      </c>
      <c r="G6801" s="2">
        <v>2</v>
      </c>
    </row>
    <row r="6802" spans="1:7" x14ac:dyDescent="0.2">
      <c r="A6802" s="2" t="s">
        <v>100</v>
      </c>
      <c r="B6802" s="14">
        <v>37926</v>
      </c>
      <c r="C6802" s="2">
        <v>-6.1154054380000003E-2</v>
      </c>
      <c r="E6802" s="2">
        <v>1</v>
      </c>
      <c r="G6802" s="2">
        <v>2</v>
      </c>
    </row>
    <row r="6803" spans="1:7" x14ac:dyDescent="0.2">
      <c r="A6803" s="2" t="s">
        <v>100</v>
      </c>
      <c r="B6803" s="14">
        <v>37956</v>
      </c>
      <c r="C6803" s="2">
        <v>5.5555555557000001E-2</v>
      </c>
      <c r="E6803" s="2">
        <v>1</v>
      </c>
      <c r="G6803" s="2">
        <v>2</v>
      </c>
    </row>
    <row r="6804" spans="1:7" x14ac:dyDescent="0.2">
      <c r="A6804" s="2" t="s">
        <v>100</v>
      </c>
      <c r="B6804" s="14">
        <v>37987</v>
      </c>
      <c r="C6804" s="2">
        <v>2.6315789472999999E-2</v>
      </c>
      <c r="E6804" s="2">
        <v>1</v>
      </c>
      <c r="G6804" s="2">
        <v>2</v>
      </c>
    </row>
    <row r="6805" spans="1:7" x14ac:dyDescent="0.2">
      <c r="A6805" s="2" t="s">
        <v>100</v>
      </c>
      <c r="B6805" s="14">
        <v>38018</v>
      </c>
      <c r="C6805" s="2">
        <v>-5.1282051283000001E-2</v>
      </c>
      <c r="E6805" s="2">
        <v>1</v>
      </c>
      <c r="G6805" s="2">
        <v>2</v>
      </c>
    </row>
    <row r="6806" spans="1:7" x14ac:dyDescent="0.2">
      <c r="A6806" s="2" t="s">
        <v>100</v>
      </c>
      <c r="B6806" s="14">
        <v>38047</v>
      </c>
      <c r="C6806" s="2">
        <v>0.14864864864999999</v>
      </c>
      <c r="E6806" s="2">
        <v>1</v>
      </c>
      <c r="G6806" s="2">
        <v>2</v>
      </c>
    </row>
    <row r="6807" spans="1:7" x14ac:dyDescent="0.2">
      <c r="A6807" s="2" t="s">
        <v>100</v>
      </c>
      <c r="B6807" s="14">
        <v>38078</v>
      </c>
      <c r="C6807" s="2">
        <v>5.8823529410999997E-2</v>
      </c>
      <c r="E6807" s="2">
        <v>1</v>
      </c>
      <c r="G6807" s="2">
        <v>2</v>
      </c>
    </row>
    <row r="6808" spans="1:7" x14ac:dyDescent="0.2">
      <c r="A6808" s="2" t="s">
        <v>100</v>
      </c>
      <c r="B6808" s="14">
        <v>38108</v>
      </c>
      <c r="C6808" s="2">
        <v>0.10569177727</v>
      </c>
      <c r="E6808" s="2">
        <v>1</v>
      </c>
      <c r="G6808" s="2">
        <v>2</v>
      </c>
    </row>
    <row r="6809" spans="1:7" x14ac:dyDescent="0.2">
      <c r="A6809" s="2" t="s">
        <v>100</v>
      </c>
      <c r="B6809" s="14">
        <v>38139</v>
      </c>
      <c r="C6809" s="2">
        <v>0.15957446808</v>
      </c>
      <c r="E6809" s="2">
        <v>1</v>
      </c>
      <c r="G6809" s="2">
        <v>2</v>
      </c>
    </row>
    <row r="6810" spans="1:7" x14ac:dyDescent="0.2">
      <c r="A6810" s="2" t="s">
        <v>100</v>
      </c>
      <c r="B6810" s="14">
        <v>38169</v>
      </c>
      <c r="C6810" s="2">
        <v>0.15688073393999999</v>
      </c>
      <c r="E6810" s="2">
        <v>1</v>
      </c>
      <c r="G6810" s="2">
        <v>2</v>
      </c>
    </row>
    <row r="6811" spans="1:7" x14ac:dyDescent="0.2">
      <c r="A6811" s="2" t="s">
        <v>100</v>
      </c>
      <c r="B6811" s="14">
        <v>38200</v>
      </c>
      <c r="C6811" s="2">
        <v>0.36011102299999997</v>
      </c>
      <c r="E6811" s="2">
        <v>1</v>
      </c>
      <c r="G6811" s="2">
        <v>2</v>
      </c>
    </row>
    <row r="6812" spans="1:7" x14ac:dyDescent="0.2">
      <c r="A6812" s="2" t="s">
        <v>100</v>
      </c>
      <c r="B6812" s="14">
        <v>38231</v>
      </c>
      <c r="C6812" s="2">
        <v>2.8569762707999998E-3</v>
      </c>
      <c r="E6812" s="2">
        <v>1</v>
      </c>
      <c r="G6812" s="2">
        <v>2</v>
      </c>
    </row>
    <row r="6813" spans="1:7" x14ac:dyDescent="0.2">
      <c r="A6813" s="2" t="s">
        <v>100</v>
      </c>
      <c r="B6813" s="14">
        <v>38261</v>
      </c>
      <c r="C6813" s="2">
        <v>4.6511627907000003E-2</v>
      </c>
      <c r="E6813" s="2">
        <v>1</v>
      </c>
      <c r="G6813" s="2">
        <v>2</v>
      </c>
    </row>
    <row r="6814" spans="1:7" x14ac:dyDescent="0.2">
      <c r="A6814" s="2" t="s">
        <v>100</v>
      </c>
      <c r="B6814" s="14">
        <v>38292</v>
      </c>
      <c r="C6814" s="2">
        <v>6.0747398028999998E-2</v>
      </c>
      <c r="E6814" s="2">
        <v>1</v>
      </c>
      <c r="G6814" s="2">
        <v>2</v>
      </c>
    </row>
    <row r="6815" spans="1:7" x14ac:dyDescent="0.2">
      <c r="A6815" s="2" t="s">
        <v>100</v>
      </c>
      <c r="B6815" s="14">
        <v>38322</v>
      </c>
      <c r="C6815" s="2">
        <v>3.7837837839000001E-2</v>
      </c>
      <c r="E6815" s="2">
        <v>1</v>
      </c>
      <c r="G6815" s="2">
        <v>2</v>
      </c>
    </row>
    <row r="6816" spans="1:7" x14ac:dyDescent="0.2">
      <c r="A6816" s="2" t="s">
        <v>100</v>
      </c>
      <c r="B6816" s="14">
        <v>38353</v>
      </c>
      <c r="C6816" s="2">
        <v>-1.0416666667E-2</v>
      </c>
      <c r="E6816" s="2">
        <v>1</v>
      </c>
      <c r="G6816" s="2">
        <v>2</v>
      </c>
    </row>
    <row r="6817" spans="1:7" x14ac:dyDescent="0.2">
      <c r="A6817" s="2" t="s">
        <v>100</v>
      </c>
      <c r="B6817" s="14">
        <v>38384</v>
      </c>
      <c r="C6817" s="2">
        <v>5.2631578948000003E-2</v>
      </c>
      <c r="E6817" s="2">
        <v>1</v>
      </c>
      <c r="G6817" s="2">
        <v>2</v>
      </c>
    </row>
    <row r="6818" spans="1:7" x14ac:dyDescent="0.2">
      <c r="A6818" s="2" t="s">
        <v>100</v>
      </c>
      <c r="B6818" s="14">
        <v>38412</v>
      </c>
      <c r="C6818" s="2">
        <v>-7.4999999999999997E-2</v>
      </c>
      <c r="E6818" s="2">
        <v>1</v>
      </c>
      <c r="G6818" s="2">
        <v>2</v>
      </c>
    </row>
    <row r="6819" spans="1:7" x14ac:dyDescent="0.2">
      <c r="A6819" s="2" t="s">
        <v>100</v>
      </c>
      <c r="B6819" s="14">
        <v>38443</v>
      </c>
      <c r="C6819" s="2">
        <v>1.0810810811E-2</v>
      </c>
      <c r="E6819" s="2">
        <v>1</v>
      </c>
      <c r="G6819" s="2">
        <v>2</v>
      </c>
    </row>
    <row r="6820" spans="1:7" x14ac:dyDescent="0.2">
      <c r="A6820" s="2" t="s">
        <v>100</v>
      </c>
      <c r="B6820" s="14">
        <v>38473</v>
      </c>
      <c r="C6820" s="2">
        <v>-4.5536203701999997E-2</v>
      </c>
      <c r="E6820" s="2">
        <v>1</v>
      </c>
      <c r="G6820" s="2">
        <v>2</v>
      </c>
    </row>
    <row r="6821" spans="1:7" x14ac:dyDescent="0.2">
      <c r="A6821" s="2" t="s">
        <v>100</v>
      </c>
      <c r="B6821" s="14">
        <v>38504</v>
      </c>
      <c r="C6821" s="2">
        <v>-1.1764705881000001E-2</v>
      </c>
      <c r="D6821" s="2">
        <v>1.1394335E-3</v>
      </c>
      <c r="E6821" s="2">
        <v>1</v>
      </c>
      <c r="G6821" s="2">
        <v>2</v>
      </c>
    </row>
    <row r="6822" spans="1:7" x14ac:dyDescent="0.2">
      <c r="A6822" s="2" t="s">
        <v>100</v>
      </c>
      <c r="B6822" s="14">
        <v>38534</v>
      </c>
      <c r="C6822" s="2">
        <v>0.25</v>
      </c>
      <c r="D6822" s="2">
        <v>0</v>
      </c>
      <c r="E6822" s="2">
        <v>1</v>
      </c>
      <c r="G6822" s="2">
        <v>2</v>
      </c>
    </row>
    <row r="6823" spans="1:7" x14ac:dyDescent="0.2">
      <c r="A6823" s="2" t="s">
        <v>100</v>
      </c>
      <c r="B6823" s="14">
        <v>38565</v>
      </c>
      <c r="C6823" s="2">
        <v>-2.3809523809000002E-2</v>
      </c>
      <c r="D6823" s="2">
        <v>0</v>
      </c>
      <c r="E6823" s="2">
        <v>1</v>
      </c>
      <c r="G6823" s="2">
        <v>2</v>
      </c>
    </row>
    <row r="6824" spans="1:7" x14ac:dyDescent="0.2">
      <c r="A6824" s="2" t="s">
        <v>100</v>
      </c>
      <c r="B6824" s="14">
        <v>38596</v>
      </c>
      <c r="C6824" s="2">
        <v>-4.3902439023999998E-2</v>
      </c>
      <c r="D6824" s="2">
        <v>0</v>
      </c>
      <c r="E6824" s="2">
        <v>1</v>
      </c>
      <c r="G6824" s="2">
        <v>2</v>
      </c>
    </row>
    <row r="6825" spans="1:7" x14ac:dyDescent="0.2">
      <c r="A6825" s="2" t="s">
        <v>100</v>
      </c>
      <c r="B6825" s="14">
        <v>38626</v>
      </c>
      <c r="C6825" s="2">
        <v>3.5714285714000003E-2</v>
      </c>
      <c r="D6825" s="2">
        <v>0</v>
      </c>
      <c r="E6825" s="2">
        <v>1</v>
      </c>
      <c r="G6825" s="2">
        <v>2</v>
      </c>
    </row>
    <row r="6826" spans="1:7" x14ac:dyDescent="0.2">
      <c r="A6826" s="2" t="s">
        <v>100</v>
      </c>
      <c r="B6826" s="14">
        <v>38657</v>
      </c>
      <c r="C6826" s="2">
        <v>2.9989408666999998E-3</v>
      </c>
      <c r="D6826" s="2">
        <v>0</v>
      </c>
      <c r="E6826" s="2">
        <v>1</v>
      </c>
      <c r="G6826" s="2">
        <v>2</v>
      </c>
    </row>
    <row r="6827" spans="1:7" x14ac:dyDescent="0.2">
      <c r="A6827" s="2" t="s">
        <v>100</v>
      </c>
      <c r="B6827" s="14">
        <v>38687</v>
      </c>
      <c r="C6827" s="2">
        <v>2.5641025642E-2</v>
      </c>
      <c r="D6827" s="2">
        <v>0</v>
      </c>
      <c r="E6827" s="2">
        <v>1</v>
      </c>
      <c r="G6827" s="2">
        <v>2</v>
      </c>
    </row>
    <row r="6828" spans="1:7" x14ac:dyDescent="0.2">
      <c r="A6828" s="2" t="s">
        <v>100</v>
      </c>
      <c r="B6828" s="14">
        <v>38718</v>
      </c>
      <c r="C6828" s="2">
        <v>0.125</v>
      </c>
      <c r="D6828" s="2">
        <v>0</v>
      </c>
      <c r="E6828" s="2">
        <v>1</v>
      </c>
      <c r="G6828" s="2">
        <v>2</v>
      </c>
    </row>
    <row r="6829" spans="1:7" x14ac:dyDescent="0.2">
      <c r="A6829" s="2" t="s">
        <v>100</v>
      </c>
      <c r="B6829" s="14">
        <v>38749</v>
      </c>
      <c r="C6829" s="2">
        <v>6.7999999998999999E-2</v>
      </c>
      <c r="D6829" s="19">
        <v>-9.0674468000000007E-5</v>
      </c>
      <c r="E6829" s="2">
        <v>1</v>
      </c>
      <c r="G6829" s="2">
        <v>2</v>
      </c>
    </row>
    <row r="6830" spans="1:7" x14ac:dyDescent="0.2">
      <c r="A6830" s="2" t="s">
        <v>100</v>
      </c>
      <c r="B6830" s="14">
        <v>38777</v>
      </c>
      <c r="C6830" s="2">
        <v>0.15688722429999999</v>
      </c>
      <c r="D6830" s="2">
        <v>0</v>
      </c>
      <c r="E6830" s="2">
        <v>1</v>
      </c>
      <c r="G6830" s="2">
        <v>2</v>
      </c>
    </row>
    <row r="6831" spans="1:7" x14ac:dyDescent="0.2">
      <c r="A6831" s="2" t="s">
        <v>100</v>
      </c>
      <c r="B6831" s="14">
        <v>38808</v>
      </c>
      <c r="C6831" s="2">
        <v>0.18705035971</v>
      </c>
      <c r="D6831" s="2">
        <v>0</v>
      </c>
      <c r="E6831" s="2">
        <v>1</v>
      </c>
      <c r="G6831" s="2">
        <v>2</v>
      </c>
    </row>
    <row r="6832" spans="1:7" x14ac:dyDescent="0.2">
      <c r="A6832" s="2" t="s">
        <v>100</v>
      </c>
      <c r="B6832" s="14">
        <v>38838</v>
      </c>
      <c r="C6832" s="2">
        <v>4.9851935877E-2</v>
      </c>
      <c r="D6832" s="2">
        <v>0</v>
      </c>
      <c r="E6832" s="2">
        <v>1</v>
      </c>
      <c r="G6832" s="2">
        <v>2</v>
      </c>
    </row>
    <row r="6833" spans="1:7" x14ac:dyDescent="0.2">
      <c r="A6833" s="2" t="s">
        <v>100</v>
      </c>
      <c r="B6833" s="14">
        <v>38869</v>
      </c>
      <c r="C6833" s="2">
        <v>-6.25E-2</v>
      </c>
      <c r="D6833" s="2">
        <v>0</v>
      </c>
      <c r="E6833" s="2">
        <v>1</v>
      </c>
      <c r="G6833" s="2">
        <v>2</v>
      </c>
    </row>
    <row r="6834" spans="1:7" x14ac:dyDescent="0.2">
      <c r="A6834" s="2" t="s">
        <v>100</v>
      </c>
      <c r="B6834" s="14">
        <v>38899</v>
      </c>
      <c r="C6834" s="2">
        <v>9.9999999999E-2</v>
      </c>
      <c r="D6834" s="2">
        <v>0</v>
      </c>
      <c r="E6834" s="2">
        <v>1</v>
      </c>
      <c r="G6834" s="2">
        <v>2</v>
      </c>
    </row>
    <row r="6835" spans="1:7" x14ac:dyDescent="0.2">
      <c r="A6835" s="2" t="s">
        <v>100</v>
      </c>
      <c r="B6835" s="14">
        <v>38930</v>
      </c>
      <c r="C6835" s="2">
        <v>-9.0909090903999994E-3</v>
      </c>
      <c r="D6835" s="2">
        <v>0</v>
      </c>
      <c r="E6835" s="2">
        <v>1</v>
      </c>
      <c r="G6835" s="2">
        <v>2</v>
      </c>
    </row>
    <row r="6836" spans="1:7" x14ac:dyDescent="0.2">
      <c r="A6836" s="2" t="s">
        <v>100</v>
      </c>
      <c r="B6836" s="14">
        <v>38961</v>
      </c>
      <c r="C6836" s="2">
        <v>-3.0581039763999999E-3</v>
      </c>
      <c r="D6836" s="2">
        <v>0</v>
      </c>
      <c r="E6836" s="2">
        <v>1</v>
      </c>
      <c r="G6836" s="2">
        <v>2</v>
      </c>
    </row>
    <row r="6837" spans="1:7" x14ac:dyDescent="0.2">
      <c r="A6837" s="2" t="s">
        <v>100</v>
      </c>
      <c r="B6837" s="14">
        <v>38991</v>
      </c>
      <c r="C6837" s="2">
        <v>4.2975460121000002E-2</v>
      </c>
      <c r="D6837" s="2">
        <v>0</v>
      </c>
      <c r="E6837" s="2">
        <v>1</v>
      </c>
      <c r="G6837" s="2">
        <v>2</v>
      </c>
    </row>
    <row r="6838" spans="1:7" x14ac:dyDescent="0.2">
      <c r="A6838" s="2" t="s">
        <v>100</v>
      </c>
      <c r="B6838" s="14">
        <v>39022</v>
      </c>
      <c r="C6838" s="2">
        <v>7.3674303698000002E-2</v>
      </c>
      <c r="D6838" s="2">
        <v>0</v>
      </c>
      <c r="E6838" s="2">
        <v>1</v>
      </c>
      <c r="G6838" s="2">
        <v>2</v>
      </c>
    </row>
    <row r="6839" spans="1:7" x14ac:dyDescent="0.2">
      <c r="A6839" s="2" t="s">
        <v>100</v>
      </c>
      <c r="B6839" s="14">
        <v>39052</v>
      </c>
      <c r="C6839" s="2">
        <v>-2.9036322785000001E-3</v>
      </c>
      <c r="D6839" s="2">
        <v>0</v>
      </c>
      <c r="E6839" s="2">
        <v>1</v>
      </c>
      <c r="G6839" s="2">
        <v>2</v>
      </c>
    </row>
    <row r="6840" spans="1:7" x14ac:dyDescent="0.2">
      <c r="A6840" s="2" t="s">
        <v>100</v>
      </c>
      <c r="B6840" s="14">
        <v>39083</v>
      </c>
      <c r="C6840" s="2">
        <v>0.11079865016</v>
      </c>
      <c r="D6840" s="2">
        <v>0</v>
      </c>
      <c r="E6840" s="2">
        <v>1</v>
      </c>
      <c r="G6840" s="2">
        <v>2</v>
      </c>
    </row>
    <row r="6841" spans="1:7" x14ac:dyDescent="0.2">
      <c r="A6841" s="2" t="s">
        <v>100</v>
      </c>
      <c r="B6841" s="14">
        <v>39114</v>
      </c>
      <c r="C6841" s="2">
        <v>3.8461538463000003E-2</v>
      </c>
      <c r="D6841" s="2">
        <v>0</v>
      </c>
      <c r="E6841" s="2">
        <v>1</v>
      </c>
      <c r="G6841" s="2">
        <v>2</v>
      </c>
    </row>
    <row r="6842" spans="1:7" x14ac:dyDescent="0.2">
      <c r="A6842" s="2" t="s">
        <v>100</v>
      </c>
      <c r="B6842" s="14">
        <v>39142</v>
      </c>
      <c r="C6842" s="2">
        <v>0</v>
      </c>
      <c r="D6842" s="2">
        <v>0</v>
      </c>
      <c r="E6842" s="2">
        <v>1</v>
      </c>
      <c r="G6842" s="2">
        <v>2</v>
      </c>
    </row>
    <row r="6843" spans="1:7" x14ac:dyDescent="0.2">
      <c r="A6843" s="2" t="s">
        <v>100</v>
      </c>
      <c r="B6843" s="14">
        <v>39173</v>
      </c>
      <c r="C6843" s="2">
        <v>0.16320987653999999</v>
      </c>
      <c r="D6843" s="2">
        <v>0</v>
      </c>
      <c r="E6843" s="2">
        <v>1</v>
      </c>
      <c r="G6843" s="2">
        <v>2</v>
      </c>
    </row>
    <row r="6844" spans="1:7" x14ac:dyDescent="0.2">
      <c r="A6844" s="2" t="s">
        <v>100</v>
      </c>
      <c r="B6844" s="14">
        <v>39203</v>
      </c>
      <c r="C6844" s="2">
        <v>-3.7892412105000002E-2</v>
      </c>
      <c r="D6844" s="2">
        <v>0</v>
      </c>
      <c r="E6844" s="2">
        <v>1</v>
      </c>
      <c r="G6844" s="2">
        <v>2</v>
      </c>
    </row>
    <row r="6845" spans="1:7" x14ac:dyDescent="0.2">
      <c r="A6845" s="2" t="s">
        <v>100</v>
      </c>
      <c r="B6845" s="14">
        <v>39234</v>
      </c>
      <c r="C6845" s="2">
        <v>0.17638933652</v>
      </c>
      <c r="D6845" s="2">
        <v>0</v>
      </c>
      <c r="E6845" s="2">
        <v>1</v>
      </c>
      <c r="G6845" s="2">
        <v>2</v>
      </c>
    </row>
    <row r="6846" spans="1:7" x14ac:dyDescent="0.2">
      <c r="A6846" s="2" t="s">
        <v>100</v>
      </c>
      <c r="B6846" s="14">
        <v>39264</v>
      </c>
      <c r="C6846" s="2">
        <v>-2.1722113503000001E-2</v>
      </c>
      <c r="D6846" s="2">
        <v>0</v>
      </c>
      <c r="E6846" s="2">
        <v>1</v>
      </c>
      <c r="G6846" s="2">
        <v>2</v>
      </c>
    </row>
    <row r="6847" spans="1:7" x14ac:dyDescent="0.2">
      <c r="A6847" s="2" t="s">
        <v>100</v>
      </c>
      <c r="B6847" s="14">
        <v>39295</v>
      </c>
      <c r="C6847" s="2">
        <v>-2.9805961192000002E-2</v>
      </c>
      <c r="D6847" s="2">
        <v>0</v>
      </c>
      <c r="E6847" s="2">
        <v>1</v>
      </c>
      <c r="G6847" s="2">
        <v>2</v>
      </c>
    </row>
    <row r="6848" spans="1:7" x14ac:dyDescent="0.2">
      <c r="A6848" s="2" t="s">
        <v>100</v>
      </c>
      <c r="B6848" s="14">
        <v>39326</v>
      </c>
      <c r="C6848" s="2">
        <v>-4.1237113403E-2</v>
      </c>
      <c r="D6848" s="2">
        <v>0</v>
      </c>
      <c r="E6848" s="2">
        <v>1</v>
      </c>
      <c r="G6848" s="2">
        <v>2</v>
      </c>
    </row>
    <row r="6849" spans="1:7" x14ac:dyDescent="0.2">
      <c r="A6849" s="2" t="s">
        <v>100</v>
      </c>
      <c r="B6849" s="14">
        <v>39356</v>
      </c>
      <c r="C6849" s="2">
        <v>6.3440860215999997E-2</v>
      </c>
      <c r="D6849" s="2">
        <v>0</v>
      </c>
      <c r="E6849" s="2">
        <v>1</v>
      </c>
      <c r="G6849" s="2">
        <v>2</v>
      </c>
    </row>
    <row r="6850" spans="1:7" x14ac:dyDescent="0.2">
      <c r="A6850" s="2" t="s">
        <v>100</v>
      </c>
      <c r="B6850" s="14">
        <v>39387</v>
      </c>
      <c r="C6850" s="2">
        <v>-5.9676440849E-2</v>
      </c>
      <c r="D6850" s="2">
        <v>0</v>
      </c>
      <c r="E6850" s="2">
        <v>1</v>
      </c>
      <c r="G6850" s="2">
        <v>2</v>
      </c>
    </row>
    <row r="6851" spans="1:7" x14ac:dyDescent="0.2">
      <c r="A6851" s="2" t="s">
        <v>100</v>
      </c>
      <c r="B6851" s="14">
        <v>39417</v>
      </c>
      <c r="C6851" s="2">
        <v>-3.2452310802999998E-2</v>
      </c>
      <c r="D6851" s="2">
        <v>0</v>
      </c>
      <c r="E6851" s="2">
        <v>1</v>
      </c>
      <c r="G6851" s="2">
        <v>2</v>
      </c>
    </row>
    <row r="6852" spans="1:7" x14ac:dyDescent="0.2">
      <c r="A6852" s="2" t="s">
        <v>100</v>
      </c>
      <c r="B6852" s="14">
        <v>39448</v>
      </c>
      <c r="C6852" s="2">
        <v>-0.14425427871999999</v>
      </c>
      <c r="D6852" s="2">
        <v>0</v>
      </c>
      <c r="E6852" s="2">
        <v>1</v>
      </c>
      <c r="G6852" s="2">
        <v>2</v>
      </c>
    </row>
    <row r="6853" spans="1:7" x14ac:dyDescent="0.2">
      <c r="A6853" s="2" t="s">
        <v>100</v>
      </c>
      <c r="B6853" s="14">
        <v>39479</v>
      </c>
      <c r="C6853" s="2">
        <v>4.9250749251000002E-2</v>
      </c>
      <c r="D6853" s="2">
        <v>0</v>
      </c>
      <c r="E6853" s="2">
        <v>1</v>
      </c>
      <c r="G6853" s="2">
        <v>2</v>
      </c>
    </row>
    <row r="6854" spans="1:7" x14ac:dyDescent="0.2">
      <c r="A6854" s="2" t="s">
        <v>100</v>
      </c>
      <c r="B6854" s="14">
        <v>39508</v>
      </c>
      <c r="C6854" s="2">
        <v>-2.3136246786999999E-2</v>
      </c>
      <c r="D6854" s="2">
        <v>0</v>
      </c>
      <c r="E6854" s="2">
        <v>1</v>
      </c>
      <c r="G6854" s="2">
        <v>2</v>
      </c>
    </row>
    <row r="6855" spans="1:7" x14ac:dyDescent="0.2">
      <c r="A6855" s="2" t="s">
        <v>100</v>
      </c>
      <c r="B6855" s="14">
        <v>39539</v>
      </c>
      <c r="C6855" s="2">
        <v>4.7368421052000002E-2</v>
      </c>
      <c r="D6855" s="2">
        <v>0</v>
      </c>
      <c r="E6855" s="2">
        <v>1</v>
      </c>
      <c r="G6855" s="2">
        <v>2</v>
      </c>
    </row>
    <row r="6856" spans="1:7" x14ac:dyDescent="0.2">
      <c r="A6856" s="2" t="s">
        <v>100</v>
      </c>
      <c r="B6856" s="14">
        <v>39569</v>
      </c>
      <c r="C6856" s="2">
        <v>-2.0498269712E-2</v>
      </c>
      <c r="D6856" s="2">
        <v>0</v>
      </c>
      <c r="E6856" s="2">
        <v>1</v>
      </c>
      <c r="G6856" s="2">
        <v>2</v>
      </c>
    </row>
    <row r="6857" spans="1:7" x14ac:dyDescent="0.2">
      <c r="A6857" s="2" t="s">
        <v>100</v>
      </c>
      <c r="B6857" s="14">
        <v>39600</v>
      </c>
      <c r="C6857" s="2">
        <v>-4.1333333334000001E-2</v>
      </c>
      <c r="D6857" s="2">
        <v>0</v>
      </c>
      <c r="E6857" s="2">
        <v>1</v>
      </c>
      <c r="G6857" s="2">
        <v>2</v>
      </c>
    </row>
    <row r="6858" spans="1:7" x14ac:dyDescent="0.2">
      <c r="A6858" s="2" t="s">
        <v>100</v>
      </c>
      <c r="B6858" s="14">
        <v>39630</v>
      </c>
      <c r="C6858" s="2">
        <v>7.0931849791999999E-2</v>
      </c>
      <c r="D6858" s="2">
        <v>0</v>
      </c>
      <c r="E6858" s="2">
        <v>1</v>
      </c>
      <c r="G6858" s="2">
        <v>2</v>
      </c>
    </row>
    <row r="6859" spans="1:7" x14ac:dyDescent="0.2">
      <c r="A6859" s="2" t="s">
        <v>100</v>
      </c>
      <c r="B6859" s="14">
        <v>39661</v>
      </c>
      <c r="C6859" s="2">
        <v>2.6168030831999999E-2</v>
      </c>
      <c r="D6859" s="2">
        <v>0</v>
      </c>
      <c r="E6859" s="2">
        <v>1</v>
      </c>
      <c r="G6859" s="2">
        <v>2</v>
      </c>
    </row>
    <row r="6860" spans="1:7" x14ac:dyDescent="0.2">
      <c r="A6860" s="2" t="s">
        <v>100</v>
      </c>
      <c r="B6860" s="14">
        <v>39692</v>
      </c>
      <c r="C6860" s="2">
        <v>-8.3769633507999999E-2</v>
      </c>
      <c r="D6860" s="2">
        <v>0</v>
      </c>
      <c r="E6860" s="2">
        <v>1</v>
      </c>
      <c r="G6860" s="2">
        <v>2</v>
      </c>
    </row>
    <row r="6861" spans="1:7" x14ac:dyDescent="0.2">
      <c r="A6861" s="2" t="s">
        <v>100</v>
      </c>
      <c r="B6861" s="14">
        <v>39722</v>
      </c>
      <c r="C6861" s="2">
        <v>-2.2714285713999999E-2</v>
      </c>
      <c r="D6861" s="2">
        <v>0</v>
      </c>
      <c r="E6861" s="2">
        <v>1</v>
      </c>
      <c r="G6861" s="2">
        <v>2</v>
      </c>
    </row>
    <row r="6862" spans="1:7" x14ac:dyDescent="0.2">
      <c r="A6862" s="2" t="s">
        <v>100</v>
      </c>
      <c r="B6862" s="14">
        <v>39753</v>
      </c>
      <c r="C6862" s="2">
        <v>-0.11124104663000001</v>
      </c>
      <c r="D6862" s="2">
        <v>0</v>
      </c>
      <c r="E6862" s="2">
        <v>1</v>
      </c>
      <c r="G6862" s="2">
        <v>2</v>
      </c>
    </row>
    <row r="6863" spans="1:7" x14ac:dyDescent="0.2">
      <c r="A6863" s="2" t="s">
        <v>100</v>
      </c>
      <c r="B6863" s="14">
        <v>39783</v>
      </c>
      <c r="C6863" s="2">
        <v>-1.9736842104999999E-2</v>
      </c>
      <c r="D6863" s="2">
        <v>0</v>
      </c>
      <c r="E6863" s="2">
        <v>1</v>
      </c>
      <c r="G6863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A445-9605-4819-84B9-D9A2319584BB}">
  <dimension ref="A1:O75"/>
  <sheetViews>
    <sheetView showGridLines="0" workbookViewId="0">
      <selection activeCell="N58" sqref="N58"/>
    </sheetView>
  </sheetViews>
  <sheetFormatPr baseColWidth="10" defaultColWidth="11.5" defaultRowHeight="15" x14ac:dyDescent="0.2"/>
  <cols>
    <col min="1" max="1" width="10.5" style="2" bestFit="1" customWidth="1"/>
    <col min="2" max="3" width="11.33203125" style="2" bestFit="1" customWidth="1"/>
    <col min="4" max="5" width="12.5" style="2" bestFit="1" customWidth="1"/>
    <col min="6" max="6" width="11.5" style="2"/>
    <col min="7" max="7" width="13.33203125" style="2" bestFit="1" customWidth="1"/>
    <col min="8" max="8" width="11.1640625" style="2" bestFit="1" customWidth="1"/>
    <col min="9" max="9" width="11.1640625" style="2" customWidth="1"/>
    <col min="10" max="10" width="14.33203125" style="2" bestFit="1" customWidth="1"/>
    <col min="11" max="11" width="5.5" style="2" customWidth="1"/>
    <col min="12" max="16384" width="11.5" style="2"/>
  </cols>
  <sheetData>
    <row r="1" spans="1:15" x14ac:dyDescent="0.2">
      <c r="A1" s="16" t="s">
        <v>114</v>
      </c>
      <c r="B1" s="17"/>
      <c r="C1" s="17"/>
      <c r="D1" s="17"/>
      <c r="E1" s="18"/>
      <c r="G1" s="15" t="s">
        <v>106</v>
      </c>
      <c r="H1" s="15"/>
      <c r="I1" s="15"/>
      <c r="J1" s="15"/>
      <c r="L1" s="15" t="s">
        <v>109</v>
      </c>
      <c r="M1" s="15"/>
      <c r="N1" s="15"/>
      <c r="O1" s="15"/>
    </row>
    <row r="2" spans="1:15" x14ac:dyDescent="0.2">
      <c r="A2" s="4" t="s">
        <v>1</v>
      </c>
      <c r="B2" s="4" t="s">
        <v>101</v>
      </c>
      <c r="C2" s="4" t="s">
        <v>102</v>
      </c>
      <c r="D2" s="4" t="s">
        <v>103</v>
      </c>
      <c r="E2" s="4" t="s">
        <v>104</v>
      </c>
      <c r="G2" s="4" t="s">
        <v>105</v>
      </c>
      <c r="H2" s="4" t="s">
        <v>108</v>
      </c>
      <c r="I2" s="4" t="s">
        <v>110</v>
      </c>
      <c r="J2" s="4" t="s">
        <v>111</v>
      </c>
      <c r="L2" s="4" t="s">
        <v>105</v>
      </c>
      <c r="M2" s="4" t="s">
        <v>107</v>
      </c>
      <c r="N2" s="4" t="s">
        <v>112</v>
      </c>
      <c r="O2" s="4" t="s">
        <v>113</v>
      </c>
    </row>
    <row r="3" spans="1:15" x14ac:dyDescent="0.2">
      <c r="A3" s="7">
        <v>37591</v>
      </c>
      <c r="B3" s="5">
        <f>AVERAGEIFS('Base de Datos'!$C$2:$C$6863,'Base de Datos'!$B$2:$B$6863,Cálculos!$A3,'Base de Datos'!$G$2:$G$6863,1)</f>
        <v>5.0765751061760615E-2</v>
      </c>
      <c r="C3" s="5">
        <f>AVERAGEIFS('Base de Datos'!$C$2:$C$6863,'Base de Datos'!$B$2:$B$6863,Cálculos!$A3,'Base de Datos'!$G$2:$G$6863,2)</f>
        <v>2.9688486114742958E-2</v>
      </c>
      <c r="D3" s="5" t="e">
        <f>AVERAGEIFS('Base de Datos'!$F$2:$F$6863,'Base de Datos'!$B$2:$B$6863,Cálculos!$A3,'Base de Datos'!$G$2:$G$6863,1)</f>
        <v>#DIV/0!</v>
      </c>
      <c r="E3" s="5" t="e">
        <f>AVERAGEIFS('Base de Datos'!$F$2:$F$6863,'Base de Datos'!$B$2:$B$6863,Cálculos!$A3,'Base de Datos'!$G$2:$G$6863,2)</f>
        <v>#DIV/0!</v>
      </c>
      <c r="G3" s="8">
        <f>B3-C3</f>
        <v>2.1077264947017657E-2</v>
      </c>
      <c r="H3" s="4"/>
      <c r="I3" s="4"/>
      <c r="J3" s="4"/>
      <c r="L3" s="5" t="e">
        <f t="shared" ref="L3:L34" si="0">(B3-D3)-(C3-E3)</f>
        <v>#DIV/0!</v>
      </c>
      <c r="M3" s="4"/>
      <c r="N3" s="4"/>
      <c r="O3" s="4"/>
    </row>
    <row r="4" spans="1:15" x14ac:dyDescent="0.2">
      <c r="A4" s="7">
        <v>37622</v>
      </c>
      <c r="B4" s="5">
        <f>AVERAGEIFS('Base de Datos'!$C$2:$C$6863,'Base de Datos'!$B$2:$B$6863,Cálculos!$A4,'Base de Datos'!$G$2:$G$6863,1)</f>
        <v>3.5911661806000013E-3</v>
      </c>
      <c r="C4" s="5">
        <f>AVERAGEIFS('Base de Datos'!$C$2:$C$6863,'Base de Datos'!$B$2:$B$6863,Cálculos!$A4,'Base de Datos'!$G$2:$G$6863,2)</f>
        <v>6.8498331200218176E-3</v>
      </c>
      <c r="D4" s="5" t="e">
        <f>AVERAGEIFS('Base de Datos'!$F$2:$F$6863,'Base de Datos'!$B$2:$B$6863,Cálculos!$A4,'Base de Datos'!$G$2:$G$6863,1)</f>
        <v>#DIV/0!</v>
      </c>
      <c r="E4" s="5" t="e">
        <f>AVERAGEIFS('Base de Datos'!$F$2:$F$6863,'Base de Datos'!$B$2:$B$6863,Cálculos!$A4,'Base de Datos'!$G$2:$G$6863,2)</f>
        <v>#DIV/0!</v>
      </c>
      <c r="G4" s="8">
        <f t="shared" ref="G4:G67" si="1">B4-C4</f>
        <v>-3.2586669394218163E-3</v>
      </c>
      <c r="H4" s="4"/>
      <c r="I4" s="4"/>
      <c r="J4" s="4"/>
      <c r="L4" s="5" t="e">
        <f t="shared" si="0"/>
        <v>#DIV/0!</v>
      </c>
      <c r="M4" s="4"/>
      <c r="N4" s="4"/>
      <c r="O4" s="4"/>
    </row>
    <row r="5" spans="1:15" x14ac:dyDescent="0.2">
      <c r="A5" s="7">
        <v>37653</v>
      </c>
      <c r="B5" s="5">
        <f>AVERAGEIFS('Base de Datos'!$C$2:$C$6863,'Base de Datos'!$B$2:$B$6863,Cálculos!$A5,'Base de Datos'!$G$2:$G$6863,1)</f>
        <v>2.9798678643242413E-3</v>
      </c>
      <c r="C5" s="5">
        <f>AVERAGEIFS('Base de Datos'!$C$2:$C$6863,'Base de Datos'!$B$2:$B$6863,Cálculos!$A5,'Base de Datos'!$G$2:$G$6863,2)</f>
        <v>-3.953539637055724E-3</v>
      </c>
      <c r="D5" s="5" t="e">
        <f>AVERAGEIFS('Base de Datos'!$F$2:$F$6863,'Base de Datos'!$B$2:$B$6863,Cálculos!$A5,'Base de Datos'!$G$2:$G$6863,1)</f>
        <v>#DIV/0!</v>
      </c>
      <c r="E5" s="5" t="e">
        <f>AVERAGEIFS('Base de Datos'!$F$2:$F$6863,'Base de Datos'!$B$2:$B$6863,Cálculos!$A5,'Base de Datos'!$G$2:$G$6863,2)</f>
        <v>#DIV/0!</v>
      </c>
      <c r="G5" s="8">
        <f t="shared" si="1"/>
        <v>6.9334075013799653E-3</v>
      </c>
      <c r="H5" s="4"/>
      <c r="I5" s="4"/>
      <c r="J5" s="4"/>
      <c r="L5" s="5" t="e">
        <f t="shared" si="0"/>
        <v>#DIV/0!</v>
      </c>
      <c r="M5" s="4"/>
      <c r="N5" s="4"/>
      <c r="O5" s="4"/>
    </row>
    <row r="6" spans="1:15" x14ac:dyDescent="0.2">
      <c r="A6" s="7">
        <v>37681</v>
      </c>
      <c r="B6" s="5">
        <f>AVERAGEIFS('Base de Datos'!$C$2:$C$6863,'Base de Datos'!$B$2:$B$6863,Cálculos!$A6,'Base de Datos'!$G$2:$G$6863,1)</f>
        <v>6.6219994236939392E-3</v>
      </c>
      <c r="C6" s="5">
        <f>AVERAGEIFS('Base de Datos'!$C$2:$C$6863,'Base de Datos'!$B$2:$B$6863,Cálculos!$A6,'Base de Datos'!$G$2:$G$6863,2)</f>
        <v>6.1880027289938121E-3</v>
      </c>
      <c r="D6" s="5" t="e">
        <f>AVERAGEIFS('Base de Datos'!$F$2:$F$6863,'Base de Datos'!$B$2:$B$6863,Cálculos!$A6,'Base de Datos'!$G$2:$G$6863,1)</f>
        <v>#DIV/0!</v>
      </c>
      <c r="E6" s="5" t="e">
        <f>AVERAGEIFS('Base de Datos'!$F$2:$F$6863,'Base de Datos'!$B$2:$B$6863,Cálculos!$A6,'Base de Datos'!$G$2:$G$6863,2)</f>
        <v>#DIV/0!</v>
      </c>
      <c r="G6" s="8">
        <f t="shared" si="1"/>
        <v>4.3399669470012715E-4</v>
      </c>
      <c r="H6" s="4"/>
      <c r="I6" s="4"/>
      <c r="J6" s="4"/>
      <c r="L6" s="5" t="e">
        <f t="shared" si="0"/>
        <v>#DIV/0!</v>
      </c>
      <c r="M6" s="4"/>
      <c r="N6" s="4"/>
      <c r="O6" s="4"/>
    </row>
    <row r="7" spans="1:15" x14ac:dyDescent="0.2">
      <c r="A7" s="7">
        <v>37712</v>
      </c>
      <c r="B7" s="5">
        <f>AVERAGEIFS('Base de Datos'!$C$2:$C$6863,'Base de Datos'!$B$2:$B$6863,Cálculos!$A7,'Base de Datos'!$G$2:$G$6863,1)</f>
        <v>0.22240968139107578</v>
      </c>
      <c r="C7" s="5">
        <f>AVERAGEIFS('Base de Datos'!$C$2:$C$6863,'Base de Datos'!$B$2:$B$6863,Cálculos!$A7,'Base de Datos'!$G$2:$G$6863,2)</f>
        <v>0.10868095523376251</v>
      </c>
      <c r="D7" s="5" t="e">
        <f>AVERAGEIFS('Base de Datos'!$F$2:$F$6863,'Base de Datos'!$B$2:$B$6863,Cálculos!$A7,'Base de Datos'!$G$2:$G$6863,1)</f>
        <v>#DIV/0!</v>
      </c>
      <c r="E7" s="5" t="e">
        <f>AVERAGEIFS('Base de Datos'!$F$2:$F$6863,'Base de Datos'!$B$2:$B$6863,Cálculos!$A7,'Base de Datos'!$G$2:$G$6863,2)</f>
        <v>#DIV/0!</v>
      </c>
      <c r="G7" s="8">
        <f t="shared" si="1"/>
        <v>0.11372872615731328</v>
      </c>
      <c r="H7" s="4"/>
      <c r="I7" s="4"/>
      <c r="J7" s="4"/>
      <c r="L7" s="5" t="e">
        <f t="shared" si="0"/>
        <v>#DIV/0!</v>
      </c>
      <c r="M7" s="4"/>
      <c r="N7" s="4"/>
      <c r="O7" s="4"/>
    </row>
    <row r="8" spans="1:15" x14ac:dyDescent="0.2">
      <c r="A8" s="7">
        <v>37742</v>
      </c>
      <c r="B8" s="5">
        <f>AVERAGEIFS('Base de Datos'!$C$2:$C$6863,'Base de Datos'!$B$2:$B$6863,Cálculos!$A8,'Base de Datos'!$G$2:$G$6863,1)</f>
        <v>7.7228221456145441E-2</v>
      </c>
      <c r="C8" s="5">
        <f>AVERAGEIFS('Base de Datos'!$C$2:$C$6863,'Base de Datos'!$B$2:$B$6863,Cálculos!$A8,'Base de Datos'!$G$2:$G$6863,2)</f>
        <v>8.2941822616176289E-2</v>
      </c>
      <c r="D8" s="5" t="e">
        <f>AVERAGEIFS('Base de Datos'!$F$2:$F$6863,'Base de Datos'!$B$2:$B$6863,Cálculos!$A8,'Base de Datos'!$G$2:$G$6863,1)</f>
        <v>#DIV/0!</v>
      </c>
      <c r="E8" s="5" t="e">
        <f>AVERAGEIFS('Base de Datos'!$F$2:$F$6863,'Base de Datos'!$B$2:$B$6863,Cálculos!$A8,'Base de Datos'!$G$2:$G$6863,2)</f>
        <v>#DIV/0!</v>
      </c>
      <c r="G8" s="8">
        <f t="shared" si="1"/>
        <v>-5.7136011600308484E-3</v>
      </c>
      <c r="H8" s="4"/>
      <c r="I8" s="4"/>
      <c r="J8" s="4"/>
      <c r="L8" s="5" t="e">
        <f t="shared" si="0"/>
        <v>#DIV/0!</v>
      </c>
      <c r="M8" s="4"/>
      <c r="N8" s="4"/>
      <c r="O8" s="4"/>
    </row>
    <row r="9" spans="1:15" x14ac:dyDescent="0.2">
      <c r="A9" s="7">
        <v>37773</v>
      </c>
      <c r="B9" s="5">
        <f>AVERAGEIFS('Base de Datos'!$C$2:$C$6863,'Base de Datos'!$B$2:$B$6863,Cálculos!$A9,'Base de Datos'!$G$2:$G$6863,1)</f>
        <v>1.6128364338020666E-2</v>
      </c>
      <c r="C9" s="5">
        <f>AVERAGEIFS('Base de Datos'!$C$2:$C$6863,'Base de Datos'!$B$2:$B$6863,Cálculos!$A9,'Base de Datos'!$G$2:$G$6863,2)</f>
        <v>4.8727178965386362E-3</v>
      </c>
      <c r="D9" s="5" t="e">
        <f>AVERAGEIFS('Base de Datos'!$F$2:$F$6863,'Base de Datos'!$B$2:$B$6863,Cálculos!$A9,'Base de Datos'!$G$2:$G$6863,1)</f>
        <v>#DIV/0!</v>
      </c>
      <c r="E9" s="5" t="e">
        <f>AVERAGEIFS('Base de Datos'!$F$2:$F$6863,'Base de Datos'!$B$2:$B$6863,Cálculos!$A9,'Base de Datos'!$G$2:$G$6863,2)</f>
        <v>#DIV/0!</v>
      </c>
      <c r="G9" s="8">
        <f t="shared" si="1"/>
        <v>1.1255646441482029E-2</v>
      </c>
      <c r="H9" s="4"/>
      <c r="I9" s="4"/>
      <c r="J9" s="4"/>
      <c r="L9" s="5" t="e">
        <f t="shared" si="0"/>
        <v>#DIV/0!</v>
      </c>
      <c r="M9" s="4"/>
      <c r="N9" s="4"/>
      <c r="O9" s="4"/>
    </row>
    <row r="10" spans="1:15" x14ac:dyDescent="0.2">
      <c r="A10" s="7">
        <v>37803</v>
      </c>
      <c r="B10" s="5">
        <f>AVERAGEIFS('Base de Datos'!$C$2:$C$6863,'Base de Datos'!$B$2:$B$6863,Cálculos!$A10,'Base de Datos'!$G$2:$G$6863,1)</f>
        <v>5.8686935200984836E-2</v>
      </c>
      <c r="C10" s="5">
        <f>AVERAGEIFS('Base de Datos'!$C$2:$C$6863,'Base de Datos'!$B$2:$B$6863,Cálculos!$A10,'Base de Datos'!$G$2:$G$6863,2)</f>
        <v>5.0277667566643341E-2</v>
      </c>
      <c r="D10" s="5" t="e">
        <f>AVERAGEIFS('Base de Datos'!$F$2:$F$6863,'Base de Datos'!$B$2:$B$6863,Cálculos!$A10,'Base de Datos'!$G$2:$G$6863,1)</f>
        <v>#DIV/0!</v>
      </c>
      <c r="E10" s="5" t="e">
        <f>AVERAGEIFS('Base de Datos'!$F$2:$F$6863,'Base de Datos'!$B$2:$B$6863,Cálculos!$A10,'Base de Datos'!$G$2:$G$6863,2)</f>
        <v>#DIV/0!</v>
      </c>
      <c r="G10" s="8">
        <f t="shared" si="1"/>
        <v>8.409267634341494E-3</v>
      </c>
      <c r="H10" s="4"/>
      <c r="I10" s="4"/>
      <c r="J10" s="4"/>
      <c r="L10" s="5" t="e">
        <f t="shared" si="0"/>
        <v>#DIV/0!</v>
      </c>
      <c r="M10" s="4"/>
      <c r="N10" s="4"/>
      <c r="O10" s="4"/>
    </row>
    <row r="11" spans="1:15" x14ac:dyDescent="0.2">
      <c r="A11" s="7">
        <v>37834</v>
      </c>
      <c r="B11" s="5">
        <f>AVERAGEIFS('Base de Datos'!$C$2:$C$6863,'Base de Datos'!$B$2:$B$6863,Cálculos!$A11,'Base de Datos'!$G$2:$G$6863,1)</f>
        <v>8.1165383228642418E-2</v>
      </c>
      <c r="C11" s="5">
        <f>AVERAGEIFS('Base de Datos'!$C$2:$C$6863,'Base de Datos'!$B$2:$B$6863,Cálculos!$A11,'Base de Datos'!$G$2:$G$6863,2)</f>
        <v>0.11753347932015551</v>
      </c>
      <c r="D11" s="5">
        <f>AVERAGEIFS('Base de Datos'!$F$2:$F$6863,'Base de Datos'!$B$2:$B$6863,Cálculos!$A11,'Base de Datos'!$G$2:$G$6863,1)</f>
        <v>3.686007140360624E-2</v>
      </c>
      <c r="E11" s="5">
        <f>AVERAGEIFS('Base de Datos'!$F$2:$F$6863,'Base de Datos'!$B$2:$B$6863,Cálculos!$A11,'Base de Datos'!$G$2:$G$6863,2)</f>
        <v>4.0097373729874673E-2</v>
      </c>
      <c r="G11" s="8">
        <f t="shared" si="1"/>
        <v>-3.6368096091513091E-2</v>
      </c>
      <c r="H11" s="4"/>
      <c r="I11" s="4"/>
      <c r="J11" s="4"/>
      <c r="L11" s="5">
        <f t="shared" si="0"/>
        <v>-3.3130793765244651E-2</v>
      </c>
      <c r="M11" s="4"/>
      <c r="N11" s="4"/>
      <c r="O11" s="4"/>
    </row>
    <row r="12" spans="1:15" x14ac:dyDescent="0.2">
      <c r="A12" s="7">
        <v>37865</v>
      </c>
      <c r="B12" s="5">
        <f>AVERAGEIFS('Base de Datos'!$C$2:$C$6863,'Base de Datos'!$B$2:$B$6863,Cálculos!$A12,'Base de Datos'!$G$2:$G$6863,1)</f>
        <v>3.3420366444220598E-2</v>
      </c>
      <c r="C12" s="5">
        <f>AVERAGEIFS('Base de Datos'!$C$2:$C$6863,'Base de Datos'!$B$2:$B$6863,Cálculos!$A12,'Base de Datos'!$G$2:$G$6863,2)</f>
        <v>3.6584238313441139E-2</v>
      </c>
      <c r="D12" s="5">
        <f>AVERAGEIFS('Base de Datos'!$F$2:$F$6863,'Base de Datos'!$B$2:$B$6863,Cálculos!$A12,'Base de Datos'!$G$2:$G$6863,1)</f>
        <v>3.8662042190836007E-2</v>
      </c>
      <c r="E12" s="5">
        <f>AVERAGEIFS('Base de Datos'!$F$2:$F$6863,'Base de Datos'!$B$2:$B$6863,Cálculos!$A12,'Base de Datos'!$G$2:$G$6863,2)</f>
        <v>4.5325676818553484E-2</v>
      </c>
      <c r="G12" s="8">
        <f t="shared" si="1"/>
        <v>-3.1638718692205414E-3</v>
      </c>
      <c r="H12" s="4"/>
      <c r="I12" s="4"/>
      <c r="J12" s="4"/>
      <c r="L12" s="5">
        <f t="shared" si="0"/>
        <v>3.4997627584969354E-3</v>
      </c>
      <c r="M12" s="4"/>
      <c r="N12" s="4"/>
      <c r="O12" s="4"/>
    </row>
    <row r="13" spans="1:15" x14ac:dyDescent="0.2">
      <c r="A13" s="7">
        <v>37895</v>
      </c>
      <c r="B13" s="5">
        <f>AVERAGEIFS('Base de Datos'!$C$2:$C$6863,'Base de Datos'!$B$2:$B$6863,Cálculos!$A13,'Base de Datos'!$G$2:$G$6863,1)</f>
        <v>7.6333888645235271E-2</v>
      </c>
      <c r="C13" s="5">
        <f>AVERAGEIFS('Base de Datos'!$C$2:$C$6863,'Base de Datos'!$B$2:$B$6863,Cálculos!$A13,'Base de Datos'!$G$2:$G$6863,2)</f>
        <v>0.10112334182083609</v>
      </c>
      <c r="D13" s="5">
        <f>AVERAGEIFS('Base de Datos'!$F$2:$F$6863,'Base de Datos'!$B$2:$B$6863,Cálculos!$A13,'Base de Datos'!$G$2:$G$6863,1)</f>
        <v>3.9445429892525127E-2</v>
      </c>
      <c r="E13" s="5">
        <f>AVERAGEIFS('Base de Datos'!$F$2:$F$6863,'Base de Datos'!$B$2:$B$6863,Cálculos!$A13,'Base de Datos'!$G$2:$G$6863,2)</f>
        <v>4.5142702294806679E-2</v>
      </c>
      <c r="G13" s="8">
        <f t="shared" si="1"/>
        <v>-2.4789453175600815E-2</v>
      </c>
      <c r="H13" s="4"/>
      <c r="I13" s="4"/>
      <c r="J13" s="4"/>
      <c r="L13" s="5">
        <f t="shared" si="0"/>
        <v>-1.9092180773319263E-2</v>
      </c>
      <c r="M13" s="4"/>
      <c r="N13" s="4"/>
      <c r="O13" s="4"/>
    </row>
    <row r="14" spans="1:15" x14ac:dyDescent="0.2">
      <c r="A14" s="7">
        <v>37926</v>
      </c>
      <c r="B14" s="5">
        <f>AVERAGEIFS('Base de Datos'!$C$2:$C$6863,'Base de Datos'!$B$2:$B$6863,Cálculos!$A14,'Base de Datos'!$G$2:$G$6863,1)</f>
        <v>-3.9302162980918084E-2</v>
      </c>
      <c r="C14" s="5">
        <f>AVERAGEIFS('Base de Datos'!$C$2:$C$6863,'Base de Datos'!$B$2:$B$6863,Cálculos!$A14,'Base de Datos'!$G$2:$G$6863,2)</f>
        <v>-7.5176928372860437E-3</v>
      </c>
      <c r="D14" s="5">
        <f>AVERAGEIFS('Base de Datos'!$F$2:$F$6863,'Base de Datos'!$B$2:$B$6863,Cálculos!$A14,'Base de Datos'!$G$2:$G$6863,1)</f>
        <v>3.5053540445804499E-2</v>
      </c>
      <c r="E14" s="5">
        <f>AVERAGEIFS('Base de Datos'!$F$2:$F$6863,'Base de Datos'!$B$2:$B$6863,Cálculos!$A14,'Base de Datos'!$G$2:$G$6863,2)</f>
        <v>4.5598828253722072E-2</v>
      </c>
      <c r="G14" s="8">
        <f t="shared" si="1"/>
        <v>-3.1784470143632039E-2</v>
      </c>
      <c r="H14" s="4"/>
      <c r="I14" s="4"/>
      <c r="J14" s="4"/>
      <c r="L14" s="5">
        <f t="shared" si="0"/>
        <v>-2.1239182335714465E-2</v>
      </c>
      <c r="M14" s="4"/>
      <c r="N14" s="4"/>
      <c r="O14" s="4"/>
    </row>
    <row r="15" spans="1:15" x14ac:dyDescent="0.2">
      <c r="A15" s="7">
        <v>37956</v>
      </c>
      <c r="B15" s="5">
        <f>AVERAGEIFS('Base de Datos'!$C$2:$C$6863,'Base de Datos'!$B$2:$B$6863,Cálculos!$A15,'Base de Datos'!$G$2:$G$6863,1)</f>
        <v>-2.4537330368432347E-3</v>
      </c>
      <c r="C15" s="5">
        <f>AVERAGEIFS('Base de Datos'!$C$2:$C$6863,'Base de Datos'!$B$2:$B$6863,Cálculos!$A15,'Base de Datos'!$G$2:$G$6863,2)</f>
        <v>3.3032163997674419E-2</v>
      </c>
      <c r="D15" s="5">
        <f>AVERAGEIFS('Base de Datos'!$F$2:$F$6863,'Base de Datos'!$B$2:$B$6863,Cálculos!$A15,'Base de Datos'!$G$2:$G$6863,1)</f>
        <v>3.1829543478004457E-2</v>
      </c>
      <c r="E15" s="5">
        <f>AVERAGEIFS('Base de Datos'!$F$2:$F$6863,'Base de Datos'!$B$2:$B$6863,Cálculos!$A15,'Base de Datos'!$G$2:$G$6863,2)</f>
        <v>4.1710070126155629E-2</v>
      </c>
      <c r="G15" s="8">
        <f t="shared" si="1"/>
        <v>-3.5485897034517655E-2</v>
      </c>
      <c r="H15" s="4"/>
      <c r="I15" s="4"/>
      <c r="J15" s="4"/>
      <c r="L15" s="5">
        <f t="shared" si="0"/>
        <v>-2.5605370386366483E-2</v>
      </c>
      <c r="M15" s="4"/>
      <c r="N15" s="4"/>
      <c r="O15" s="4"/>
    </row>
    <row r="16" spans="1:15" x14ac:dyDescent="0.2">
      <c r="A16" s="7">
        <v>37987</v>
      </c>
      <c r="B16" s="5">
        <f>AVERAGEIFS('Base de Datos'!$C$2:$C$6863,'Base de Datos'!$B$2:$B$6863,Cálculos!$A16,'Base de Datos'!$G$2:$G$6863,1)</f>
        <v>-4.468349165990089E-2</v>
      </c>
      <c r="C16" s="5">
        <f>AVERAGEIFS('Base de Datos'!$C$2:$C$6863,'Base de Datos'!$B$2:$B$6863,Cálculos!$A16,'Base de Datos'!$G$2:$G$6863,2)</f>
        <v>2.7661514718315791E-3</v>
      </c>
      <c r="D16" s="5">
        <f>AVERAGEIFS('Base de Datos'!$F$2:$F$6863,'Base de Datos'!$B$2:$B$6863,Cálculos!$A16,'Base de Datos'!$G$2:$G$6863,1)</f>
        <v>3.158757826924579E-2</v>
      </c>
      <c r="E16" s="5">
        <f>AVERAGEIFS('Base de Datos'!$F$2:$F$6863,'Base de Datos'!$B$2:$B$6863,Cálculos!$A16,'Base de Datos'!$G$2:$G$6863,2)</f>
        <v>4.3810079950817288E-2</v>
      </c>
      <c r="G16" s="8">
        <f t="shared" si="1"/>
        <v>-4.7449643131732472E-2</v>
      </c>
      <c r="H16" s="4"/>
      <c r="I16" s="4"/>
      <c r="J16" s="4"/>
      <c r="L16" s="5">
        <f t="shared" si="0"/>
        <v>-3.5227141450160968E-2</v>
      </c>
      <c r="M16" s="4"/>
      <c r="N16" s="4"/>
      <c r="O16" s="4"/>
    </row>
    <row r="17" spans="1:15" x14ac:dyDescent="0.2">
      <c r="A17" s="7">
        <v>38018</v>
      </c>
      <c r="B17" s="5">
        <f>AVERAGEIFS('Base de Datos'!$C$2:$C$6863,'Base de Datos'!$B$2:$B$6863,Cálculos!$A17,'Base de Datos'!$G$2:$G$6863,1)</f>
        <v>9.2228856583335309E-2</v>
      </c>
      <c r="C17" s="5">
        <f>AVERAGEIFS('Base de Datos'!$C$2:$C$6863,'Base de Datos'!$B$2:$B$6863,Cálculos!$A17,'Base de Datos'!$G$2:$G$6863,2)</f>
        <v>2.6955041475939481E-2</v>
      </c>
      <c r="D17" s="5">
        <f>AVERAGEIFS('Base de Datos'!$F$2:$F$6863,'Base de Datos'!$B$2:$B$6863,Cálculos!$A17,'Base de Datos'!$G$2:$G$6863,1)</f>
        <v>2.8954443410951176E-2</v>
      </c>
      <c r="E17" s="5">
        <f>AVERAGEIFS('Base de Datos'!$F$2:$F$6863,'Base de Datos'!$B$2:$B$6863,Cálculos!$A17,'Base de Datos'!$G$2:$G$6863,2)</f>
        <v>3.9343926607420775E-2</v>
      </c>
      <c r="G17" s="8">
        <f t="shared" si="1"/>
        <v>6.5273815107395827E-2</v>
      </c>
      <c r="H17" s="4"/>
      <c r="I17" s="4"/>
      <c r="J17" s="4"/>
      <c r="L17" s="5">
        <f t="shared" si="0"/>
        <v>7.5663298303865423E-2</v>
      </c>
      <c r="M17" s="4"/>
      <c r="N17" s="4"/>
      <c r="O17" s="4"/>
    </row>
    <row r="18" spans="1:15" x14ac:dyDescent="0.2">
      <c r="A18" s="7">
        <v>38047</v>
      </c>
      <c r="B18" s="5">
        <f>AVERAGEIFS('Base de Datos'!$C$2:$C$6863,'Base de Datos'!$B$2:$B$6863,Cálculos!$A18,'Base de Datos'!$G$2:$G$6863,1)</f>
        <v>-2.6347540015450591E-2</v>
      </c>
      <c r="C18" s="5">
        <f>AVERAGEIFS('Base de Datos'!$C$2:$C$6863,'Base de Datos'!$B$2:$B$6863,Cálculos!$A18,'Base de Datos'!$G$2:$G$6863,2)</f>
        <v>2.551492070580768E-2</v>
      </c>
      <c r="D18" s="5">
        <f>AVERAGEIFS('Base de Datos'!$F$2:$F$6863,'Base de Datos'!$B$2:$B$6863,Cálculos!$A18,'Base de Datos'!$G$2:$G$6863,1)</f>
        <v>2.9445612425721513E-2</v>
      </c>
      <c r="E18" s="5">
        <f>AVERAGEIFS('Base de Datos'!$F$2:$F$6863,'Base de Datos'!$B$2:$B$6863,Cálculos!$A18,'Base de Datos'!$G$2:$G$6863,2)</f>
        <v>3.8468787344071373E-2</v>
      </c>
      <c r="G18" s="8">
        <f t="shared" si="1"/>
        <v>-5.1862460721258274E-2</v>
      </c>
      <c r="H18" s="4"/>
      <c r="I18" s="4"/>
      <c r="J18" s="4"/>
      <c r="L18" s="5">
        <f t="shared" si="0"/>
        <v>-4.2839285802908411E-2</v>
      </c>
      <c r="M18" s="4"/>
      <c r="N18" s="4"/>
      <c r="O18" s="4"/>
    </row>
    <row r="19" spans="1:15" x14ac:dyDescent="0.2">
      <c r="A19" s="7">
        <v>38078</v>
      </c>
      <c r="B19" s="5">
        <f>AVERAGEIFS('Base de Datos'!$C$2:$C$6863,'Base de Datos'!$B$2:$B$6863,Cálculos!$A19,'Base de Datos'!$G$2:$G$6863,1)</f>
        <v>-1.2174672980029414E-2</v>
      </c>
      <c r="C19" s="5">
        <f>AVERAGEIFS('Base de Datos'!$C$2:$C$6863,'Base de Datos'!$B$2:$B$6863,Cálculos!$A19,'Base de Datos'!$G$2:$G$6863,2)</f>
        <v>3.0417617919604643E-3</v>
      </c>
      <c r="D19" s="5">
        <f>AVERAGEIFS('Base de Datos'!$F$2:$F$6863,'Base de Datos'!$B$2:$B$6863,Cálculos!$A19,'Base de Datos'!$G$2:$G$6863,1)</f>
        <v>2.76555974498232E-2</v>
      </c>
      <c r="E19" s="5">
        <f>AVERAGEIFS('Base de Datos'!$F$2:$F$6863,'Base de Datos'!$B$2:$B$6863,Cálculos!$A19,'Base de Datos'!$G$2:$G$6863,2)</f>
        <v>4.0244529301544277E-2</v>
      </c>
      <c r="G19" s="8">
        <f t="shared" si="1"/>
        <v>-1.5216434771989879E-2</v>
      </c>
      <c r="H19" s="4"/>
      <c r="I19" s="4"/>
      <c r="J19" s="4"/>
      <c r="L19" s="5">
        <f t="shared" si="0"/>
        <v>-2.6275029202688024E-3</v>
      </c>
      <c r="M19" s="4"/>
      <c r="N19" s="4"/>
      <c r="O19" s="4"/>
    </row>
    <row r="20" spans="1:15" x14ac:dyDescent="0.2">
      <c r="A20" s="7">
        <v>38108</v>
      </c>
      <c r="B20" s="5">
        <f>AVERAGEIFS('Base de Datos'!$C$2:$C$6863,'Base de Datos'!$B$2:$B$6863,Cálculos!$A20,'Base de Datos'!$G$2:$G$6863,1)</f>
        <v>-3.0287769977176463E-3</v>
      </c>
      <c r="C20" s="5">
        <f>AVERAGEIFS('Base de Datos'!$C$2:$C$6863,'Base de Datos'!$B$2:$B$6863,Cálculos!$A20,'Base de Datos'!$G$2:$G$6863,2)</f>
        <v>-4.3851614159763396E-3</v>
      </c>
      <c r="D20" s="5">
        <f>AVERAGEIFS('Base de Datos'!$F$2:$F$6863,'Base de Datos'!$B$2:$B$6863,Cálculos!$A20,'Base de Datos'!$G$2:$G$6863,1)</f>
        <v>2.4895513141730701E-2</v>
      </c>
      <c r="E20" s="5">
        <f>AVERAGEIFS('Base de Datos'!$F$2:$F$6863,'Base de Datos'!$B$2:$B$6863,Cálculos!$A20,'Base de Datos'!$G$2:$G$6863,2)</f>
        <v>3.5823407101243362E-2</v>
      </c>
      <c r="G20" s="8">
        <f t="shared" si="1"/>
        <v>1.3563844182586933E-3</v>
      </c>
      <c r="H20" s="8"/>
      <c r="I20" s="8"/>
      <c r="J20" s="8"/>
      <c r="L20" s="5">
        <f t="shared" si="0"/>
        <v>1.2284278377771359E-2</v>
      </c>
      <c r="M20" s="4"/>
      <c r="N20" s="4"/>
      <c r="O20" s="4"/>
    </row>
    <row r="21" spans="1:15" x14ac:dyDescent="0.2">
      <c r="A21" s="7">
        <v>38139</v>
      </c>
      <c r="B21" s="5">
        <f>AVERAGEIFS('Base de Datos'!$C$2:$C$6863,'Base de Datos'!$B$2:$B$6863,Cálculos!$A21,'Base de Datos'!$G$2:$G$6863,1)</f>
        <v>5.6646867212346276E-2</v>
      </c>
      <c r="C21" s="5">
        <f>AVERAGEIFS('Base de Datos'!$C$2:$C$6863,'Base de Datos'!$B$2:$B$6863,Cálculos!$A21,'Base de Datos'!$G$2:$G$6863,2)</f>
        <v>6.083734071870734E-2</v>
      </c>
      <c r="D21" s="5">
        <f>AVERAGEIFS('Base de Datos'!$F$2:$F$6863,'Base de Datos'!$B$2:$B$6863,Cálculos!$A21,'Base de Datos'!$G$2:$G$6863,1)</f>
        <v>2.5841324422326374E-2</v>
      </c>
      <c r="E21" s="5">
        <f>AVERAGEIFS('Base de Datos'!$F$2:$F$6863,'Base de Datos'!$B$2:$B$6863,Cálculos!$A21,'Base de Datos'!$G$2:$G$6863,2)</f>
        <v>3.4066200899547067E-2</v>
      </c>
      <c r="G21" s="8">
        <f t="shared" si="1"/>
        <v>-4.1904735063610643E-3</v>
      </c>
      <c r="H21" s="8"/>
      <c r="I21" s="8"/>
      <c r="J21" s="8"/>
      <c r="L21" s="5">
        <f t="shared" si="0"/>
        <v>4.0344029708596282E-3</v>
      </c>
      <c r="M21" s="4"/>
      <c r="N21" s="4"/>
      <c r="O21" s="4"/>
    </row>
    <row r="22" spans="1:15" x14ac:dyDescent="0.2">
      <c r="A22" s="7">
        <v>38169</v>
      </c>
      <c r="B22" s="5">
        <f>AVERAGEIFS('Base de Datos'!$C$2:$C$6863,'Base de Datos'!$B$2:$B$6863,Cálculos!$A22,'Base de Datos'!$G$2:$G$6863,1)</f>
        <v>3.9709099845174282E-2</v>
      </c>
      <c r="C22" s="5">
        <f>AVERAGEIFS('Base de Datos'!$C$2:$C$6863,'Base de Datos'!$B$2:$B$6863,Cálculos!$A22,'Base de Datos'!$G$2:$G$6863,2)</f>
        <v>5.6180568559171119E-2</v>
      </c>
      <c r="D22" s="5">
        <f>AVERAGEIFS('Base de Datos'!$F$2:$F$6863,'Base de Datos'!$B$2:$B$6863,Cálculos!$A22,'Base de Datos'!$G$2:$G$6863,1)</f>
        <v>2.7509313928742424E-2</v>
      </c>
      <c r="E22" s="5">
        <f>AVERAGEIFS('Base de Datos'!$F$2:$F$6863,'Base de Datos'!$B$2:$B$6863,Cálculos!$A22,'Base de Datos'!$G$2:$G$6863,2)</f>
        <v>3.6681928355683319E-2</v>
      </c>
      <c r="G22" s="8">
        <f t="shared" si="1"/>
        <v>-1.6471468713996837E-2</v>
      </c>
      <c r="H22" s="8"/>
      <c r="I22" s="8"/>
      <c r="J22" s="8"/>
      <c r="L22" s="5">
        <f t="shared" si="0"/>
        <v>-7.298854287055942E-3</v>
      </c>
      <c r="M22" s="4"/>
      <c r="N22" s="4"/>
      <c r="O22" s="4"/>
    </row>
    <row r="23" spans="1:15" x14ac:dyDescent="0.2">
      <c r="A23" s="7">
        <v>38200</v>
      </c>
      <c r="B23" s="5">
        <f>AVERAGEIFS('Base de Datos'!$C$2:$C$6863,'Base de Datos'!$B$2:$B$6863,Cálculos!$A23,'Base de Datos'!$G$2:$G$6863,1)</f>
        <v>9.1067163917155414E-2</v>
      </c>
      <c r="C23" s="5">
        <f>AVERAGEIFS('Base de Datos'!$C$2:$C$6863,'Base de Datos'!$B$2:$B$6863,Cálculos!$A23,'Base de Datos'!$G$2:$G$6863,2)</f>
        <v>0.14061280468251111</v>
      </c>
      <c r="D23" s="5">
        <f>AVERAGEIFS('Base de Datos'!$F$2:$F$6863,'Base de Datos'!$B$2:$B$6863,Cálculos!$A23,'Base de Datos'!$G$2:$G$6863,1)</f>
        <v>2.1229247319360475E-2</v>
      </c>
      <c r="E23" s="5">
        <f>AVERAGEIFS('Base de Datos'!$F$2:$F$6863,'Base de Datos'!$B$2:$B$6863,Cálculos!$A23,'Base de Datos'!$G$2:$G$6863,2)</f>
        <v>2.6807068883227432E-2</v>
      </c>
      <c r="G23" s="8">
        <f t="shared" si="1"/>
        <v>-4.9545640765355697E-2</v>
      </c>
      <c r="H23" s="8"/>
      <c r="I23" s="8"/>
      <c r="J23" s="8"/>
      <c r="L23" s="5">
        <f t="shared" si="0"/>
        <v>-4.3967819201488748E-2</v>
      </c>
      <c r="M23" s="4"/>
      <c r="N23" s="4"/>
      <c r="O23" s="4"/>
    </row>
    <row r="24" spans="1:15" x14ac:dyDescent="0.2">
      <c r="A24" s="7">
        <v>38231</v>
      </c>
      <c r="B24" s="5">
        <f>AVERAGEIFS('Base de Datos'!$C$2:$C$6863,'Base de Datos'!$B$2:$B$6863,Cálculos!$A24,'Base de Datos'!$G$2:$G$6863,1)</f>
        <v>6.1558046340580007E-2</v>
      </c>
      <c r="C24" s="5">
        <f>AVERAGEIFS('Base de Datos'!$C$2:$C$6863,'Base de Datos'!$B$2:$B$6863,Cálculos!$A24,'Base de Datos'!$G$2:$G$6863,2)</f>
        <v>0.19823429082401339</v>
      </c>
      <c r="D24" s="5">
        <f>AVERAGEIFS('Base de Datos'!$F$2:$F$6863,'Base de Datos'!$B$2:$B$6863,Cálculos!$A24,'Base de Datos'!$G$2:$G$6863,1)</f>
        <v>2.0899582750945778E-2</v>
      </c>
      <c r="E24" s="5">
        <f>AVERAGEIFS('Base de Datos'!$F$2:$F$6863,'Base de Datos'!$B$2:$B$6863,Cálculos!$A24,'Base de Datos'!$G$2:$G$6863,2)</f>
        <v>3.0107015578527227E-2</v>
      </c>
      <c r="G24" s="8">
        <f t="shared" si="1"/>
        <v>-0.13667624448343338</v>
      </c>
      <c r="H24" s="8"/>
      <c r="I24" s="8"/>
      <c r="J24" s="8"/>
      <c r="L24" s="5">
        <f t="shared" si="0"/>
        <v>-0.12746881165585192</v>
      </c>
      <c r="M24" s="4"/>
      <c r="N24" s="4"/>
      <c r="O24" s="4"/>
    </row>
    <row r="25" spans="1:15" x14ac:dyDescent="0.2">
      <c r="A25" s="7">
        <v>38261</v>
      </c>
      <c r="B25" s="5">
        <f>AVERAGEIFS('Base de Datos'!$C$2:$C$6863,'Base de Datos'!$B$2:$B$6863,Cálculos!$A25,'Base de Datos'!$G$2:$G$6863,1)</f>
        <v>5.5130735563471409E-2</v>
      </c>
      <c r="C25" s="5">
        <f>AVERAGEIFS('Base de Datos'!$C$2:$C$6863,'Base de Datos'!$B$2:$B$6863,Cálculos!$A25,'Base de Datos'!$G$2:$G$6863,2)</f>
        <v>6.8915682153421268E-2</v>
      </c>
      <c r="D25" s="5">
        <f>AVERAGEIFS('Base de Datos'!$F$2:$F$6863,'Base de Datos'!$B$2:$B$6863,Cálculos!$A25,'Base de Datos'!$G$2:$G$6863,1)</f>
        <v>2.3427932053787778E-2</v>
      </c>
      <c r="E25" s="5">
        <f>AVERAGEIFS('Base de Datos'!$F$2:$F$6863,'Base de Datos'!$B$2:$B$6863,Cálculos!$A25,'Base de Datos'!$G$2:$G$6863,2)</f>
        <v>3.5714864030853083E-2</v>
      </c>
      <c r="G25" s="8">
        <f t="shared" si="1"/>
        <v>-1.3784946589949859E-2</v>
      </c>
      <c r="H25" s="8"/>
      <c r="I25" s="8"/>
      <c r="J25" s="8"/>
      <c r="L25" s="5">
        <f t="shared" si="0"/>
        <v>-1.4980146128845545E-3</v>
      </c>
      <c r="M25" s="4"/>
      <c r="N25" s="4"/>
      <c r="O25" s="4"/>
    </row>
    <row r="26" spans="1:15" x14ac:dyDescent="0.2">
      <c r="A26" s="7">
        <v>38292</v>
      </c>
      <c r="B26" s="5">
        <f>AVERAGEIFS('Base de Datos'!$C$2:$C$6863,'Base de Datos'!$B$2:$B$6863,Cálculos!$A26,'Base de Datos'!$G$2:$G$6863,1)</f>
        <v>1.8603085851677137E-2</v>
      </c>
      <c r="C26" s="5">
        <f>AVERAGEIFS('Base de Datos'!$C$2:$C$6863,'Base de Datos'!$B$2:$B$6863,Cálculos!$A26,'Base de Datos'!$G$2:$G$6863,2)</f>
        <v>2.5672047756551835E-2</v>
      </c>
      <c r="D26" s="5">
        <f>AVERAGEIFS('Base de Datos'!$F$2:$F$6863,'Base de Datos'!$B$2:$B$6863,Cálculos!$A26,'Base de Datos'!$G$2:$G$6863,1)</f>
        <v>2.5142621194627981E-2</v>
      </c>
      <c r="E26" s="5">
        <f>AVERAGEIFS('Base de Datos'!$F$2:$F$6863,'Base de Datos'!$B$2:$B$6863,Cálculos!$A26,'Base de Datos'!$G$2:$G$6863,2)</f>
        <v>3.6649995426300493E-2</v>
      </c>
      <c r="G26" s="8">
        <f t="shared" si="1"/>
        <v>-7.0689619048746981E-3</v>
      </c>
      <c r="H26" s="8"/>
      <c r="I26" s="8"/>
      <c r="J26" s="8"/>
      <c r="L26" s="5">
        <f t="shared" si="0"/>
        <v>4.4384123267978137E-3</v>
      </c>
      <c r="M26" s="4"/>
      <c r="N26" s="4"/>
      <c r="O26" s="4"/>
    </row>
    <row r="27" spans="1:15" x14ac:dyDescent="0.2">
      <c r="A27" s="7">
        <v>38322</v>
      </c>
      <c r="B27" s="5">
        <f>AVERAGEIFS('Base de Datos'!$C$2:$C$6863,'Base de Datos'!$B$2:$B$6863,Cálculos!$A27,'Base de Datos'!$G$2:$G$6863,1)</f>
        <v>-9.4948079230085659E-4</v>
      </c>
      <c r="C27" s="5">
        <f>AVERAGEIFS('Base de Datos'!$C$2:$C$6863,'Base de Datos'!$B$2:$B$6863,Cálculos!$A27,'Base de Datos'!$G$2:$G$6863,2)</f>
        <v>1.7485845434769186E-2</v>
      </c>
      <c r="D27" s="5">
        <f>AVERAGEIFS('Base de Datos'!$F$2:$F$6863,'Base de Datos'!$B$2:$B$6863,Cálculos!$A27,'Base de Datos'!$G$2:$G$6863,1)</f>
        <v>2.5742877813618618E-2</v>
      </c>
      <c r="E27" s="5">
        <f>AVERAGEIFS('Base de Datos'!$F$2:$F$6863,'Base de Datos'!$B$2:$B$6863,Cálculos!$A27,'Base de Datos'!$G$2:$G$6863,2)</f>
        <v>3.7187793183890927E-2</v>
      </c>
      <c r="G27" s="8">
        <f t="shared" si="1"/>
        <v>-1.8435326227070042E-2</v>
      </c>
      <c r="H27" s="8"/>
      <c r="I27" s="8"/>
      <c r="J27" s="8"/>
      <c r="L27" s="5">
        <f t="shared" si="0"/>
        <v>-6.9904108567977324E-3</v>
      </c>
      <c r="M27" s="4"/>
      <c r="N27" s="4"/>
      <c r="O27" s="4"/>
    </row>
    <row r="28" spans="1:15" x14ac:dyDescent="0.2">
      <c r="A28" s="7">
        <v>38353</v>
      </c>
      <c r="B28" s="5">
        <f>AVERAGEIFS('Base de Datos'!$C$2:$C$6863,'Base de Datos'!$B$2:$B$6863,Cálculos!$A28,'Base de Datos'!$G$2:$G$6863,1)</f>
        <v>-2.4519591537505721E-2</v>
      </c>
      <c r="C28" s="5">
        <f>AVERAGEIFS('Base de Datos'!$C$2:$C$6863,'Base de Datos'!$B$2:$B$6863,Cálculos!$A28,'Base de Datos'!$G$2:$G$6863,2)</f>
        <v>2.7491485089163839E-2</v>
      </c>
      <c r="D28" s="5">
        <f>AVERAGEIFS('Base de Datos'!$F$2:$F$6863,'Base de Datos'!$B$2:$B$6863,Cálculos!$A28,'Base de Datos'!$G$2:$G$6863,1)</f>
        <v>2.3984712574289978E-2</v>
      </c>
      <c r="E28" s="5">
        <f>AVERAGEIFS('Base de Datos'!$F$2:$F$6863,'Base de Datos'!$B$2:$B$6863,Cálculos!$A28,'Base de Datos'!$G$2:$G$6863,2)</f>
        <v>3.5819251142738803E-2</v>
      </c>
      <c r="G28" s="8">
        <f t="shared" si="1"/>
        <v>-5.201107662666956E-2</v>
      </c>
      <c r="H28" s="8"/>
      <c r="I28" s="8"/>
      <c r="J28" s="8"/>
      <c r="L28" s="5">
        <f t="shared" si="0"/>
        <v>-4.0176538058220732E-2</v>
      </c>
      <c r="M28" s="4"/>
      <c r="N28" s="4"/>
      <c r="O28" s="4"/>
    </row>
    <row r="29" spans="1:15" x14ac:dyDescent="0.2">
      <c r="A29" s="7">
        <v>38384</v>
      </c>
      <c r="B29" s="5">
        <f>AVERAGEIFS('Base de Datos'!$C$2:$C$6863,'Base de Datos'!$B$2:$B$6863,Cálculos!$A29,'Base de Datos'!$G$2:$G$6863,1)</f>
        <v>5.0428573134794277E-2</v>
      </c>
      <c r="C29" s="5">
        <f>AVERAGEIFS('Base de Datos'!$C$2:$C$6863,'Base de Datos'!$B$2:$B$6863,Cálculos!$A29,'Base de Datos'!$G$2:$G$6863,2)</f>
        <v>3.0370943317110644E-2</v>
      </c>
      <c r="D29" s="5">
        <f>AVERAGEIFS('Base de Datos'!$F$2:$F$6863,'Base de Datos'!$B$2:$B$6863,Cálculos!$A29,'Base de Datos'!$G$2:$G$6863,1)</f>
        <v>2.2224808480375301E-2</v>
      </c>
      <c r="E29" s="5">
        <f>AVERAGEIFS('Base de Datos'!$F$2:$F$6863,'Base de Datos'!$B$2:$B$6863,Cálculos!$A29,'Base de Datos'!$G$2:$G$6863,2)</f>
        <v>3.6187853015970134E-2</v>
      </c>
      <c r="G29" s="8">
        <f t="shared" si="1"/>
        <v>2.0057629817683633E-2</v>
      </c>
      <c r="H29" s="8"/>
      <c r="I29" s="8"/>
      <c r="J29" s="8"/>
      <c r="L29" s="5">
        <f t="shared" si="0"/>
        <v>3.4020674353278463E-2</v>
      </c>
      <c r="M29" s="4"/>
      <c r="N29" s="4"/>
      <c r="O29" s="4"/>
    </row>
    <row r="30" spans="1:15" x14ac:dyDescent="0.2">
      <c r="A30" s="7">
        <v>38412</v>
      </c>
      <c r="B30" s="5">
        <f>AVERAGEIFS('Base de Datos'!$C$2:$C$6863,'Base de Datos'!$B$2:$B$6863,Cálculos!$A30,'Base de Datos'!$G$2:$G$6863,1)</f>
        <v>2.6090898276797135E-2</v>
      </c>
      <c r="C30" s="5">
        <f>AVERAGEIFS('Base de Datos'!$C$2:$C$6863,'Base de Datos'!$B$2:$B$6863,Cálculos!$A30,'Base de Datos'!$G$2:$G$6863,2)</f>
        <v>2.1583914709161985E-2</v>
      </c>
      <c r="D30" s="5">
        <f>AVERAGEIFS('Base de Datos'!$F$2:$F$6863,'Base de Datos'!$B$2:$B$6863,Cálculos!$A30,'Base de Datos'!$G$2:$G$6863,1)</f>
        <v>2.1034984101433549E-2</v>
      </c>
      <c r="E30" s="5">
        <f>AVERAGEIFS('Base de Datos'!$F$2:$F$6863,'Base de Datos'!$B$2:$B$6863,Cálculos!$A30,'Base de Datos'!$G$2:$G$6863,2)</f>
        <v>3.4328344817904581E-2</v>
      </c>
      <c r="G30" s="8">
        <f t="shared" si="1"/>
        <v>4.5069835676351498E-3</v>
      </c>
      <c r="H30" s="8"/>
      <c r="I30" s="8"/>
      <c r="J30" s="8"/>
      <c r="L30" s="5">
        <f t="shared" si="0"/>
        <v>1.7800344284106182E-2</v>
      </c>
      <c r="M30" s="4"/>
      <c r="N30" s="4"/>
      <c r="O30" s="4"/>
    </row>
    <row r="31" spans="1:15" x14ac:dyDescent="0.2">
      <c r="A31" s="7">
        <v>38443</v>
      </c>
      <c r="B31" s="5">
        <f>AVERAGEIFS('Base de Datos'!$C$2:$C$6863,'Base de Datos'!$B$2:$B$6863,Cálculos!$A31,'Base de Datos'!$G$2:$G$6863,1)</f>
        <v>-6.6973257328371526E-3</v>
      </c>
      <c r="C31" s="5">
        <f>AVERAGEIFS('Base de Datos'!$C$2:$C$6863,'Base de Datos'!$B$2:$B$6863,Cálculos!$A31,'Base de Datos'!$G$2:$G$6863,2)</f>
        <v>5.8468248825147996E-3</v>
      </c>
      <c r="D31" s="5">
        <f>AVERAGEIFS('Base de Datos'!$F$2:$F$6863,'Base de Datos'!$B$2:$B$6863,Cálculos!$A31,'Base de Datos'!$G$2:$G$6863,1)</f>
        <v>1.9973284721263678E-2</v>
      </c>
      <c r="E31" s="5">
        <f>AVERAGEIFS('Base de Datos'!$F$2:$F$6863,'Base de Datos'!$B$2:$B$6863,Cálculos!$A31,'Base de Datos'!$G$2:$G$6863,2)</f>
        <v>2.8155871074342156E-2</v>
      </c>
      <c r="G31" s="8">
        <f t="shared" si="1"/>
        <v>-1.2544150615351952E-2</v>
      </c>
      <c r="H31" s="8"/>
      <c r="I31" s="8"/>
      <c r="J31" s="8"/>
      <c r="L31" s="5">
        <f t="shared" si="0"/>
        <v>-4.3615642622734721E-3</v>
      </c>
      <c r="M31" s="4"/>
      <c r="N31" s="4"/>
      <c r="O31" s="4"/>
    </row>
    <row r="32" spans="1:15" x14ac:dyDescent="0.2">
      <c r="A32" s="7">
        <v>38473</v>
      </c>
      <c r="B32" s="5">
        <f>AVERAGEIFS('Base de Datos'!$C$2:$C$6863,'Base de Datos'!$B$2:$B$6863,Cálculos!$A32,'Base de Datos'!$G$2:$G$6863,1)</f>
        <v>-4.9576750616511693E-3</v>
      </c>
      <c r="C32" s="5">
        <f>AVERAGEIFS('Base de Datos'!$C$2:$C$6863,'Base de Datos'!$B$2:$B$6863,Cálculos!$A32,'Base de Datos'!$G$2:$G$6863,2)</f>
        <v>5.1920686401468784E-3</v>
      </c>
      <c r="D32" s="5">
        <f>AVERAGEIFS('Base de Datos'!$F$2:$F$6863,'Base de Datos'!$B$2:$B$6863,Cálculos!$A32,'Base de Datos'!$G$2:$G$6863,1)</f>
        <v>1.8266240977251602E-2</v>
      </c>
      <c r="E32" s="5">
        <f>AVERAGEIFS('Base de Datos'!$F$2:$F$6863,'Base de Datos'!$B$2:$B$6863,Cálculos!$A32,'Base de Datos'!$G$2:$G$6863,2)</f>
        <v>2.5915498311968443E-2</v>
      </c>
      <c r="G32" s="8">
        <f t="shared" si="1"/>
        <v>-1.0149743701798048E-2</v>
      </c>
      <c r="H32" s="8"/>
      <c r="I32" s="8"/>
      <c r="J32" s="8"/>
      <c r="L32" s="5">
        <f t="shared" si="0"/>
        <v>-2.5004863670812054E-3</v>
      </c>
      <c r="M32" s="4"/>
      <c r="N32" s="4"/>
      <c r="O32" s="4"/>
    </row>
    <row r="33" spans="1:15" x14ac:dyDescent="0.2">
      <c r="A33" s="7">
        <v>38504</v>
      </c>
      <c r="B33" s="5">
        <f>AVERAGEIFS('Base de Datos'!$C$2:$C$6863,'Base de Datos'!$B$2:$B$6863,Cálculos!$A33,'Base de Datos'!$G$2:$G$6863,1)</f>
        <v>4.9141975821542859E-2</v>
      </c>
      <c r="C33" s="5">
        <f>AVERAGEIFS('Base de Datos'!$C$2:$C$6863,'Base de Datos'!$B$2:$B$6863,Cálculos!$A33,'Base de Datos'!$G$2:$G$6863,2)</f>
        <v>2.6449331853230614E-2</v>
      </c>
      <c r="D33" s="5">
        <f>AVERAGEIFS('Base de Datos'!$F$2:$F$6863,'Base de Datos'!$B$2:$B$6863,Cálculos!$A33,'Base de Datos'!$G$2:$G$6863,1)</f>
        <v>1.7669478132149776E-2</v>
      </c>
      <c r="E33" s="5">
        <f>AVERAGEIFS('Base de Datos'!$F$2:$F$6863,'Base de Datos'!$B$2:$B$6863,Cálculos!$A33,'Base de Datos'!$G$2:$G$6863,2)</f>
        <v>2.5901877637274345E-2</v>
      </c>
      <c r="G33" s="8">
        <f t="shared" si="1"/>
        <v>2.2692643968312245E-2</v>
      </c>
      <c r="H33" s="8"/>
      <c r="I33" s="8"/>
      <c r="J33" s="8"/>
      <c r="L33" s="5">
        <f t="shared" si="0"/>
        <v>3.0925043473436817E-2</v>
      </c>
      <c r="M33" s="4"/>
      <c r="N33" s="4"/>
      <c r="O33" s="4"/>
    </row>
    <row r="34" spans="1:15" x14ac:dyDescent="0.2">
      <c r="A34" s="7">
        <v>38534</v>
      </c>
      <c r="B34" s="5">
        <f>AVERAGEIFS('Base de Datos'!$C$2:$C$6863,'Base de Datos'!$B$2:$B$6863,Cálculos!$A34,'Base de Datos'!$G$2:$G$6863,1)</f>
        <v>0.11158958058187143</v>
      </c>
      <c r="C34" s="5">
        <f>AVERAGEIFS('Base de Datos'!$C$2:$C$6863,'Base de Datos'!$B$2:$B$6863,Cálculos!$A34,'Base de Datos'!$G$2:$G$6863,2)</f>
        <v>5.7246476701203745E-2</v>
      </c>
      <c r="D34" s="5">
        <f>AVERAGEIFS('Base de Datos'!$F$2:$F$6863,'Base de Datos'!$B$2:$B$6863,Cálculos!$A34,'Base de Datos'!$G$2:$G$6863,1)</f>
        <v>1.8959551148434204E-2</v>
      </c>
      <c r="E34" s="5">
        <f>AVERAGEIFS('Base de Datos'!$F$2:$F$6863,'Base de Datos'!$B$2:$B$6863,Cálculos!$A34,'Base de Datos'!$G$2:$G$6863,2)</f>
        <v>2.5956428345815814E-2</v>
      </c>
      <c r="G34" s="8">
        <f t="shared" si="1"/>
        <v>5.4343103880667688E-2</v>
      </c>
      <c r="H34" s="8"/>
      <c r="I34" s="8"/>
      <c r="J34" s="8"/>
      <c r="L34" s="5">
        <f t="shared" si="0"/>
        <v>6.1339981078049305E-2</v>
      </c>
      <c r="M34" s="4"/>
      <c r="N34" s="4"/>
      <c r="O34" s="4"/>
    </row>
    <row r="35" spans="1:15" x14ac:dyDescent="0.2">
      <c r="A35" s="7">
        <v>38565</v>
      </c>
      <c r="B35" s="5">
        <f>AVERAGEIFS('Base de Datos'!$C$2:$C$6863,'Base de Datos'!$B$2:$B$6863,Cálculos!$A35,'Base de Datos'!$G$2:$G$6863,1)</f>
        <v>-4.0974866958900007E-2</v>
      </c>
      <c r="C35" s="5">
        <f>AVERAGEIFS('Base de Datos'!$C$2:$C$6863,'Base de Datos'!$B$2:$B$6863,Cálculos!$A35,'Base de Datos'!$G$2:$G$6863,2)</f>
        <v>-1.0517294190818299E-2</v>
      </c>
      <c r="D35" s="5">
        <f>AVERAGEIFS('Base de Datos'!$F$2:$F$6863,'Base de Datos'!$B$2:$B$6863,Cálculos!$A35,'Base de Datos'!$G$2:$G$6863,1)</f>
        <v>1.9157202382704845E-2</v>
      </c>
      <c r="E35" s="5">
        <f>AVERAGEIFS('Base de Datos'!$F$2:$F$6863,'Base de Datos'!$B$2:$B$6863,Cálculos!$A35,'Base de Datos'!$G$2:$G$6863,2)</f>
        <v>1.9872113847694241E-2</v>
      </c>
      <c r="G35" s="8">
        <f t="shared" si="1"/>
        <v>-3.0457572768081708E-2</v>
      </c>
      <c r="H35" s="8"/>
      <c r="I35" s="8"/>
      <c r="J35" s="8"/>
      <c r="L35" s="5">
        <f t="shared" ref="L35:L66" si="2">(B35-D35)-(C35-E35)</f>
        <v>-2.9742661303092312E-2</v>
      </c>
      <c r="M35" s="4"/>
      <c r="N35" s="4"/>
      <c r="O35" s="4"/>
    </row>
    <row r="36" spans="1:15" x14ac:dyDescent="0.2">
      <c r="A36" s="7">
        <v>38596</v>
      </c>
      <c r="B36" s="5">
        <f>AVERAGEIFS('Base de Datos'!$C$2:$C$6863,'Base de Datos'!$B$2:$B$6863,Cálculos!$A36,'Base de Datos'!$G$2:$G$6863,1)</f>
        <v>2.7737707111262857E-2</v>
      </c>
      <c r="C36" s="5">
        <f>AVERAGEIFS('Base de Datos'!$C$2:$C$6863,'Base de Datos'!$B$2:$B$6863,Cálculos!$A36,'Base de Datos'!$G$2:$G$6863,2)</f>
        <v>3.794495599275958E-3</v>
      </c>
      <c r="D36" s="5">
        <f>AVERAGEIFS('Base de Datos'!$F$2:$F$6863,'Base de Datos'!$B$2:$B$6863,Cálculos!$A36,'Base de Datos'!$G$2:$G$6863,1)</f>
        <v>1.6624487843318332E-2</v>
      </c>
      <c r="E36" s="5">
        <f>AVERAGEIFS('Base de Datos'!$F$2:$F$6863,'Base de Datos'!$B$2:$B$6863,Cálculos!$A36,'Base de Datos'!$G$2:$G$6863,2)</f>
        <v>1.8948851363527097E-2</v>
      </c>
      <c r="G36" s="8">
        <f t="shared" si="1"/>
        <v>2.39432115119869E-2</v>
      </c>
      <c r="H36" s="8"/>
      <c r="I36" s="8"/>
      <c r="J36" s="8"/>
      <c r="L36" s="5">
        <f t="shared" si="2"/>
        <v>2.6267575032195664E-2</v>
      </c>
      <c r="M36" s="4"/>
      <c r="N36" s="4"/>
      <c r="O36" s="4"/>
    </row>
    <row r="37" spans="1:15" x14ac:dyDescent="0.2">
      <c r="A37" s="7">
        <v>38626</v>
      </c>
      <c r="B37" s="5">
        <f>AVERAGEIFS('Base de Datos'!$C$2:$C$6863,'Base de Datos'!$B$2:$B$6863,Cálculos!$A37,'Base de Datos'!$G$2:$G$6863,1)</f>
        <v>-5.3824282472537149E-2</v>
      </c>
      <c r="C37" s="5">
        <f>AVERAGEIFS('Base de Datos'!$C$2:$C$6863,'Base de Datos'!$B$2:$B$6863,Cálculos!$A37,'Base de Datos'!$G$2:$G$6863,2)</f>
        <v>-2.9929538326699996E-2</v>
      </c>
      <c r="D37" s="5">
        <f>AVERAGEIFS('Base de Datos'!$F$2:$F$6863,'Base de Datos'!$B$2:$B$6863,Cálculos!$A37,'Base de Datos'!$G$2:$G$6863,1)</f>
        <v>1.6576068770679648E-2</v>
      </c>
      <c r="E37" s="5">
        <f>AVERAGEIFS('Base de Datos'!$F$2:$F$6863,'Base de Datos'!$B$2:$B$6863,Cálculos!$A37,'Base de Datos'!$G$2:$G$6863,2)</f>
        <v>1.7594419853384828E-2</v>
      </c>
      <c r="G37" s="8">
        <f t="shared" si="1"/>
        <v>-2.3894744145837154E-2</v>
      </c>
      <c r="H37" s="8"/>
      <c r="I37" s="8"/>
      <c r="J37" s="8"/>
      <c r="L37" s="5">
        <f t="shared" si="2"/>
        <v>-2.2876393063131967E-2</v>
      </c>
      <c r="M37" s="4"/>
      <c r="N37" s="4"/>
      <c r="O37" s="4"/>
    </row>
    <row r="38" spans="1:15" x14ac:dyDescent="0.2">
      <c r="A38" s="7">
        <v>38657</v>
      </c>
      <c r="B38" s="5">
        <f>AVERAGEIFS('Base de Datos'!$C$2:$C$6863,'Base de Datos'!$B$2:$B$6863,Cálculos!$A38,'Base de Datos'!$G$2:$G$6863,1)</f>
        <v>-4.9912553538020002E-2</v>
      </c>
      <c r="C38" s="5">
        <f>AVERAGEIFS('Base de Datos'!$C$2:$C$6863,'Base de Datos'!$B$2:$B$6863,Cálculos!$A38,'Base de Datos'!$G$2:$G$6863,2)</f>
        <v>-2.8379700210278865E-2</v>
      </c>
      <c r="D38" s="5">
        <f>AVERAGEIFS('Base de Datos'!$F$2:$F$6863,'Base de Datos'!$B$2:$B$6863,Cálculos!$A38,'Base de Datos'!$G$2:$G$6863,1)</f>
        <v>1.5384566546852293E-2</v>
      </c>
      <c r="E38" s="5">
        <f>AVERAGEIFS('Base de Datos'!$F$2:$F$6863,'Base de Datos'!$B$2:$B$6863,Cálculos!$A38,'Base de Datos'!$G$2:$G$6863,2)</f>
        <v>1.6652669686306056E-2</v>
      </c>
      <c r="G38" s="8">
        <f t="shared" si="1"/>
        <v>-2.1532853327741137E-2</v>
      </c>
      <c r="H38" s="8"/>
      <c r="I38" s="8"/>
      <c r="J38" s="8"/>
      <c r="L38" s="5">
        <f t="shared" si="2"/>
        <v>-2.026475018828737E-2</v>
      </c>
      <c r="M38" s="4"/>
      <c r="N38" s="4"/>
      <c r="O38" s="4"/>
    </row>
    <row r="39" spans="1:15" x14ac:dyDescent="0.2">
      <c r="A39" s="7">
        <v>38687</v>
      </c>
      <c r="B39" s="5">
        <f>AVERAGEIFS('Base de Datos'!$C$2:$C$6863,'Base de Datos'!$B$2:$B$6863,Cálculos!$A39,'Base de Datos'!$G$2:$G$6863,1)</f>
        <v>-1.8872658015148574E-2</v>
      </c>
      <c r="C39" s="5">
        <f>AVERAGEIFS('Base de Datos'!$C$2:$C$6863,'Base de Datos'!$B$2:$B$6863,Cálculos!$A39,'Base de Datos'!$G$2:$G$6863,2)</f>
        <v>-3.3590794244666058E-2</v>
      </c>
      <c r="D39" s="5">
        <f>AVERAGEIFS('Base de Datos'!$F$2:$F$6863,'Base de Datos'!$B$2:$B$6863,Cálculos!$A39,'Base de Datos'!$G$2:$G$6863,1)</f>
        <v>1.4266118650337589E-2</v>
      </c>
      <c r="E39" s="5">
        <f>AVERAGEIFS('Base de Datos'!$F$2:$F$6863,'Base de Datos'!$B$2:$B$6863,Cálculos!$A39,'Base de Datos'!$G$2:$G$6863,2)</f>
        <v>1.6091829694065345E-2</v>
      </c>
      <c r="G39" s="8">
        <f t="shared" si="1"/>
        <v>1.4718136229517485E-2</v>
      </c>
      <c r="H39" s="8"/>
      <c r="I39" s="8"/>
      <c r="J39" s="8"/>
      <c r="L39" s="5">
        <f t="shared" si="2"/>
        <v>1.6543847273245246E-2</v>
      </c>
      <c r="M39" s="4"/>
      <c r="N39" s="4"/>
      <c r="O39" s="4"/>
    </row>
    <row r="40" spans="1:15" x14ac:dyDescent="0.2">
      <c r="A40" s="7">
        <v>38718</v>
      </c>
      <c r="B40" s="5">
        <f>AVERAGEIFS('Base de Datos'!$C$2:$C$6863,'Base de Datos'!$B$2:$B$6863,Cálculos!$A40,'Base de Datos'!$G$2:$G$6863,1)</f>
        <v>6.0418647851671406E-2</v>
      </c>
      <c r="C40" s="5">
        <f>AVERAGEIFS('Base de Datos'!$C$2:$C$6863,'Base de Datos'!$B$2:$B$6863,Cálculos!$A40,'Base de Datos'!$G$2:$G$6863,2)</f>
        <v>2.7838413113698075E-2</v>
      </c>
      <c r="D40" s="5">
        <f>AVERAGEIFS('Base de Datos'!$F$2:$F$6863,'Base de Datos'!$B$2:$B$6863,Cálculos!$A40,'Base de Datos'!$G$2:$G$6863,1)</f>
        <v>1.2428911387803438E-2</v>
      </c>
      <c r="E40" s="5">
        <f>AVERAGEIFS('Base de Datos'!$F$2:$F$6863,'Base de Datos'!$B$2:$B$6863,Cálculos!$A40,'Base de Datos'!$G$2:$G$6863,2)</f>
        <v>1.4367487313852484E-2</v>
      </c>
      <c r="G40" s="8">
        <f t="shared" si="1"/>
        <v>3.2580234737973335E-2</v>
      </c>
      <c r="H40" s="8"/>
      <c r="I40" s="8"/>
      <c r="J40" s="8"/>
      <c r="L40" s="5">
        <f t="shared" si="2"/>
        <v>3.4518810664022376E-2</v>
      </c>
      <c r="M40" s="4"/>
      <c r="N40" s="4"/>
      <c r="O40" s="4"/>
    </row>
    <row r="41" spans="1:15" x14ac:dyDescent="0.2">
      <c r="A41" s="7">
        <v>38749</v>
      </c>
      <c r="B41" s="5">
        <f>AVERAGEIFS('Base de Datos'!$C$2:$C$6863,'Base de Datos'!$B$2:$B$6863,Cálculos!$A41,'Base de Datos'!$G$2:$G$6863,1)</f>
        <v>1.9224064859148571E-2</v>
      </c>
      <c r="C41" s="5">
        <f>AVERAGEIFS('Base de Datos'!$C$2:$C$6863,'Base de Datos'!$B$2:$B$6863,Cálculos!$A41,'Base de Datos'!$G$2:$G$6863,2)</f>
        <v>1.3915891281940811E-2</v>
      </c>
      <c r="D41" s="5">
        <f>AVERAGEIFS('Base de Datos'!$F$2:$F$6863,'Base de Datos'!$B$2:$B$6863,Cálculos!$A41,'Base de Datos'!$G$2:$G$6863,1)</f>
        <v>1.0775869486801284E-2</v>
      </c>
      <c r="E41" s="5">
        <f>AVERAGEIFS('Base de Datos'!$F$2:$F$6863,'Base de Datos'!$B$2:$B$6863,Cálculos!$A41,'Base de Datos'!$G$2:$G$6863,2)</f>
        <v>1.2967492809609613E-2</v>
      </c>
      <c r="G41" s="8">
        <f t="shared" si="1"/>
        <v>5.3081735772077601E-3</v>
      </c>
      <c r="H41" s="8"/>
      <c r="I41" s="8"/>
      <c r="J41" s="8"/>
      <c r="L41" s="5">
        <f t="shared" si="2"/>
        <v>7.499796900016089E-3</v>
      </c>
      <c r="M41" s="4"/>
      <c r="N41" s="4"/>
      <c r="O41" s="4"/>
    </row>
    <row r="42" spans="1:15" x14ac:dyDescent="0.2">
      <c r="A42" s="7">
        <v>38777</v>
      </c>
      <c r="B42" s="5">
        <f>AVERAGEIFS('Base de Datos'!$C$2:$C$6863,'Base de Datos'!$B$2:$B$6863,Cálculos!$A42,'Base de Datos'!$G$2:$G$6863,1)</f>
        <v>1.4289705172437141E-2</v>
      </c>
      <c r="C42" s="5">
        <f>AVERAGEIFS('Base de Datos'!$C$2:$C$6863,'Base de Datos'!$B$2:$B$6863,Cálculos!$A42,'Base de Datos'!$G$2:$G$6863,2)</f>
        <v>1.1962079927857694E-2</v>
      </c>
      <c r="D42" s="5">
        <f>AVERAGEIFS('Base de Datos'!$F$2:$F$6863,'Base de Datos'!$B$2:$B$6863,Cálculos!$A42,'Base de Datos'!$G$2:$G$6863,1)</f>
        <v>1.2520628483844123E-2</v>
      </c>
      <c r="E42" s="5">
        <f>AVERAGEIFS('Base de Datos'!$F$2:$F$6863,'Base de Datos'!$B$2:$B$6863,Cálculos!$A42,'Base de Datos'!$G$2:$G$6863,2)</f>
        <v>1.3946446952666289E-2</v>
      </c>
      <c r="G42" s="8">
        <f t="shared" si="1"/>
        <v>2.3276252445794468E-3</v>
      </c>
      <c r="H42" s="8"/>
      <c r="I42" s="8"/>
      <c r="J42" s="8"/>
      <c r="L42" s="5">
        <f t="shared" si="2"/>
        <v>3.7534437134016125E-3</v>
      </c>
      <c r="M42" s="4"/>
      <c r="N42" s="4"/>
      <c r="O42" s="4"/>
    </row>
    <row r="43" spans="1:15" x14ac:dyDescent="0.2">
      <c r="A43" s="7">
        <v>38808</v>
      </c>
      <c r="B43" s="5">
        <f>AVERAGEIFS('Base de Datos'!$C$2:$C$6863,'Base de Datos'!$B$2:$B$6863,Cálculos!$A43,'Base de Datos'!$G$2:$G$6863,1)</f>
        <v>3.087345305650856E-2</v>
      </c>
      <c r="C43" s="5">
        <f>AVERAGEIFS('Base de Datos'!$C$2:$C$6863,'Base de Datos'!$B$2:$B$6863,Cálculos!$A43,'Base de Datos'!$G$2:$G$6863,2)</f>
        <v>2.6211857100240748E-2</v>
      </c>
      <c r="D43" s="5">
        <f>AVERAGEIFS('Base de Datos'!$F$2:$F$6863,'Base de Datos'!$B$2:$B$6863,Cálculos!$A43,'Base de Datos'!$G$2:$G$6863,1)</f>
        <v>1.2200323752764485E-2</v>
      </c>
      <c r="E43" s="5">
        <f>AVERAGEIFS('Base de Datos'!$F$2:$F$6863,'Base de Datos'!$B$2:$B$6863,Cálculos!$A43,'Base de Datos'!$G$2:$G$6863,2)</f>
        <v>1.3703845080586998E-2</v>
      </c>
      <c r="G43" s="8">
        <f t="shared" si="1"/>
        <v>4.6615959562678125E-3</v>
      </c>
      <c r="H43" s="8"/>
      <c r="I43" s="8"/>
      <c r="J43" s="8"/>
      <c r="L43" s="5">
        <f t="shared" si="2"/>
        <v>6.1651172840903254E-3</v>
      </c>
      <c r="M43" s="4"/>
      <c r="N43" s="4"/>
      <c r="O43" s="4"/>
    </row>
    <row r="44" spans="1:15" x14ac:dyDescent="0.2">
      <c r="A44" s="7">
        <v>38838</v>
      </c>
      <c r="B44" s="5">
        <f>AVERAGEIFS('Base de Datos'!$C$2:$C$6863,'Base de Datos'!$B$2:$B$6863,Cálculos!$A44,'Base de Datos'!$G$2:$G$6863,1)</f>
        <v>-2.3348895812825711E-2</v>
      </c>
      <c r="C44" s="5">
        <f>AVERAGEIFS('Base de Datos'!$C$2:$C$6863,'Base de Datos'!$B$2:$B$6863,Cálculos!$A44,'Base de Datos'!$G$2:$G$6863,2)</f>
        <v>-4.0767512528682836E-3</v>
      </c>
      <c r="D44" s="5">
        <f>AVERAGEIFS('Base de Datos'!$F$2:$F$6863,'Base de Datos'!$B$2:$B$6863,Cálculos!$A44,'Base de Datos'!$G$2:$G$6863,1)</f>
        <v>1.4632406386653075E-2</v>
      </c>
      <c r="E44" s="5">
        <f>AVERAGEIFS('Base de Datos'!$F$2:$F$6863,'Base de Datos'!$B$2:$B$6863,Cálculos!$A44,'Base de Datos'!$G$2:$G$6863,2)</f>
        <v>1.4950510120855773E-2</v>
      </c>
      <c r="G44" s="8">
        <f t="shared" si="1"/>
        <v>-1.9272144559957426E-2</v>
      </c>
      <c r="H44" s="8"/>
      <c r="I44" s="8"/>
      <c r="J44" s="8"/>
      <c r="L44" s="5">
        <f t="shared" si="2"/>
        <v>-1.8954040825754734E-2</v>
      </c>
      <c r="M44" s="4"/>
      <c r="N44" s="4"/>
      <c r="O44" s="4"/>
    </row>
    <row r="45" spans="1:15" x14ac:dyDescent="0.2">
      <c r="A45" s="7">
        <v>38869</v>
      </c>
      <c r="B45" s="5">
        <f>AVERAGEIFS('Base de Datos'!$C$2:$C$6863,'Base de Datos'!$B$2:$B$6863,Cálculos!$A45,'Base de Datos'!$G$2:$G$6863,1)</f>
        <v>-7.3273769314285723E-3</v>
      </c>
      <c r="C45" s="5">
        <f>AVERAGEIFS('Base de Datos'!$C$2:$C$6863,'Base de Datos'!$B$2:$B$6863,Cálculos!$A45,'Base de Datos'!$G$2:$G$6863,2)</f>
        <v>-9.9540839945488242E-3</v>
      </c>
      <c r="D45" s="5">
        <f>AVERAGEIFS('Base de Datos'!$F$2:$F$6863,'Base de Datos'!$B$2:$B$6863,Cálculos!$A45,'Base de Datos'!$G$2:$G$6863,1)</f>
        <v>1.5350530794482793E-2</v>
      </c>
      <c r="E45" s="5">
        <f>AVERAGEIFS('Base de Datos'!$F$2:$F$6863,'Base de Datos'!$B$2:$B$6863,Cálculos!$A45,'Base de Datos'!$G$2:$G$6863,2)</f>
        <v>1.5751391467856098E-2</v>
      </c>
      <c r="G45" s="8">
        <f t="shared" si="1"/>
        <v>2.6267070631202519E-3</v>
      </c>
      <c r="H45" s="8"/>
      <c r="I45" s="8"/>
      <c r="J45" s="8"/>
      <c r="L45" s="5">
        <f t="shared" si="2"/>
        <v>3.0275677364935555E-3</v>
      </c>
      <c r="M45" s="4"/>
      <c r="N45" s="4"/>
      <c r="O45" s="4"/>
    </row>
    <row r="46" spans="1:15" x14ac:dyDescent="0.2">
      <c r="A46" s="7">
        <v>38899</v>
      </c>
      <c r="B46" s="5">
        <f>AVERAGEIFS('Base de Datos'!$C$2:$C$6863,'Base de Datos'!$B$2:$B$6863,Cálculos!$A46,'Base de Datos'!$G$2:$G$6863,1)</f>
        <v>-6.3079014638874296E-3</v>
      </c>
      <c r="C46" s="5">
        <f>AVERAGEIFS('Base de Datos'!$C$2:$C$6863,'Base de Datos'!$B$2:$B$6863,Cálculos!$A46,'Base de Datos'!$G$2:$G$6863,2)</f>
        <v>-7.2562849924929411E-3</v>
      </c>
      <c r="D46" s="5">
        <f>AVERAGEIFS('Base de Datos'!$F$2:$F$6863,'Base de Datos'!$B$2:$B$6863,Cálculos!$A46,'Base de Datos'!$G$2:$G$6863,1)</f>
        <v>1.5661070884483107E-2</v>
      </c>
      <c r="E46" s="5">
        <f>AVERAGEIFS('Base de Datos'!$F$2:$F$6863,'Base de Datos'!$B$2:$B$6863,Cálculos!$A46,'Base de Datos'!$G$2:$G$6863,2)</f>
        <v>1.6213114871465425E-2</v>
      </c>
      <c r="G46" s="8">
        <f t="shared" si="1"/>
        <v>9.4838352860551148E-4</v>
      </c>
      <c r="H46" s="8"/>
      <c r="I46" s="8"/>
      <c r="J46" s="8"/>
      <c r="L46" s="5">
        <f t="shared" si="2"/>
        <v>1.500427515587828E-3</v>
      </c>
      <c r="M46" s="4"/>
      <c r="N46" s="4"/>
      <c r="O46" s="4"/>
    </row>
    <row r="47" spans="1:15" x14ac:dyDescent="0.2">
      <c r="A47" s="7">
        <v>38930</v>
      </c>
      <c r="B47" s="5">
        <f>AVERAGEIFS('Base de Datos'!$C$2:$C$6863,'Base de Datos'!$B$2:$B$6863,Cálculos!$A47,'Base de Datos'!$G$2:$G$6863,1)</f>
        <v>3.8073852187211432E-2</v>
      </c>
      <c r="C47" s="5">
        <f>AVERAGEIFS('Base de Datos'!$C$2:$C$6863,'Base de Datos'!$B$2:$B$6863,Cálculos!$A47,'Base de Datos'!$G$2:$G$6863,2)</f>
        <v>3.1809688646883938E-2</v>
      </c>
      <c r="D47" s="5">
        <f>AVERAGEIFS('Base de Datos'!$F$2:$F$6863,'Base de Datos'!$B$2:$B$6863,Cálculos!$A47,'Base de Datos'!$G$2:$G$6863,1)</f>
        <v>1.4623015841773793E-2</v>
      </c>
      <c r="E47" s="5">
        <f>AVERAGEIFS('Base de Datos'!$F$2:$F$6863,'Base de Datos'!$B$2:$B$6863,Cálculos!$A47,'Base de Datos'!$G$2:$G$6863,2)</f>
        <v>1.8498253517314212E-2</v>
      </c>
      <c r="G47" s="8">
        <f t="shared" si="1"/>
        <v>6.2641635403274942E-3</v>
      </c>
      <c r="H47" s="8"/>
      <c r="I47" s="8"/>
      <c r="J47" s="8"/>
      <c r="L47" s="5">
        <f t="shared" si="2"/>
        <v>1.0139401215867913E-2</v>
      </c>
      <c r="M47" s="4"/>
      <c r="N47" s="4"/>
      <c r="O47" s="4"/>
    </row>
    <row r="48" spans="1:15" x14ac:dyDescent="0.2">
      <c r="A48" s="7">
        <v>38961</v>
      </c>
      <c r="B48" s="5">
        <f>AVERAGEIFS('Base de Datos'!$C$2:$C$6863,'Base de Datos'!$B$2:$B$6863,Cálculos!$A48,'Base de Datos'!$G$2:$G$6863,1)</f>
        <v>3.4310193896501424E-2</v>
      </c>
      <c r="C48" s="5">
        <f>AVERAGEIFS('Base de Datos'!$C$2:$C$6863,'Base de Datos'!$B$2:$B$6863,Cálculos!$A48,'Base de Datos'!$G$2:$G$6863,2)</f>
        <v>1.4394863222854446E-2</v>
      </c>
      <c r="D48" s="5">
        <f>AVERAGEIFS('Base de Datos'!$F$2:$F$6863,'Base de Datos'!$B$2:$B$6863,Cálculos!$A48,'Base de Datos'!$G$2:$G$6863,1)</f>
        <v>1.5098200774102358E-2</v>
      </c>
      <c r="E48" s="5">
        <f>AVERAGEIFS('Base de Datos'!$F$2:$F$6863,'Base de Datos'!$B$2:$B$6863,Cálculos!$A48,'Base de Datos'!$G$2:$G$6863,2)</f>
        <v>1.8861589945399972E-2</v>
      </c>
      <c r="G48" s="8">
        <f t="shared" si="1"/>
        <v>1.991533067364698E-2</v>
      </c>
      <c r="H48" s="8"/>
      <c r="I48" s="8"/>
      <c r="J48" s="8"/>
      <c r="L48" s="5">
        <f t="shared" si="2"/>
        <v>2.3678719844944594E-2</v>
      </c>
      <c r="M48" s="4"/>
      <c r="N48" s="4"/>
      <c r="O48" s="4"/>
    </row>
    <row r="49" spans="1:15" x14ac:dyDescent="0.2">
      <c r="A49" s="7">
        <v>38991</v>
      </c>
      <c r="B49" s="5">
        <f>AVERAGEIFS('Base de Datos'!$C$2:$C$6863,'Base de Datos'!$B$2:$B$6863,Cálculos!$A49,'Base de Datos'!$G$2:$G$6863,1)</f>
        <v>3.097329091648857E-2</v>
      </c>
      <c r="C49" s="5">
        <f>AVERAGEIFS('Base de Datos'!$C$2:$C$6863,'Base de Datos'!$B$2:$B$6863,Cálculos!$A49,'Base de Datos'!$G$2:$G$6863,2)</f>
        <v>3.4465519941051993E-2</v>
      </c>
      <c r="D49" s="5">
        <f>AVERAGEIFS('Base de Datos'!$F$2:$F$6863,'Base de Datos'!$B$2:$B$6863,Cálculos!$A49,'Base de Datos'!$G$2:$G$6863,1)</f>
        <v>1.5602990109861482E-2</v>
      </c>
      <c r="E49" s="5">
        <f>AVERAGEIFS('Base de Datos'!$F$2:$F$6863,'Base de Datos'!$B$2:$B$6863,Cálculos!$A49,'Base de Datos'!$G$2:$G$6863,2)</f>
        <v>1.892067348007748E-2</v>
      </c>
      <c r="G49" s="8">
        <f t="shared" si="1"/>
        <v>-3.4922290245634237E-3</v>
      </c>
      <c r="H49" s="8"/>
      <c r="I49" s="8"/>
      <c r="J49" s="8"/>
      <c r="L49" s="5">
        <f t="shared" si="2"/>
        <v>-1.7454565434742511E-4</v>
      </c>
      <c r="M49" s="4"/>
      <c r="N49" s="4"/>
      <c r="O49" s="4"/>
    </row>
    <row r="50" spans="1:15" x14ac:dyDescent="0.2">
      <c r="A50" s="7">
        <v>39022</v>
      </c>
      <c r="B50" s="5">
        <f>AVERAGEIFS('Base de Datos'!$C$2:$C$6863,'Base de Datos'!$B$2:$B$6863,Cálculos!$A50,'Base de Datos'!$G$2:$G$6863,1)</f>
        <v>6.9157558188477131E-2</v>
      </c>
      <c r="C50" s="5">
        <f>AVERAGEIFS('Base de Datos'!$C$2:$C$6863,'Base de Datos'!$B$2:$B$6863,Cálculos!$A50,'Base de Datos'!$G$2:$G$6863,2)</f>
        <v>4.2915510595490002E-2</v>
      </c>
      <c r="D50" s="5">
        <f>AVERAGEIFS('Base de Datos'!$F$2:$F$6863,'Base de Datos'!$B$2:$B$6863,Cálculos!$A50,'Base de Datos'!$G$2:$G$6863,1)</f>
        <v>1.5505604658183042E-2</v>
      </c>
      <c r="E50" s="5">
        <f>AVERAGEIFS('Base de Datos'!$F$2:$F$6863,'Base de Datos'!$B$2:$B$6863,Cálculos!$A50,'Base de Datos'!$G$2:$G$6863,2)</f>
        <v>1.8871159934673525E-2</v>
      </c>
      <c r="G50" s="8">
        <f t="shared" si="1"/>
        <v>2.6242047592987129E-2</v>
      </c>
      <c r="H50" s="8"/>
      <c r="I50" s="8"/>
      <c r="J50" s="8"/>
      <c r="L50" s="5">
        <f t="shared" si="2"/>
        <v>2.9607602869477612E-2</v>
      </c>
      <c r="M50" s="4"/>
      <c r="N50" s="4"/>
      <c r="O50" s="4"/>
    </row>
    <row r="51" spans="1:15" x14ac:dyDescent="0.2">
      <c r="A51" s="7">
        <v>39052</v>
      </c>
      <c r="B51" s="5">
        <f>AVERAGEIFS('Base de Datos'!$C$2:$C$6863,'Base de Datos'!$B$2:$B$6863,Cálculos!$A51,'Base de Datos'!$G$2:$G$6863,1)</f>
        <v>3.2488111623318862E-2</v>
      </c>
      <c r="C51" s="5">
        <f>AVERAGEIFS('Base de Datos'!$C$2:$C$6863,'Base de Datos'!$B$2:$B$6863,Cálculos!$A51,'Base de Datos'!$G$2:$G$6863,2)</f>
        <v>3.6648286839311095E-2</v>
      </c>
      <c r="D51" s="5">
        <f>AVERAGEIFS('Base de Datos'!$F$2:$F$6863,'Base de Datos'!$B$2:$B$6863,Cálculos!$A51,'Base de Datos'!$G$2:$G$6863,1)</f>
        <v>1.8026018866394562E-2</v>
      </c>
      <c r="E51" s="5">
        <f>AVERAGEIFS('Base de Datos'!$F$2:$F$6863,'Base de Datos'!$B$2:$B$6863,Cálculos!$A51,'Base de Datos'!$G$2:$G$6863,2)</f>
        <v>2.0315909953074477E-2</v>
      </c>
      <c r="G51" s="8">
        <f t="shared" si="1"/>
        <v>-4.1601752159922331E-3</v>
      </c>
      <c r="H51" s="8"/>
      <c r="I51" s="8"/>
      <c r="J51" s="8"/>
      <c r="L51" s="5">
        <f t="shared" si="2"/>
        <v>-1.8702841293123176E-3</v>
      </c>
      <c r="M51" s="4"/>
      <c r="N51" s="4"/>
      <c r="O51" s="4"/>
    </row>
    <row r="52" spans="1:15" x14ac:dyDescent="0.2">
      <c r="A52" s="7">
        <v>39083</v>
      </c>
      <c r="B52" s="5">
        <f>AVERAGEIFS('Base de Datos'!$C$2:$C$6863,'Base de Datos'!$B$2:$B$6863,Cálculos!$A52,'Base de Datos'!$G$2:$G$6863,1)</f>
        <v>8.6316777608511114E-2</v>
      </c>
      <c r="C52" s="5">
        <f>AVERAGEIFS('Base de Datos'!$C$2:$C$6863,'Base de Datos'!$B$2:$B$6863,Cálculos!$A52,'Base de Datos'!$G$2:$G$6863,2)</f>
        <v>7.5980301647576978E-2</v>
      </c>
      <c r="D52" s="5">
        <f>AVERAGEIFS('Base de Datos'!$F$2:$F$6863,'Base de Datos'!$B$2:$B$6863,Cálculos!$A52,'Base de Datos'!$G$2:$G$6863,1)</f>
        <v>1.9074036708913396E-2</v>
      </c>
      <c r="E52" s="5">
        <f>AVERAGEIFS('Base de Datos'!$F$2:$F$6863,'Base de Datos'!$B$2:$B$6863,Cálculos!$A52,'Base de Datos'!$G$2:$G$6863,2)</f>
        <v>2.1713319177191267E-2</v>
      </c>
      <c r="G52" s="8">
        <f t="shared" si="1"/>
        <v>1.0336475960934136E-2</v>
      </c>
      <c r="H52" s="8"/>
      <c r="I52" s="8"/>
      <c r="J52" s="8"/>
      <c r="L52" s="5">
        <f t="shared" si="2"/>
        <v>1.2975758429212017E-2</v>
      </c>
      <c r="M52" s="4"/>
      <c r="N52" s="4"/>
      <c r="O52" s="4"/>
    </row>
    <row r="53" spans="1:15" x14ac:dyDescent="0.2">
      <c r="A53" s="7">
        <v>39114</v>
      </c>
      <c r="B53" s="5">
        <f>AVERAGEIFS('Base de Datos'!$C$2:$C$6863,'Base de Datos'!$B$2:$B$6863,Cálculos!$A53,'Base de Datos'!$G$2:$G$6863,1)</f>
        <v>-1.7467276259116666E-2</v>
      </c>
      <c r="C53" s="5">
        <f>AVERAGEIFS('Base de Datos'!$C$2:$C$6863,'Base de Datos'!$B$2:$B$6863,Cálculos!$A53,'Base de Datos'!$G$2:$G$6863,2)</f>
        <v>9.4467653562560067E-3</v>
      </c>
      <c r="D53" s="5">
        <f>AVERAGEIFS('Base de Datos'!$F$2:$F$6863,'Base de Datos'!$B$2:$B$6863,Cálculos!$A53,'Base de Datos'!$G$2:$G$6863,1)</f>
        <v>2.1444241990578115E-2</v>
      </c>
      <c r="E53" s="5">
        <f>AVERAGEIFS('Base de Datos'!$F$2:$F$6863,'Base de Datos'!$B$2:$B$6863,Cálculos!$A53,'Base de Datos'!$G$2:$G$6863,2)</f>
        <v>2.3608156483960929E-2</v>
      </c>
      <c r="G53" s="8">
        <f t="shared" si="1"/>
        <v>-2.6914041615372673E-2</v>
      </c>
      <c r="H53" s="8"/>
      <c r="I53" s="8"/>
      <c r="J53" s="8"/>
      <c r="L53" s="5">
        <f t="shared" si="2"/>
        <v>-2.4750127121989863E-2</v>
      </c>
      <c r="M53" s="4"/>
      <c r="N53" s="4"/>
      <c r="O53" s="4"/>
    </row>
    <row r="54" spans="1:15" x14ac:dyDescent="0.2">
      <c r="A54" s="7">
        <v>39142</v>
      </c>
      <c r="B54" s="5">
        <f>AVERAGEIFS('Base de Datos'!$C$2:$C$6863,'Base de Datos'!$B$2:$B$6863,Cálculos!$A54,'Base de Datos'!$G$2:$G$6863,1)</f>
        <v>3.5260939733674987E-2</v>
      </c>
      <c r="C54" s="5">
        <f>AVERAGEIFS('Base de Datos'!$C$2:$C$6863,'Base de Datos'!$B$2:$B$6863,Cálculos!$A54,'Base de Datos'!$G$2:$G$6863,2)</f>
        <v>3.4182550940403768E-2</v>
      </c>
      <c r="D54" s="5">
        <f>AVERAGEIFS('Base de Datos'!$F$2:$F$6863,'Base de Datos'!$B$2:$B$6863,Cálculos!$A54,'Base de Datos'!$G$2:$G$6863,1)</f>
        <v>1.9914756239259961E-2</v>
      </c>
      <c r="E54" s="5">
        <f>AVERAGEIFS('Base de Datos'!$F$2:$F$6863,'Base de Datos'!$B$2:$B$6863,Cálculos!$A54,'Base de Datos'!$G$2:$G$6863,2)</f>
        <v>2.3116217871828305E-2</v>
      </c>
      <c r="G54" s="8">
        <f t="shared" si="1"/>
        <v>1.0783887932712191E-3</v>
      </c>
      <c r="H54" s="8"/>
      <c r="I54" s="8"/>
      <c r="J54" s="8"/>
      <c r="L54" s="5">
        <f t="shared" si="2"/>
        <v>4.2798504258395632E-3</v>
      </c>
      <c r="M54" s="4"/>
      <c r="N54" s="4"/>
      <c r="O54" s="4"/>
    </row>
    <row r="55" spans="1:15" x14ac:dyDescent="0.2">
      <c r="A55" s="7">
        <v>39173</v>
      </c>
      <c r="B55" s="5">
        <f>AVERAGEIFS('Base de Datos'!$C$2:$C$6863,'Base de Datos'!$B$2:$B$6863,Cálculos!$A55,'Base de Datos'!$G$2:$G$6863,1)</f>
        <v>7.457973316599445E-2</v>
      </c>
      <c r="C55" s="5">
        <f>AVERAGEIFS('Base de Datos'!$C$2:$C$6863,'Base de Datos'!$B$2:$B$6863,Cálculos!$A55,'Base de Datos'!$G$2:$G$6863,2)</f>
        <v>5.5668117470926953E-2</v>
      </c>
      <c r="D55" s="5">
        <f>AVERAGEIFS('Base de Datos'!$F$2:$F$6863,'Base de Datos'!$B$2:$B$6863,Cálculos!$A55,'Base de Datos'!$G$2:$G$6863,1)</f>
        <v>1.9795132748850197E-2</v>
      </c>
      <c r="E55" s="5">
        <f>AVERAGEIFS('Base de Datos'!$F$2:$F$6863,'Base de Datos'!$B$2:$B$6863,Cálculos!$A55,'Base de Datos'!$G$2:$G$6863,2)</f>
        <v>2.3297258503208171E-2</v>
      </c>
      <c r="G55" s="8">
        <f t="shared" si="1"/>
        <v>1.8911615695067496E-2</v>
      </c>
      <c r="H55" s="8"/>
      <c r="I55" s="8"/>
      <c r="J55" s="8"/>
      <c r="L55" s="5">
        <f t="shared" si="2"/>
        <v>2.241374144942547E-2</v>
      </c>
      <c r="M55" s="4"/>
      <c r="N55" s="4"/>
      <c r="O55" s="4"/>
    </row>
    <row r="56" spans="1:15" x14ac:dyDescent="0.2">
      <c r="A56" s="9">
        <v>39203</v>
      </c>
      <c r="B56" s="6">
        <f>AVERAGEIFS('Base de Datos'!$C$2:$C$6863,'Base de Datos'!$B$2:$B$6863,Cálculos!$A56,'Base de Datos'!$G$2:$G$6863,1)</f>
        <v>3.3015535062391389E-2</v>
      </c>
      <c r="C56" s="6">
        <f>AVERAGEIFS('Base de Datos'!$C$2:$C$6863,'Base de Datos'!$B$2:$B$6863,Cálculos!$A56,'Base de Datos'!$G$2:$G$6863,2)</f>
        <v>3.8214927588470907E-2</v>
      </c>
      <c r="D56" s="6">
        <f>AVERAGEIFS('Base de Datos'!$F$2:$F$6863,'Base de Datos'!$B$2:$B$6863,Cálculos!$A56,'Base de Datos'!$G$2:$G$6863,1)</f>
        <v>2.0778827491300278E-2</v>
      </c>
      <c r="E56" s="6">
        <f>AVERAGEIFS('Base de Datos'!$F$2:$F$6863,'Base de Datos'!$B$2:$B$6863,Cálculos!$A56,'Base de Datos'!$G$2:$G$6863,2)</f>
        <v>2.3675252123375193E-2</v>
      </c>
      <c r="F56" s="10"/>
      <c r="G56" s="11">
        <f t="shared" si="1"/>
        <v>-5.1993925260795174E-3</v>
      </c>
      <c r="H56" s="11">
        <f>+G56</f>
        <v>-5.1993925260795174E-3</v>
      </c>
      <c r="I56" s="8">
        <f>H56-(1.96*(_xlfn.STDEV.S($H$56:$H$75)/SQRT(COUNT($H$56:$H$75))))</f>
        <v>-1.932756743881445E-2</v>
      </c>
      <c r="J56" s="8">
        <f>H56+(1.96*(_xlfn.STDEV.S($H$56:$H$75)/SQRT(COUNT($H$56:$H$75))))</f>
        <v>8.9287823866554157E-3</v>
      </c>
      <c r="L56" s="6">
        <f t="shared" si="2"/>
        <v>-2.3029678940046025E-3</v>
      </c>
      <c r="M56" s="11">
        <f>+L56</f>
        <v>-2.3029678940046025E-3</v>
      </c>
      <c r="N56" s="8">
        <f>M56-(1.96*(_xlfn.STDEV.S($M$56:$M$75)/SQRT(COUNT(M$56:M$75))))</f>
        <v>-2.1425336566157215E-2</v>
      </c>
      <c r="O56" s="8">
        <f>M56+(1.96*(_xlfn.STDEV.S($M$56:$M$75)/SQRT(COUNT($M$56:$M$75))))</f>
        <v>1.681940077814801E-2</v>
      </c>
    </row>
    <row r="57" spans="1:15" x14ac:dyDescent="0.2">
      <c r="A57" s="7">
        <v>39234</v>
      </c>
      <c r="B57" s="5">
        <f>AVERAGEIFS('Base de Datos'!$C$2:$C$6863,'Base de Datos'!$B$2:$B$6863,Cálculos!$A57,'Base de Datos'!$G$2:$G$6863,1)</f>
        <v>8.2242102878374981E-2</v>
      </c>
      <c r="C57" s="5">
        <f>AVERAGEIFS('Base de Datos'!$C$2:$C$6863,'Base de Datos'!$B$2:$B$6863,Cálculos!$A57,'Base de Datos'!$G$2:$G$6863,2)</f>
        <v>6.148824390270894E-2</v>
      </c>
      <c r="D57" s="5">
        <f>AVERAGEIFS('Base de Datos'!$F$2:$F$6863,'Base de Datos'!$B$2:$B$6863,Cálculos!$A57,'Base de Datos'!$G$2:$G$6863,1)</f>
        <v>1.9616440607766905E-2</v>
      </c>
      <c r="E57" s="5">
        <f>AVERAGEIFS('Base de Datos'!$F$2:$F$6863,'Base de Datos'!$B$2:$B$6863,Cálculos!$A57,'Base de Datos'!$G$2:$G$6863,2)</f>
        <v>2.4504111498260681E-2</v>
      </c>
      <c r="G57" s="8">
        <f t="shared" si="1"/>
        <v>2.0753858975666041E-2</v>
      </c>
      <c r="H57" s="8">
        <f t="shared" ref="H57:H75" si="3">+H56+G57</f>
        <v>1.5554466449586524E-2</v>
      </c>
      <c r="I57" s="8">
        <f t="shared" ref="I57:I75" si="4">H57-(1.96*(_xlfn.STDEV.S($H$56:$H$75)/SQRT(COUNT($H$56:$H$75))))</f>
        <v>1.4262915368515906E-3</v>
      </c>
      <c r="J57" s="8">
        <f t="shared" ref="J57:J75" si="5">H57+(1.96*(_xlfn.STDEV.S($H$56:$H$75)/SQRT(COUNT($H$56:$H$75))))</f>
        <v>2.9682641362321457E-2</v>
      </c>
      <c r="L57" s="5">
        <f t="shared" si="2"/>
        <v>2.5641529866159821E-2</v>
      </c>
      <c r="M57" s="8">
        <f t="shared" ref="M57:M75" si="6">+M56+L57</f>
        <v>2.3338561972155218E-2</v>
      </c>
      <c r="N57" s="8">
        <f t="shared" ref="N57:N75" si="7">M57-(1.96*(_xlfn.STDEV.S($M$56:$M$75)/SQRT(COUNT(M$56:M$75))))</f>
        <v>4.2161933000026061E-3</v>
      </c>
      <c r="O57" s="8">
        <f t="shared" ref="O57:O75" si="8">M57+(1.96*(_xlfn.STDEV.S($M$56:$M$75)/SQRT(COUNT($M$56:$M$75))))</f>
        <v>4.246093064430783E-2</v>
      </c>
    </row>
    <row r="58" spans="1:15" x14ac:dyDescent="0.2">
      <c r="A58" s="7">
        <v>39264</v>
      </c>
      <c r="B58" s="5">
        <f>AVERAGEIFS('Base de Datos'!$C$2:$C$6863,'Base de Datos'!$B$2:$B$6863,Cálculos!$A58,'Base de Datos'!$G$2:$G$6863,1)</f>
        <v>-2.2047085813027775E-2</v>
      </c>
      <c r="C58" s="5">
        <f>AVERAGEIFS('Base de Datos'!$C$2:$C$6863,'Base de Datos'!$B$2:$B$6863,Cálculos!$A58,'Base de Datos'!$G$2:$G$6863,2)</f>
        <v>3.6113615864662501E-3</v>
      </c>
      <c r="D58" s="5">
        <f>AVERAGEIFS('Base de Datos'!$F$2:$F$6863,'Base de Datos'!$B$2:$B$6863,Cálculos!$A58,'Base de Datos'!$G$2:$G$6863,1)</f>
        <v>2.0906186548910612E-2</v>
      </c>
      <c r="E58" s="5">
        <f>AVERAGEIFS('Base de Datos'!$F$2:$F$6863,'Base de Datos'!$B$2:$B$6863,Cálculos!$A58,'Base de Datos'!$G$2:$G$6863,2)</f>
        <v>2.46389513492761E-2</v>
      </c>
      <c r="G58" s="8">
        <f t="shared" si="1"/>
        <v>-2.5658447399494026E-2</v>
      </c>
      <c r="H58" s="8">
        <f t="shared" si="3"/>
        <v>-1.0103980949907502E-2</v>
      </c>
      <c r="I58" s="8">
        <f t="shared" si="4"/>
        <v>-2.4232155862642435E-2</v>
      </c>
      <c r="J58" s="8">
        <f t="shared" si="5"/>
        <v>4.0241939628274312E-3</v>
      </c>
      <c r="L58" s="5">
        <f t="shared" si="2"/>
        <v>-2.1925682599128533E-2</v>
      </c>
      <c r="M58" s="8">
        <f t="shared" si="6"/>
        <v>1.4128793730266848E-3</v>
      </c>
      <c r="N58" s="8">
        <f t="shared" si="7"/>
        <v>-1.7709489299125927E-2</v>
      </c>
      <c r="O58" s="8">
        <f t="shared" si="8"/>
        <v>2.0535248045179297E-2</v>
      </c>
    </row>
    <row r="59" spans="1:15" x14ac:dyDescent="0.2">
      <c r="A59" s="7">
        <v>39295</v>
      </c>
      <c r="B59" s="5">
        <f>AVERAGEIFS('Base de Datos'!$C$2:$C$6863,'Base de Datos'!$B$2:$B$6863,Cálculos!$A59,'Base de Datos'!$G$2:$G$6863,1)</f>
        <v>-1.5486607824610808E-2</v>
      </c>
      <c r="C59" s="5">
        <f>AVERAGEIFS('Base de Datos'!$C$2:$C$6863,'Base de Datos'!$B$2:$B$6863,Cálculos!$A59,'Base de Datos'!$G$2:$G$6863,2)</f>
        <v>-5.4986592328490488E-4</v>
      </c>
      <c r="D59" s="5">
        <f>AVERAGEIFS('Base de Datos'!$F$2:$F$6863,'Base de Datos'!$B$2:$B$6863,Cálculos!$A59,'Base de Datos'!$G$2:$G$6863,1)</f>
        <v>1.5899788198310418E-2</v>
      </c>
      <c r="E59" s="5">
        <f>AVERAGEIFS('Base de Datos'!$F$2:$F$6863,'Base de Datos'!$B$2:$B$6863,Cálculos!$A59,'Base de Datos'!$G$2:$G$6863,2)</f>
        <v>2.0675621189161369E-2</v>
      </c>
      <c r="G59" s="8">
        <f t="shared" si="1"/>
        <v>-1.4936741901325903E-2</v>
      </c>
      <c r="H59" s="8">
        <f t="shared" si="3"/>
        <v>-2.5040722851233405E-2</v>
      </c>
      <c r="I59" s="8">
        <f t="shared" si="4"/>
        <v>-3.9168897763968341E-2</v>
      </c>
      <c r="J59" s="8">
        <f t="shared" si="5"/>
        <v>-1.0912547938498472E-2</v>
      </c>
      <c r="L59" s="5">
        <f t="shared" si="2"/>
        <v>-1.0160908910474952E-2</v>
      </c>
      <c r="M59" s="8">
        <f t="shared" si="6"/>
        <v>-8.7480295374482674E-3</v>
      </c>
      <c r="N59" s="8">
        <f t="shared" si="7"/>
        <v>-2.7870398209600879E-2</v>
      </c>
      <c r="O59" s="8">
        <f t="shared" si="8"/>
        <v>1.0374339134704345E-2</v>
      </c>
    </row>
    <row r="60" spans="1:15" x14ac:dyDescent="0.2">
      <c r="A60" s="7">
        <v>39326</v>
      </c>
      <c r="B60" s="5">
        <f>AVERAGEIFS('Base de Datos'!$C$2:$C$6863,'Base de Datos'!$B$2:$B$6863,Cálculos!$A60,'Base de Datos'!$G$2:$G$6863,1)</f>
        <v>-1.2568447628938701E-2</v>
      </c>
      <c r="C60" s="5">
        <f>AVERAGEIFS('Base de Datos'!$C$2:$C$6863,'Base de Datos'!$B$2:$B$6863,Cálculos!$A60,'Base de Datos'!$G$2:$G$6863,2)</f>
        <v>1.1519474874169809E-2</v>
      </c>
      <c r="D60" s="5">
        <f>AVERAGEIFS('Base de Datos'!$F$2:$F$6863,'Base de Datos'!$B$2:$B$6863,Cálculos!$A60,'Base de Datos'!$G$2:$G$6863,1)</f>
        <v>1.6081042762060686E-2</v>
      </c>
      <c r="E60" s="5">
        <f>AVERAGEIFS('Base de Datos'!$F$2:$F$6863,'Base de Datos'!$B$2:$B$6863,Cálculos!$A60,'Base de Datos'!$G$2:$G$6863,2)</f>
        <v>2.1667371534465456E-2</v>
      </c>
      <c r="G60" s="8">
        <f t="shared" si="1"/>
        <v>-2.4087922503108511E-2</v>
      </c>
      <c r="H60" s="8">
        <f t="shared" si="3"/>
        <v>-4.9128645354341915E-2</v>
      </c>
      <c r="I60" s="8">
        <f t="shared" si="4"/>
        <v>-6.3256820267076852E-2</v>
      </c>
      <c r="J60" s="8">
        <f t="shared" si="5"/>
        <v>-3.5000470441606979E-2</v>
      </c>
      <c r="L60" s="5">
        <f t="shared" si="2"/>
        <v>-1.8501593730703737E-2</v>
      </c>
      <c r="M60" s="8">
        <f t="shared" si="6"/>
        <v>-2.7249623268152005E-2</v>
      </c>
      <c r="N60" s="8">
        <f t="shared" si="7"/>
        <v>-4.6371991940304613E-2</v>
      </c>
      <c r="O60" s="8">
        <f t="shared" si="8"/>
        <v>-8.1272545959993926E-3</v>
      </c>
    </row>
    <row r="61" spans="1:15" x14ac:dyDescent="0.2">
      <c r="A61" s="7">
        <v>39356</v>
      </c>
      <c r="B61" s="5">
        <f>AVERAGEIFS('Base de Datos'!$C$2:$C$6863,'Base de Datos'!$B$2:$B$6863,Cálculos!$A61,'Base de Datos'!$G$2:$G$6863,1)</f>
        <v>3.4680729112509863E-2</v>
      </c>
      <c r="C61" s="5">
        <f>AVERAGEIFS('Base de Datos'!$C$2:$C$6863,'Base de Datos'!$B$2:$B$6863,Cálculos!$A61,'Base de Datos'!$G$2:$G$6863,2)</f>
        <v>2.9669183903961109E-2</v>
      </c>
      <c r="D61" s="5">
        <f>AVERAGEIFS('Base de Datos'!$F$2:$F$6863,'Base de Datos'!$B$2:$B$6863,Cálculos!$A61,'Base de Datos'!$G$2:$G$6863,1)</f>
        <v>1.4748751639104893E-2</v>
      </c>
      <c r="E61" s="5">
        <f>AVERAGEIFS('Base de Datos'!$F$2:$F$6863,'Base de Datos'!$B$2:$B$6863,Cálculos!$A61,'Base de Datos'!$G$2:$G$6863,2)</f>
        <v>2.0149511412040834E-2</v>
      </c>
      <c r="G61" s="8">
        <f t="shared" si="1"/>
        <v>5.0115452085487538E-3</v>
      </c>
      <c r="H61" s="8">
        <f t="shared" si="3"/>
        <v>-4.4117100145793162E-2</v>
      </c>
      <c r="I61" s="8">
        <f t="shared" si="4"/>
        <v>-5.8245275058528098E-2</v>
      </c>
      <c r="J61" s="8">
        <f t="shared" si="5"/>
        <v>-2.9988925233058229E-2</v>
      </c>
      <c r="L61" s="5">
        <f t="shared" si="2"/>
        <v>1.0412304981484696E-2</v>
      </c>
      <c r="M61" s="8">
        <f t="shared" si="6"/>
        <v>-1.6837318286667308E-2</v>
      </c>
      <c r="N61" s="8">
        <f t="shared" si="7"/>
        <v>-3.5959686958819917E-2</v>
      </c>
      <c r="O61" s="8">
        <f t="shared" si="8"/>
        <v>2.2850503854853037E-3</v>
      </c>
    </row>
    <row r="62" spans="1:15" x14ac:dyDescent="0.2">
      <c r="A62" s="7">
        <v>39387</v>
      </c>
      <c r="B62" s="5">
        <f>AVERAGEIFS('Base de Datos'!$C$2:$C$6863,'Base de Datos'!$B$2:$B$6863,Cálculos!$A62,'Base de Datos'!$G$2:$G$6863,1)</f>
        <v>-8.2967238216821629E-2</v>
      </c>
      <c r="C62" s="5">
        <f>AVERAGEIFS('Base de Datos'!$C$2:$C$6863,'Base de Datos'!$B$2:$B$6863,Cálculos!$A62,'Base de Datos'!$G$2:$G$6863,2)</f>
        <v>-4.4034613372026153E-2</v>
      </c>
      <c r="D62" s="5">
        <f>AVERAGEIFS('Base de Datos'!$F$2:$F$6863,'Base de Datos'!$B$2:$B$6863,Cálculos!$A62,'Base de Datos'!$G$2:$G$6863,1)</f>
        <v>1.3665318861181761E-2</v>
      </c>
      <c r="E62" s="5">
        <f>AVERAGEIFS('Base de Datos'!$F$2:$F$6863,'Base de Datos'!$B$2:$B$6863,Cálculos!$A62,'Base de Datos'!$G$2:$G$6863,2)</f>
        <v>1.9907497336247186E-2</v>
      </c>
      <c r="G62" s="8">
        <f t="shared" si="1"/>
        <v>-3.8932624844795476E-2</v>
      </c>
      <c r="H62" s="8">
        <f t="shared" si="3"/>
        <v>-8.304972499058863E-2</v>
      </c>
      <c r="I62" s="8">
        <f t="shared" si="4"/>
        <v>-9.7177899903323567E-2</v>
      </c>
      <c r="J62" s="8">
        <f t="shared" si="5"/>
        <v>-6.8921550077853694E-2</v>
      </c>
      <c r="L62" s="5">
        <f t="shared" si="2"/>
        <v>-3.269044636973005E-2</v>
      </c>
      <c r="M62" s="8">
        <f t="shared" si="6"/>
        <v>-4.9527764656397355E-2</v>
      </c>
      <c r="N62" s="8">
        <f t="shared" si="7"/>
        <v>-6.8650133328549967E-2</v>
      </c>
      <c r="O62" s="8">
        <f t="shared" si="8"/>
        <v>-3.0405395984244743E-2</v>
      </c>
    </row>
    <row r="63" spans="1:15" x14ac:dyDescent="0.2">
      <c r="A63" s="7">
        <v>39417</v>
      </c>
      <c r="B63" s="5">
        <f>AVERAGEIFS('Base de Datos'!$C$2:$C$6863,'Base de Datos'!$B$2:$B$6863,Cálculos!$A63,'Base de Datos'!$G$2:$G$6863,1)</f>
        <v>-4.2422243769050433E-2</v>
      </c>
      <c r="C63" s="5">
        <f>AVERAGEIFS('Base de Datos'!$C$2:$C$6863,'Base de Datos'!$B$2:$B$6863,Cálculos!$A63,'Base de Datos'!$G$2:$G$6863,2)</f>
        <v>-3.5315326780998635E-2</v>
      </c>
      <c r="D63" s="5">
        <f>AVERAGEIFS('Base de Datos'!$F$2:$F$6863,'Base de Datos'!$B$2:$B$6863,Cálculos!$A63,'Base de Datos'!$G$2:$G$6863,1)</f>
        <v>1.068386448322426E-2</v>
      </c>
      <c r="E63" s="5">
        <f>AVERAGEIFS('Base de Datos'!$F$2:$F$6863,'Base de Datos'!$B$2:$B$6863,Cálculos!$A63,'Base de Datos'!$G$2:$G$6863,2)</f>
        <v>1.7303798730434035E-2</v>
      </c>
      <c r="G63" s="8">
        <f t="shared" si="1"/>
        <v>-7.1069169880517979E-3</v>
      </c>
      <c r="H63" s="8">
        <f t="shared" si="3"/>
        <v>-9.0156641978640428E-2</v>
      </c>
      <c r="I63" s="8">
        <f t="shared" si="4"/>
        <v>-0.10428481689137536</v>
      </c>
      <c r="J63" s="8">
        <f t="shared" si="5"/>
        <v>-7.6028467065905492E-2</v>
      </c>
      <c r="L63" s="5">
        <f t="shared" si="2"/>
        <v>-4.8698274084202353E-4</v>
      </c>
      <c r="M63" s="8">
        <f t="shared" si="6"/>
        <v>-5.0014747397239379E-2</v>
      </c>
      <c r="N63" s="8">
        <f t="shared" si="7"/>
        <v>-6.9137116069391991E-2</v>
      </c>
      <c r="O63" s="8">
        <f t="shared" si="8"/>
        <v>-3.0892378725086767E-2</v>
      </c>
    </row>
    <row r="64" spans="1:15" x14ac:dyDescent="0.2">
      <c r="A64" s="7">
        <v>39448</v>
      </c>
      <c r="B64" s="5">
        <f>AVERAGEIFS('Base de Datos'!$C$2:$C$6863,'Base de Datos'!$B$2:$B$6863,Cálculos!$A64,'Base de Datos'!$G$2:$G$6863,1)</f>
        <v>-9.674691102686836E-2</v>
      </c>
      <c r="C64" s="5">
        <f>AVERAGEIFS('Base de Datos'!$C$2:$C$6863,'Base de Datos'!$B$2:$B$6863,Cálculos!$A64,'Base de Datos'!$G$2:$G$6863,2)</f>
        <v>-9.9869614421066052E-2</v>
      </c>
      <c r="D64" s="5">
        <f>AVERAGEIFS('Base de Datos'!$F$2:$F$6863,'Base de Datos'!$B$2:$B$6863,Cálculos!$A64,'Base de Datos'!$G$2:$G$6863,1)</f>
        <v>7.1711860182426994E-3</v>
      </c>
      <c r="E64" s="5">
        <f>AVERAGEIFS('Base de Datos'!$F$2:$F$6863,'Base de Datos'!$B$2:$B$6863,Cálculos!$A64,'Base de Datos'!$G$2:$G$6863,2)</f>
        <v>1.3849017074050226E-2</v>
      </c>
      <c r="G64" s="8">
        <f t="shared" si="1"/>
        <v>3.1227033941976928E-3</v>
      </c>
      <c r="H64" s="8">
        <f t="shared" si="3"/>
        <v>-8.7033938584442735E-2</v>
      </c>
      <c r="I64" s="8">
        <f t="shared" si="4"/>
        <v>-0.10116211349717767</v>
      </c>
      <c r="J64" s="8">
        <f t="shared" si="5"/>
        <v>-7.2905763671707799E-2</v>
      </c>
      <c r="L64" s="5">
        <f t="shared" si="2"/>
        <v>9.8005344500052272E-3</v>
      </c>
      <c r="M64" s="8">
        <f t="shared" si="6"/>
        <v>-4.0214212947234151E-2</v>
      </c>
      <c r="N64" s="8">
        <f t="shared" si="7"/>
        <v>-5.9336581619386763E-2</v>
      </c>
      <c r="O64" s="8">
        <f t="shared" si="8"/>
        <v>-2.1091844275081539E-2</v>
      </c>
    </row>
    <row r="65" spans="1:15" x14ac:dyDescent="0.2">
      <c r="A65" s="7">
        <v>39479</v>
      </c>
      <c r="B65" s="5">
        <f>AVERAGEIFS('Base de Datos'!$C$2:$C$6863,'Base de Datos'!$B$2:$B$6863,Cálculos!$A65,'Base de Datos'!$G$2:$G$6863,1)</f>
        <v>3.2651750579613517E-2</v>
      </c>
      <c r="C65" s="5">
        <f>AVERAGEIFS('Base de Datos'!$C$2:$C$6863,'Base de Datos'!$B$2:$B$6863,Cálculos!$A65,'Base de Datos'!$G$2:$G$6863,2)</f>
        <v>3.0176234645250558E-2</v>
      </c>
      <c r="D65" s="5">
        <f>AVERAGEIFS('Base de Datos'!$F$2:$F$6863,'Base de Datos'!$B$2:$B$6863,Cálculos!$A65,'Base de Datos'!$G$2:$G$6863,1)</f>
        <v>4.6782243556463959E-3</v>
      </c>
      <c r="E65" s="5">
        <f>AVERAGEIFS('Base de Datos'!$F$2:$F$6863,'Base de Datos'!$B$2:$B$6863,Cálculos!$A65,'Base de Datos'!$G$2:$G$6863,2)</f>
        <v>1.1566893679024932E-2</v>
      </c>
      <c r="G65" s="8">
        <f t="shared" si="1"/>
        <v>2.4755159343629596E-3</v>
      </c>
      <c r="H65" s="8">
        <f t="shared" si="3"/>
        <v>-8.4558422650079776E-2</v>
      </c>
      <c r="I65" s="8">
        <f t="shared" si="4"/>
        <v>-9.8686597562814712E-2</v>
      </c>
      <c r="J65" s="8">
        <f t="shared" si="5"/>
        <v>-7.0430247737344839E-2</v>
      </c>
      <c r="L65" s="5">
        <f t="shared" si="2"/>
        <v>9.3641852577414954E-3</v>
      </c>
      <c r="M65" s="8">
        <f t="shared" si="6"/>
        <v>-3.0850027689492656E-2</v>
      </c>
      <c r="N65" s="8">
        <f t="shared" si="7"/>
        <v>-4.9972396361645272E-2</v>
      </c>
      <c r="O65" s="8">
        <f t="shared" si="8"/>
        <v>-1.1727659017340044E-2</v>
      </c>
    </row>
    <row r="66" spans="1:15" x14ac:dyDescent="0.2">
      <c r="A66" s="7">
        <v>39508</v>
      </c>
      <c r="B66" s="5">
        <f>AVERAGEIFS('Base de Datos'!$C$2:$C$6863,'Base de Datos'!$B$2:$B$6863,Cálculos!$A66,'Base de Datos'!$G$2:$G$6863,1)</f>
        <v>1.0065154380270293E-3</v>
      </c>
      <c r="C66" s="5">
        <f>AVERAGEIFS('Base de Datos'!$C$2:$C$6863,'Base de Datos'!$B$2:$B$6863,Cálculos!$A66,'Base de Datos'!$G$2:$G$6863,2)</f>
        <v>-3.1159740771913989E-2</v>
      </c>
      <c r="D66" s="5">
        <f>AVERAGEIFS('Base de Datos'!$F$2:$F$6863,'Base de Datos'!$B$2:$B$6863,Cálculos!$A66,'Base de Datos'!$G$2:$G$6863,1)</f>
        <v>6.7655939541546722E-3</v>
      </c>
      <c r="E66" s="5">
        <f>AVERAGEIFS('Base de Datos'!$F$2:$F$6863,'Base de Datos'!$B$2:$B$6863,Cálculos!$A66,'Base de Datos'!$G$2:$G$6863,2)</f>
        <v>1.2993569807799794E-2</v>
      </c>
      <c r="G66" s="8">
        <f t="shared" si="1"/>
        <v>3.216625620994102E-2</v>
      </c>
      <c r="H66" s="8">
        <f t="shared" si="3"/>
        <v>-5.2392166440138756E-2</v>
      </c>
      <c r="I66" s="8">
        <f t="shared" si="4"/>
        <v>-6.6520341352873685E-2</v>
      </c>
      <c r="J66" s="8">
        <f t="shared" si="5"/>
        <v>-3.8263991527403826E-2</v>
      </c>
      <c r="L66" s="5">
        <f t="shared" si="2"/>
        <v>3.8394232063586144E-2</v>
      </c>
      <c r="M66" s="8">
        <f t="shared" si="6"/>
        <v>7.5442043740934876E-3</v>
      </c>
      <c r="N66" s="8">
        <f t="shared" si="7"/>
        <v>-1.1578164298059124E-2</v>
      </c>
      <c r="O66" s="8">
        <f t="shared" si="8"/>
        <v>2.66665730462461E-2</v>
      </c>
    </row>
    <row r="67" spans="1:15" x14ac:dyDescent="0.2">
      <c r="A67" s="7">
        <v>39539</v>
      </c>
      <c r="B67" s="5">
        <f>AVERAGEIFS('Base de Datos'!$C$2:$C$6863,'Base de Datos'!$B$2:$B$6863,Cálculos!$A67,'Base de Datos'!$G$2:$G$6863,1)</f>
        <v>6.0904436998364862E-2</v>
      </c>
      <c r="C67" s="5">
        <f>AVERAGEIFS('Base de Datos'!$C$2:$C$6863,'Base de Datos'!$B$2:$B$6863,Cálculos!$A67,'Base de Datos'!$G$2:$G$6863,2)</f>
        <v>3.5694955765913916E-2</v>
      </c>
      <c r="D67" s="5">
        <f>AVERAGEIFS('Base de Datos'!$F$2:$F$6863,'Base de Datos'!$B$2:$B$6863,Cálculos!$A67,'Base de Datos'!$G$2:$G$6863,1)</f>
        <v>7.3260786911032282E-3</v>
      </c>
      <c r="E67" s="5">
        <f>AVERAGEIFS('Base de Datos'!$F$2:$F$6863,'Base de Datos'!$B$2:$B$6863,Cálculos!$A67,'Base de Datos'!$G$2:$G$6863,2)</f>
        <v>1.1519114382892647E-2</v>
      </c>
      <c r="G67" s="8">
        <f t="shared" si="1"/>
        <v>2.5209481232450946E-2</v>
      </c>
      <c r="H67" s="8">
        <f t="shared" si="3"/>
        <v>-2.7182685207687809E-2</v>
      </c>
      <c r="I67" s="8">
        <f t="shared" si="4"/>
        <v>-4.1310860120422746E-2</v>
      </c>
      <c r="J67" s="8">
        <f t="shared" si="5"/>
        <v>-1.3054510294952876E-2</v>
      </c>
      <c r="L67" s="5">
        <f t="shared" ref="L67:L75" si="9">(B67-D67)-(C67-E67)</f>
        <v>2.9402516924240361E-2</v>
      </c>
      <c r="M67" s="8">
        <f t="shared" si="6"/>
        <v>3.6946721298333846E-2</v>
      </c>
      <c r="N67" s="8">
        <f t="shared" si="7"/>
        <v>1.7824352626181234E-2</v>
      </c>
      <c r="O67" s="8">
        <f t="shared" si="8"/>
        <v>5.6069089970486458E-2</v>
      </c>
    </row>
    <row r="68" spans="1:15" x14ac:dyDescent="0.2">
      <c r="A68" s="7">
        <v>39569</v>
      </c>
      <c r="B68" s="5">
        <f>AVERAGEIFS('Base de Datos'!$C$2:$C$6863,'Base de Datos'!$B$2:$B$6863,Cálculos!$A68,'Base de Datos'!$G$2:$G$6863,1)</f>
        <v>3.2432775928424327E-2</v>
      </c>
      <c r="C68" s="5">
        <f>AVERAGEIFS('Base de Datos'!$C$2:$C$6863,'Base de Datos'!$B$2:$B$6863,Cálculos!$A68,'Base de Datos'!$G$2:$G$6863,2)</f>
        <v>9.4826569674403898E-4</v>
      </c>
      <c r="D68" s="5">
        <f>AVERAGEIFS('Base de Datos'!$F$2:$F$6863,'Base de Datos'!$B$2:$B$6863,Cálculos!$A68,'Base de Datos'!$G$2:$G$6863,1)</f>
        <v>7.9173028662019133E-3</v>
      </c>
      <c r="E68" s="5">
        <f>AVERAGEIFS('Base de Datos'!$F$2:$F$6863,'Base de Datos'!$B$2:$B$6863,Cálculos!$A68,'Base de Datos'!$G$2:$G$6863,2)</f>
        <v>1.1794144612023482E-2</v>
      </c>
      <c r="G68" s="8">
        <f t="shared" ref="G68:G75" si="10">B68-C68</f>
        <v>3.1484510231680286E-2</v>
      </c>
      <c r="H68" s="8">
        <f t="shared" si="3"/>
        <v>4.3018250239924768E-3</v>
      </c>
      <c r="I68" s="8">
        <f t="shared" si="4"/>
        <v>-9.8263498887424562E-3</v>
      </c>
      <c r="J68" s="8">
        <f t="shared" si="5"/>
        <v>1.842999993672741E-2</v>
      </c>
      <c r="L68" s="5">
        <f t="shared" si="9"/>
        <v>3.5361351977501856E-2</v>
      </c>
      <c r="M68" s="8">
        <f t="shared" si="6"/>
        <v>7.2308073275835702E-2</v>
      </c>
      <c r="N68" s="8">
        <f t="shared" si="7"/>
        <v>5.318570460368309E-2</v>
      </c>
      <c r="O68" s="8">
        <f t="shared" si="8"/>
        <v>9.1430441947988314E-2</v>
      </c>
    </row>
    <row r="69" spans="1:15" x14ac:dyDescent="0.2">
      <c r="A69" s="7">
        <v>39600</v>
      </c>
      <c r="B69" s="5">
        <f>AVERAGEIFS('Base de Datos'!$C$2:$C$6863,'Base de Datos'!$B$2:$B$6863,Cálculos!$A69,'Base de Datos'!$G$2:$G$6863,1)</f>
        <v>4.8039842366564903E-3</v>
      </c>
      <c r="C69" s="5">
        <f>AVERAGEIFS('Base de Datos'!$C$2:$C$6863,'Base de Datos'!$B$2:$B$6863,Cálculos!$A69,'Base de Datos'!$G$2:$G$6863,2)</f>
        <v>3.1574703875158726E-2</v>
      </c>
      <c r="D69" s="5">
        <f>AVERAGEIFS('Base de Datos'!$F$2:$F$6863,'Base de Datos'!$B$2:$B$6863,Cálculos!$A69,'Base de Datos'!$G$2:$G$6863,1)</f>
        <v>1.1056832248132928E-2</v>
      </c>
      <c r="E69" s="5">
        <f>AVERAGEIFS('Base de Datos'!$F$2:$F$6863,'Base de Datos'!$B$2:$B$6863,Cálculos!$A69,'Base de Datos'!$G$2:$G$6863,2)</f>
        <v>1.3275626152673213E-2</v>
      </c>
      <c r="G69" s="8">
        <f t="shared" si="10"/>
        <v>-2.6770719638502236E-2</v>
      </c>
      <c r="H69" s="8">
        <f t="shared" si="3"/>
        <v>-2.2468894614509759E-2</v>
      </c>
      <c r="I69" s="8">
        <f t="shared" si="4"/>
        <v>-3.6597069527244688E-2</v>
      </c>
      <c r="J69" s="8">
        <f t="shared" si="5"/>
        <v>-8.3407197017748257E-3</v>
      </c>
      <c r="L69" s="5">
        <f t="shared" si="9"/>
        <v>-2.4551925733961949E-2</v>
      </c>
      <c r="M69" s="8">
        <f t="shared" si="6"/>
        <v>4.7756147541873753E-2</v>
      </c>
      <c r="N69" s="8">
        <f t="shared" si="7"/>
        <v>2.8633778869721141E-2</v>
      </c>
      <c r="O69" s="8">
        <f t="shared" si="8"/>
        <v>6.6878516214026365E-2</v>
      </c>
    </row>
    <row r="70" spans="1:15" x14ac:dyDescent="0.2">
      <c r="A70" s="7">
        <v>39630</v>
      </c>
      <c r="B70" s="5">
        <f>AVERAGEIFS('Base de Datos'!$C$2:$C$6863,'Base de Datos'!$B$2:$B$6863,Cálculos!$A70,'Base de Datos'!$G$2:$G$6863,1)</f>
        <v>-2.0787802795475676E-2</v>
      </c>
      <c r="C70" s="5">
        <f>AVERAGEIFS('Base de Datos'!$C$2:$C$6863,'Base de Datos'!$B$2:$B$6863,Cálculos!$A70,'Base de Datos'!$G$2:$G$6863,2)</f>
        <v>-2.7771663555131172E-2</v>
      </c>
      <c r="D70" s="5">
        <f>AVERAGEIFS('Base de Datos'!$F$2:$F$6863,'Base de Datos'!$B$2:$B$6863,Cálculos!$A70,'Base de Datos'!$G$2:$G$6863,1)</f>
        <v>1.2553891015671882E-2</v>
      </c>
      <c r="E70" s="5">
        <f>AVERAGEIFS('Base de Datos'!$F$2:$F$6863,'Base de Datos'!$B$2:$B$6863,Cálculos!$A70,'Base de Datos'!$G$2:$G$6863,2)</f>
        <v>1.6161437100908699E-2</v>
      </c>
      <c r="G70" s="8">
        <f t="shared" si="10"/>
        <v>6.9838607596554962E-3</v>
      </c>
      <c r="H70" s="8">
        <f t="shared" si="3"/>
        <v>-1.5485033854854263E-2</v>
      </c>
      <c r="I70" s="8">
        <f t="shared" si="4"/>
        <v>-2.9613208767589196E-2</v>
      </c>
      <c r="J70" s="8">
        <f t="shared" si="5"/>
        <v>-1.3568589421193294E-3</v>
      </c>
      <c r="L70" s="5">
        <f t="shared" si="9"/>
        <v>1.0591406844892313E-2</v>
      </c>
      <c r="M70" s="8">
        <f t="shared" si="6"/>
        <v>5.8347554386766066E-2</v>
      </c>
      <c r="N70" s="8">
        <f t="shared" si="7"/>
        <v>3.9225185714613454E-2</v>
      </c>
      <c r="O70" s="8">
        <f t="shared" si="8"/>
        <v>7.7469923058918672E-2</v>
      </c>
    </row>
    <row r="71" spans="1:15" x14ac:dyDescent="0.2">
      <c r="A71" s="7">
        <v>39661</v>
      </c>
      <c r="B71" s="5">
        <f>AVERAGEIFS('Base de Datos'!$C$2:$C$6863,'Base de Datos'!$B$2:$B$6863,Cálculos!$A71,'Base de Datos'!$G$2:$G$6863,1)</f>
        <v>-1.7433336600345947E-2</v>
      </c>
      <c r="C71" s="5">
        <f>AVERAGEIFS('Base de Datos'!$C$2:$C$6863,'Base de Datos'!$B$2:$B$6863,Cálculos!$A71,'Base de Datos'!$G$2:$G$6863,2)</f>
        <v>-3.7382660787320769E-2</v>
      </c>
      <c r="D71" s="5">
        <f>AVERAGEIFS('Base de Datos'!$F$2:$F$6863,'Base de Datos'!$B$2:$B$6863,Cálculos!$A71,'Base de Datos'!$G$2:$G$6863,1)</f>
        <v>1.4301845901255531E-2</v>
      </c>
      <c r="E71" s="5">
        <f>AVERAGEIFS('Base de Datos'!$F$2:$F$6863,'Base de Datos'!$B$2:$B$6863,Cálculos!$A71,'Base de Datos'!$G$2:$G$6863,2)</f>
        <v>1.5904234064799176E-2</v>
      </c>
      <c r="G71" s="8">
        <f t="shared" si="10"/>
        <v>1.9949324186974822E-2</v>
      </c>
      <c r="H71" s="8">
        <f t="shared" si="3"/>
        <v>4.4642903321205595E-3</v>
      </c>
      <c r="I71" s="8">
        <f t="shared" si="4"/>
        <v>-9.6638845806143736E-3</v>
      </c>
      <c r="J71" s="8">
        <f t="shared" si="5"/>
        <v>1.8592465244855493E-2</v>
      </c>
      <c r="L71" s="5">
        <f t="shared" si="9"/>
        <v>2.1551712350518469E-2</v>
      </c>
      <c r="M71" s="8">
        <f t="shared" si="6"/>
        <v>7.9899266737284536E-2</v>
      </c>
      <c r="N71" s="8">
        <f t="shared" si="7"/>
        <v>6.0776898065131923E-2</v>
      </c>
      <c r="O71" s="8">
        <f t="shared" si="8"/>
        <v>9.9021635409437148E-2</v>
      </c>
    </row>
    <row r="72" spans="1:15" x14ac:dyDescent="0.2">
      <c r="A72" s="7">
        <v>39692</v>
      </c>
      <c r="B72" s="5">
        <f>AVERAGEIFS('Base de Datos'!$C$2:$C$6863,'Base de Datos'!$B$2:$B$6863,Cálculos!$A72,'Base de Datos'!$G$2:$G$6863,1)</f>
        <v>-9.1670430058455293E-2</v>
      </c>
      <c r="C72" s="5">
        <f>AVERAGEIFS('Base de Datos'!$C$2:$C$6863,'Base de Datos'!$B$2:$B$6863,Cálculos!$A72,'Base de Datos'!$G$2:$G$6863,2)</f>
        <v>-7.6398806923240609E-2</v>
      </c>
      <c r="D72" s="5">
        <f>AVERAGEIFS('Base de Datos'!$F$2:$F$6863,'Base de Datos'!$B$2:$B$6863,Cálculos!$A72,'Base de Datos'!$G$2:$G$6863,1)</f>
        <v>1.2906751220912142E-2</v>
      </c>
      <c r="E72" s="5">
        <f>AVERAGEIFS('Base de Datos'!$F$2:$F$6863,'Base de Datos'!$B$2:$B$6863,Cálculos!$A72,'Base de Datos'!$G$2:$G$6863,2)</f>
        <v>1.3678700587041879E-2</v>
      </c>
      <c r="G72" s="8">
        <f t="shared" si="10"/>
        <v>-1.5271623135214685E-2</v>
      </c>
      <c r="H72" s="8">
        <f t="shared" si="3"/>
        <v>-1.0807332803094125E-2</v>
      </c>
      <c r="I72" s="8">
        <f t="shared" si="4"/>
        <v>-2.4935507715829058E-2</v>
      </c>
      <c r="J72" s="8">
        <f t="shared" si="5"/>
        <v>3.3208421096408078E-3</v>
      </c>
      <c r="L72" s="5">
        <f t="shared" si="9"/>
        <v>-1.4499673769084953E-2</v>
      </c>
      <c r="M72" s="8">
        <f t="shared" si="6"/>
        <v>6.5399592968199582E-2</v>
      </c>
      <c r="N72" s="8">
        <f t="shared" si="7"/>
        <v>4.627722429604697E-2</v>
      </c>
      <c r="O72" s="8">
        <f t="shared" si="8"/>
        <v>8.4521961640352195E-2</v>
      </c>
    </row>
    <row r="73" spans="1:15" x14ac:dyDescent="0.2">
      <c r="A73" s="7">
        <v>39722</v>
      </c>
      <c r="B73" s="5">
        <f>AVERAGEIFS('Base de Datos'!$C$2:$C$6863,'Base de Datos'!$B$2:$B$6863,Cálculos!$A73,'Base de Datos'!$G$2:$G$6863,1)</f>
        <v>-0.10980867242674514</v>
      </c>
      <c r="C73" s="5">
        <f>AVERAGEIFS('Base de Datos'!$C$2:$C$6863,'Base de Datos'!$B$2:$B$6863,Cálculos!$A73,'Base de Datos'!$G$2:$G$6863,2)</f>
        <v>-9.4427491697463131E-2</v>
      </c>
      <c r="D73" s="5">
        <f>AVERAGEIFS('Base de Datos'!$F$2:$F$6863,'Base de Datos'!$B$2:$B$6863,Cálculos!$A73,'Base de Datos'!$G$2:$G$6863,1)</f>
        <v>1.0141746217919929E-2</v>
      </c>
      <c r="E73" s="5">
        <f>AVERAGEIFS('Base de Datos'!$F$2:$F$6863,'Base de Datos'!$B$2:$B$6863,Cálculos!$A73,'Base de Datos'!$G$2:$G$6863,2)</f>
        <v>1.2963580677795919E-2</v>
      </c>
      <c r="G73" s="8">
        <f t="shared" si="10"/>
        <v>-1.5381180729282004E-2</v>
      </c>
      <c r="H73" s="8">
        <f t="shared" si="3"/>
        <v>-2.6188513532376129E-2</v>
      </c>
      <c r="I73" s="8">
        <f t="shared" si="4"/>
        <v>-4.0316688445111062E-2</v>
      </c>
      <c r="J73" s="8">
        <f t="shared" si="5"/>
        <v>-1.2060338619641196E-2</v>
      </c>
      <c r="L73" s="5">
        <f t="shared" si="9"/>
        <v>-1.255934626940601E-2</v>
      </c>
      <c r="M73" s="8">
        <f t="shared" si="6"/>
        <v>5.2840246698793572E-2</v>
      </c>
      <c r="N73" s="8">
        <f t="shared" si="7"/>
        <v>3.371787802664096E-2</v>
      </c>
      <c r="O73" s="8">
        <f t="shared" si="8"/>
        <v>7.1962615370946184E-2</v>
      </c>
    </row>
    <row r="74" spans="1:15" x14ac:dyDescent="0.2">
      <c r="A74" s="7">
        <v>39753</v>
      </c>
      <c r="B74" s="5">
        <f>AVERAGEIFS('Base de Datos'!$C$2:$C$6863,'Base de Datos'!$B$2:$B$6863,Cálculos!$A74,'Base de Datos'!$G$2:$G$6863,1)</f>
        <v>-1.2617941524505833E-2</v>
      </c>
      <c r="C74" s="5">
        <f>AVERAGEIFS('Base de Datos'!$C$2:$C$6863,'Base de Datos'!$B$2:$B$6863,Cálculos!$A74,'Base de Datos'!$G$2:$G$6863,2)</f>
        <v>-8.9756197895622235E-3</v>
      </c>
      <c r="D74" s="5">
        <f>AVERAGEIFS('Base de Datos'!$F$2:$F$6863,'Base de Datos'!$B$2:$B$6863,Cálculos!$A74,'Base de Datos'!$G$2:$G$6863,1)</f>
        <v>6.0831602762419857E-3</v>
      </c>
      <c r="E74" s="5">
        <f>AVERAGEIFS('Base de Datos'!$F$2:$F$6863,'Base de Datos'!$B$2:$B$6863,Cálculos!$A74,'Base de Datos'!$G$2:$G$6863,2)</f>
        <v>9.4012320981128571E-3</v>
      </c>
      <c r="G74" s="8">
        <f t="shared" si="10"/>
        <v>-3.6423217349436099E-3</v>
      </c>
      <c r="H74" s="8">
        <f t="shared" si="3"/>
        <v>-2.9830835267319739E-2</v>
      </c>
      <c r="I74" s="8">
        <f t="shared" si="4"/>
        <v>-4.3959010180054672E-2</v>
      </c>
      <c r="J74" s="8">
        <f t="shared" si="5"/>
        <v>-1.5702660354584806E-2</v>
      </c>
      <c r="L74" s="5">
        <f t="shared" si="9"/>
        <v>-3.2424991307274109E-4</v>
      </c>
      <c r="M74" s="8">
        <f t="shared" si="6"/>
        <v>5.2515996785720831E-2</v>
      </c>
      <c r="N74" s="8">
        <f t="shared" si="7"/>
        <v>3.3393628113568219E-2</v>
      </c>
      <c r="O74" s="8">
        <f t="shared" si="8"/>
        <v>7.1638365457873443E-2</v>
      </c>
    </row>
    <row r="75" spans="1:15" x14ac:dyDescent="0.2">
      <c r="A75" s="7">
        <v>39783</v>
      </c>
      <c r="B75" s="5">
        <f>AVERAGEIFS('Base de Datos'!$C$2:$C$6863,'Base de Datos'!$B$2:$B$6863,Cálculos!$A75,'Base de Datos'!$G$2:$G$6863,1)</f>
        <v>-2.2139406389681079E-2</v>
      </c>
      <c r="C75" s="5">
        <f>AVERAGEIFS('Base de Datos'!$C$2:$C$6863,'Base de Datos'!$B$2:$B$6863,Cálculos!$A75,'Base de Datos'!$G$2:$G$6863,2)</f>
        <v>-2.9986489656881245E-2</v>
      </c>
      <c r="D75" s="5">
        <f>AVERAGEIFS('Base de Datos'!$F$2:$F$6863,'Base de Datos'!$B$2:$B$6863,Cálculos!$A75,'Base de Datos'!$G$2:$G$6863,1)</f>
        <v>4.1578621491620603E-3</v>
      </c>
      <c r="E75" s="5">
        <f>AVERAGEIFS('Base de Datos'!$F$2:$F$6863,'Base de Datos'!$B$2:$B$6863,Cálculos!$A75,'Base de Datos'!$G$2:$G$6863,2)</f>
        <v>7.9412155913079034E-3</v>
      </c>
      <c r="G75" s="8">
        <f t="shared" si="10"/>
        <v>7.847083267200166E-3</v>
      </c>
      <c r="H75" s="8">
        <f t="shared" si="3"/>
        <v>-2.1983752000119573E-2</v>
      </c>
      <c r="I75" s="8">
        <f t="shared" si="4"/>
        <v>-3.6111926912854503E-2</v>
      </c>
      <c r="J75" s="8">
        <f t="shared" si="5"/>
        <v>-7.8555770873846402E-3</v>
      </c>
      <c r="L75" s="5">
        <f t="shared" si="9"/>
        <v>1.163043670934601E-2</v>
      </c>
      <c r="M75" s="8">
        <f t="shared" si="6"/>
        <v>6.4146433495066837E-2</v>
      </c>
      <c r="N75" s="8">
        <f t="shared" si="7"/>
        <v>4.5024064822914225E-2</v>
      </c>
      <c r="O75" s="8">
        <f t="shared" si="8"/>
        <v>8.3268802167219449E-2</v>
      </c>
    </row>
  </sheetData>
  <mergeCells count="3">
    <mergeCell ref="G1:J1"/>
    <mergeCell ref="L1:O1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8540-E63A-433C-AE37-827366E42A49}">
  <dimension ref="A1:U75"/>
  <sheetViews>
    <sheetView showGridLines="0" tabSelected="1" workbookViewId="0">
      <selection activeCell="B2" sqref="B2"/>
    </sheetView>
  </sheetViews>
  <sheetFormatPr baseColWidth="10" defaultRowHeight="15" x14ac:dyDescent="0.2"/>
  <cols>
    <col min="2" max="4" width="12.33203125" bestFit="1" customWidth="1"/>
  </cols>
  <sheetData>
    <row r="1" spans="1:21" x14ac:dyDescent="0.2">
      <c r="A1" s="14" t="str">
        <f>Cálculos!A2</f>
        <v>fecha</v>
      </c>
      <c r="B1" s="2" t="str">
        <f>Cálculos!H2</f>
        <v>SpreadCUM</v>
      </c>
      <c r="C1" s="2" t="str">
        <f>Cálculos!I2</f>
        <v>INN</v>
      </c>
      <c r="D1" s="2" t="str">
        <f>Cálculos!J2</f>
        <v>INP</v>
      </c>
      <c r="E1" s="2" t="str">
        <f>Cálculos!M2</f>
        <v>SpreadRA</v>
      </c>
      <c r="F1" s="2" t="str">
        <f>Cálculos!N2</f>
        <v>INNRA</v>
      </c>
      <c r="G1" s="2" t="str">
        <f>Cálculos!O2</f>
        <v>INPRA</v>
      </c>
    </row>
    <row r="2" spans="1:21" x14ac:dyDescent="0.2">
      <c r="A2" s="14">
        <f>Cálculos!A56</f>
        <v>39203</v>
      </c>
      <c r="B2" s="3">
        <f>Cálculos!H56</f>
        <v>-5.1993925260795174E-3</v>
      </c>
      <c r="C2" s="3">
        <f>Cálculos!I56</f>
        <v>-1.932756743881445E-2</v>
      </c>
      <c r="D2" s="3">
        <f>Cálculos!J56</f>
        <v>8.9287823866554157E-3</v>
      </c>
      <c r="E2" s="12">
        <f>Cálculos!M56</f>
        <v>-2.3029678940046025E-3</v>
      </c>
      <c r="F2" s="12">
        <f>Cálculos!N56</f>
        <v>-2.1425336566157215E-2</v>
      </c>
      <c r="G2" s="12">
        <f>Cálculos!O56</f>
        <v>1.681940077814801E-2</v>
      </c>
    </row>
    <row r="3" spans="1:21" x14ac:dyDescent="0.2">
      <c r="A3" s="14">
        <f>Cálculos!A57</f>
        <v>39234</v>
      </c>
      <c r="B3" s="3">
        <f>Cálculos!H57</f>
        <v>1.5554466449586524E-2</v>
      </c>
      <c r="C3" s="3">
        <f>Cálculos!I57</f>
        <v>1.4262915368515906E-3</v>
      </c>
      <c r="D3" s="3">
        <f>Cálculos!J57</f>
        <v>2.9682641362321457E-2</v>
      </c>
      <c r="E3" s="12">
        <f>Cálculos!M57</f>
        <v>2.3338561972155218E-2</v>
      </c>
      <c r="F3" s="12">
        <f>Cálculos!N57</f>
        <v>4.2161933000026061E-3</v>
      </c>
      <c r="G3" s="12">
        <f>Cálculos!O57</f>
        <v>4.246093064430783E-2</v>
      </c>
    </row>
    <row r="4" spans="1:21" x14ac:dyDescent="0.2">
      <c r="A4" s="14">
        <f>Cálculos!A58</f>
        <v>39264</v>
      </c>
      <c r="B4" s="3">
        <f>Cálculos!H58</f>
        <v>-1.0103980949907502E-2</v>
      </c>
      <c r="C4" s="3">
        <f>Cálculos!I58</f>
        <v>-2.4232155862642435E-2</v>
      </c>
      <c r="D4" s="3">
        <f>Cálculos!J58</f>
        <v>4.0241939628274312E-3</v>
      </c>
      <c r="E4" s="12">
        <f>Cálculos!M58</f>
        <v>1.4128793730266848E-3</v>
      </c>
      <c r="F4" s="12">
        <f>Cálculos!N58</f>
        <v>-1.7709489299125927E-2</v>
      </c>
      <c r="G4" s="12">
        <f>Cálculos!O58</f>
        <v>2.0535248045179297E-2</v>
      </c>
    </row>
    <row r="5" spans="1:21" x14ac:dyDescent="0.2">
      <c r="A5" s="14">
        <f>Cálculos!A59</f>
        <v>39295</v>
      </c>
      <c r="B5" s="3">
        <f>Cálculos!H59</f>
        <v>-2.5040722851233405E-2</v>
      </c>
      <c r="C5" s="3">
        <f>Cálculos!I59</f>
        <v>-3.9168897763968341E-2</v>
      </c>
      <c r="D5" s="3">
        <f>Cálculos!J59</f>
        <v>-1.0912547938498472E-2</v>
      </c>
      <c r="E5" s="12">
        <f>Cálculos!M59</f>
        <v>-8.7480295374482674E-3</v>
      </c>
      <c r="F5" s="12">
        <f>Cálculos!N59</f>
        <v>-2.7870398209600879E-2</v>
      </c>
      <c r="G5" s="12">
        <f>Cálculos!O59</f>
        <v>1.0374339134704345E-2</v>
      </c>
    </row>
    <row r="6" spans="1:21" x14ac:dyDescent="0.2">
      <c r="A6" s="14">
        <f>Cálculos!A60</f>
        <v>39326</v>
      </c>
      <c r="B6" s="3">
        <f>Cálculos!H60</f>
        <v>-4.9128645354341915E-2</v>
      </c>
      <c r="C6" s="3">
        <f>Cálculos!I60</f>
        <v>-6.3256820267076852E-2</v>
      </c>
      <c r="D6" s="3">
        <f>Cálculos!J60</f>
        <v>-3.5000470441606979E-2</v>
      </c>
      <c r="E6" s="12">
        <f>Cálculos!M60</f>
        <v>-2.7249623268152005E-2</v>
      </c>
      <c r="F6" s="12">
        <f>Cálculos!N60</f>
        <v>-4.6371991940304613E-2</v>
      </c>
      <c r="G6" s="12">
        <f>Cálculos!O60</f>
        <v>-8.1272545959993926E-3</v>
      </c>
    </row>
    <row r="7" spans="1:21" x14ac:dyDescent="0.2">
      <c r="A7" s="14">
        <f>Cálculos!A61</f>
        <v>39356</v>
      </c>
      <c r="B7" s="3">
        <f>Cálculos!H61</f>
        <v>-4.4117100145793162E-2</v>
      </c>
      <c r="C7" s="3">
        <f>Cálculos!I61</f>
        <v>-5.8245275058528098E-2</v>
      </c>
      <c r="D7" s="3">
        <f>Cálculos!J61</f>
        <v>-2.9988925233058229E-2</v>
      </c>
      <c r="E7" s="12">
        <f>Cálculos!M61</f>
        <v>-1.6837318286667308E-2</v>
      </c>
      <c r="F7" s="12">
        <f>Cálculos!N61</f>
        <v>-3.5959686958819917E-2</v>
      </c>
      <c r="G7" s="12">
        <f>Cálculos!O61</f>
        <v>2.2850503854853037E-3</v>
      </c>
    </row>
    <row r="8" spans="1:21" x14ac:dyDescent="0.2">
      <c r="A8" s="14">
        <f>Cálculos!A62</f>
        <v>39387</v>
      </c>
      <c r="B8" s="3">
        <f>Cálculos!H62</f>
        <v>-8.304972499058863E-2</v>
      </c>
      <c r="C8" s="3">
        <f>Cálculos!I62</f>
        <v>-9.7177899903323567E-2</v>
      </c>
      <c r="D8" s="3">
        <f>Cálculos!J62</f>
        <v>-6.8921550077853694E-2</v>
      </c>
      <c r="E8" s="12">
        <f>Cálculos!M62</f>
        <v>-4.9527764656397355E-2</v>
      </c>
      <c r="F8" s="12">
        <f>Cálculos!N62</f>
        <v>-6.8650133328549967E-2</v>
      </c>
      <c r="G8" s="12">
        <f>Cálculos!O62</f>
        <v>-3.0405395984244743E-2</v>
      </c>
    </row>
    <row r="9" spans="1:21" x14ac:dyDescent="0.2">
      <c r="A9" s="14">
        <f>Cálculos!A63</f>
        <v>39417</v>
      </c>
      <c r="B9" s="3">
        <f>Cálculos!H63</f>
        <v>-9.0156641978640428E-2</v>
      </c>
      <c r="C9" s="3">
        <f>Cálculos!I63</f>
        <v>-0.10428481689137536</v>
      </c>
      <c r="D9" s="3">
        <f>Cálculos!J63</f>
        <v>-7.6028467065905492E-2</v>
      </c>
      <c r="E9" s="12">
        <f>Cálculos!M63</f>
        <v>-5.0014747397239379E-2</v>
      </c>
      <c r="F9" s="12">
        <f>Cálculos!N63</f>
        <v>-6.9137116069391991E-2</v>
      </c>
      <c r="G9" s="12">
        <f>Cálculos!O63</f>
        <v>-3.0892378725086767E-2</v>
      </c>
    </row>
    <row r="10" spans="1:21" x14ac:dyDescent="0.2">
      <c r="A10" s="14">
        <f>Cálculos!A64</f>
        <v>39448</v>
      </c>
      <c r="B10" s="3">
        <f>Cálculos!H64</f>
        <v>-8.7033938584442735E-2</v>
      </c>
      <c r="C10" s="3">
        <f>Cálculos!I64</f>
        <v>-0.10116211349717767</v>
      </c>
      <c r="D10" s="3">
        <f>Cálculos!J64</f>
        <v>-7.2905763671707799E-2</v>
      </c>
      <c r="E10" s="12">
        <f>Cálculos!M64</f>
        <v>-4.0214212947234151E-2</v>
      </c>
      <c r="F10" s="12">
        <f>Cálculos!N64</f>
        <v>-5.9336581619386763E-2</v>
      </c>
      <c r="G10" s="12">
        <f>Cálculos!O64</f>
        <v>-2.1091844275081539E-2</v>
      </c>
      <c r="U10" s="13"/>
    </row>
    <row r="11" spans="1:21" x14ac:dyDescent="0.2">
      <c r="A11" s="14">
        <f>Cálculos!A65</f>
        <v>39479</v>
      </c>
      <c r="B11" s="3">
        <f>Cálculos!H65</f>
        <v>-8.4558422650079776E-2</v>
      </c>
      <c r="C11" s="3">
        <f>Cálculos!I65</f>
        <v>-9.8686597562814712E-2</v>
      </c>
      <c r="D11" s="3">
        <f>Cálculos!J65</f>
        <v>-7.0430247737344839E-2</v>
      </c>
      <c r="E11" s="12">
        <f>Cálculos!M65</f>
        <v>-3.0850027689492656E-2</v>
      </c>
      <c r="F11" s="12">
        <f>Cálculos!N65</f>
        <v>-4.9972396361645272E-2</v>
      </c>
      <c r="G11" s="12">
        <f>Cálculos!O65</f>
        <v>-1.1727659017340044E-2</v>
      </c>
    </row>
    <row r="12" spans="1:21" x14ac:dyDescent="0.2">
      <c r="A12" s="14">
        <f>Cálculos!A66</f>
        <v>39508</v>
      </c>
      <c r="B12" s="3">
        <f>Cálculos!H66</f>
        <v>-5.2392166440138756E-2</v>
      </c>
      <c r="C12" s="3">
        <f>Cálculos!I66</f>
        <v>-6.6520341352873685E-2</v>
      </c>
      <c r="D12" s="3">
        <f>Cálculos!J66</f>
        <v>-3.8263991527403826E-2</v>
      </c>
      <c r="E12" s="12">
        <f>Cálculos!M66</f>
        <v>7.5442043740934876E-3</v>
      </c>
      <c r="F12" s="12">
        <f>Cálculos!N66</f>
        <v>-1.1578164298059124E-2</v>
      </c>
      <c r="G12" s="12">
        <f>Cálculos!O66</f>
        <v>2.66665730462461E-2</v>
      </c>
    </row>
    <row r="13" spans="1:21" x14ac:dyDescent="0.2">
      <c r="A13" s="14">
        <f>Cálculos!A67</f>
        <v>39539</v>
      </c>
      <c r="B13" s="3">
        <f>Cálculos!H67</f>
        <v>-2.7182685207687809E-2</v>
      </c>
      <c r="C13" s="3">
        <f>Cálculos!I67</f>
        <v>-4.1310860120422746E-2</v>
      </c>
      <c r="D13" s="3">
        <f>Cálculos!J67</f>
        <v>-1.3054510294952876E-2</v>
      </c>
      <c r="E13" s="12">
        <f>Cálculos!M67</f>
        <v>3.6946721298333846E-2</v>
      </c>
      <c r="F13" s="12">
        <f>Cálculos!N67</f>
        <v>1.7824352626181234E-2</v>
      </c>
      <c r="G13" s="12">
        <f>Cálculos!O67</f>
        <v>5.6069089970486458E-2</v>
      </c>
    </row>
    <row r="14" spans="1:21" x14ac:dyDescent="0.2">
      <c r="A14" s="14">
        <f>Cálculos!A68</f>
        <v>39569</v>
      </c>
      <c r="B14" s="3">
        <f>Cálculos!H68</f>
        <v>4.3018250239924768E-3</v>
      </c>
      <c r="C14" s="3">
        <f>Cálculos!I68</f>
        <v>-9.8263498887424562E-3</v>
      </c>
      <c r="D14" s="3">
        <f>Cálculos!J68</f>
        <v>1.842999993672741E-2</v>
      </c>
      <c r="E14" s="12">
        <f>Cálculos!M68</f>
        <v>7.2308073275835702E-2</v>
      </c>
      <c r="F14" s="12">
        <f>Cálculos!N68</f>
        <v>5.318570460368309E-2</v>
      </c>
      <c r="G14" s="12">
        <f>Cálculos!O68</f>
        <v>9.1430441947988314E-2</v>
      </c>
    </row>
    <row r="15" spans="1:21" x14ac:dyDescent="0.2">
      <c r="A15" s="14">
        <f>Cálculos!A69</f>
        <v>39600</v>
      </c>
      <c r="B15" s="3">
        <f>Cálculos!H69</f>
        <v>-2.2468894614509759E-2</v>
      </c>
      <c r="C15" s="3">
        <f>Cálculos!I69</f>
        <v>-3.6597069527244688E-2</v>
      </c>
      <c r="D15" s="3">
        <f>Cálculos!J69</f>
        <v>-8.3407197017748257E-3</v>
      </c>
      <c r="E15" s="12">
        <f>Cálculos!M69</f>
        <v>4.7756147541873753E-2</v>
      </c>
      <c r="F15" s="12">
        <f>Cálculos!N69</f>
        <v>2.8633778869721141E-2</v>
      </c>
      <c r="G15" s="12">
        <f>Cálculos!O69</f>
        <v>6.6878516214026365E-2</v>
      </c>
    </row>
    <row r="16" spans="1:21" x14ac:dyDescent="0.2">
      <c r="A16" s="14">
        <f>Cálculos!A70</f>
        <v>39630</v>
      </c>
      <c r="B16" s="3">
        <f>Cálculos!H70</f>
        <v>-1.5485033854854263E-2</v>
      </c>
      <c r="C16" s="3">
        <f>Cálculos!I70</f>
        <v>-2.9613208767589196E-2</v>
      </c>
      <c r="D16" s="3">
        <f>Cálculos!J70</f>
        <v>-1.3568589421193294E-3</v>
      </c>
      <c r="E16" s="12">
        <f>Cálculos!M70</f>
        <v>5.8347554386766066E-2</v>
      </c>
      <c r="F16" s="12">
        <f>Cálculos!N70</f>
        <v>3.9225185714613454E-2</v>
      </c>
      <c r="G16" s="12">
        <f>Cálculos!O70</f>
        <v>7.7469923058918672E-2</v>
      </c>
    </row>
    <row r="17" spans="1:7" x14ac:dyDescent="0.2">
      <c r="A17" s="14">
        <f>Cálculos!A71</f>
        <v>39661</v>
      </c>
      <c r="B17" s="3">
        <f>Cálculos!H71</f>
        <v>4.4642903321205595E-3</v>
      </c>
      <c r="C17" s="3">
        <f>Cálculos!I71</f>
        <v>-9.6638845806143736E-3</v>
      </c>
      <c r="D17" s="3">
        <f>Cálculos!J71</f>
        <v>1.8592465244855493E-2</v>
      </c>
      <c r="E17" s="12">
        <f>Cálculos!M71</f>
        <v>7.9899266737284536E-2</v>
      </c>
      <c r="F17" s="12">
        <f>Cálculos!N71</f>
        <v>6.0776898065131923E-2</v>
      </c>
      <c r="G17" s="12">
        <f>Cálculos!O71</f>
        <v>9.9021635409437148E-2</v>
      </c>
    </row>
    <row r="18" spans="1:7" x14ac:dyDescent="0.2">
      <c r="A18" s="14">
        <f>Cálculos!A72</f>
        <v>39692</v>
      </c>
      <c r="B18" s="3">
        <f>Cálculos!H72</f>
        <v>-1.0807332803094125E-2</v>
      </c>
      <c r="C18" s="3">
        <f>Cálculos!I72</f>
        <v>-2.4935507715829058E-2</v>
      </c>
      <c r="D18" s="3">
        <f>Cálculos!J72</f>
        <v>3.3208421096408078E-3</v>
      </c>
      <c r="E18" s="12">
        <f>Cálculos!M72</f>
        <v>6.5399592968199582E-2</v>
      </c>
      <c r="F18" s="12">
        <f>Cálculos!N72</f>
        <v>4.627722429604697E-2</v>
      </c>
      <c r="G18" s="12">
        <f>Cálculos!O72</f>
        <v>8.4521961640352195E-2</v>
      </c>
    </row>
    <row r="19" spans="1:7" x14ac:dyDescent="0.2">
      <c r="A19" s="14">
        <f>Cálculos!A73</f>
        <v>39722</v>
      </c>
      <c r="B19" s="3">
        <f>Cálculos!H73</f>
        <v>-2.6188513532376129E-2</v>
      </c>
      <c r="C19" s="3">
        <f>Cálculos!I73</f>
        <v>-4.0316688445111062E-2</v>
      </c>
      <c r="D19" s="3">
        <f>Cálculos!J73</f>
        <v>-1.2060338619641196E-2</v>
      </c>
      <c r="E19" s="12">
        <f>Cálculos!M73</f>
        <v>5.2840246698793572E-2</v>
      </c>
      <c r="F19" s="12">
        <f>Cálculos!N73</f>
        <v>3.371787802664096E-2</v>
      </c>
      <c r="G19" s="12">
        <f>Cálculos!O73</f>
        <v>7.1962615370946184E-2</v>
      </c>
    </row>
    <row r="20" spans="1:7" x14ac:dyDescent="0.2">
      <c r="A20" s="14">
        <f>Cálculos!A74</f>
        <v>39753</v>
      </c>
      <c r="B20" s="3">
        <f>Cálculos!H74</f>
        <v>-2.9830835267319739E-2</v>
      </c>
      <c r="C20" s="3">
        <f>Cálculos!I74</f>
        <v>-4.3959010180054672E-2</v>
      </c>
      <c r="D20" s="3">
        <f>Cálculos!J74</f>
        <v>-1.5702660354584806E-2</v>
      </c>
      <c r="E20" s="12">
        <f>Cálculos!M74</f>
        <v>5.2515996785720831E-2</v>
      </c>
      <c r="F20" s="12">
        <f>Cálculos!N74</f>
        <v>3.3393628113568219E-2</v>
      </c>
      <c r="G20" s="12">
        <f>Cálculos!O74</f>
        <v>7.1638365457873443E-2</v>
      </c>
    </row>
    <row r="21" spans="1:7" x14ac:dyDescent="0.2">
      <c r="A21" s="14">
        <f>Cálculos!A75</f>
        <v>39783</v>
      </c>
      <c r="B21" s="3">
        <f>Cálculos!H75</f>
        <v>-2.1983752000119573E-2</v>
      </c>
      <c r="C21" s="3">
        <f>Cálculos!I75</f>
        <v>-3.6111926912854503E-2</v>
      </c>
      <c r="D21" s="3">
        <f>Cálculos!J75</f>
        <v>-7.8555770873846402E-3</v>
      </c>
      <c r="E21" s="12">
        <f>Cálculos!M75</f>
        <v>6.4146433495066837E-2</v>
      </c>
      <c r="F21" s="12">
        <f>Cálculos!N75</f>
        <v>4.5024064822914225E-2</v>
      </c>
      <c r="G21" s="12">
        <f>Cálculos!O75</f>
        <v>8.3268802167219449E-2</v>
      </c>
    </row>
    <row r="22" spans="1:7" x14ac:dyDescent="0.2">
      <c r="A22" s="1"/>
    </row>
    <row r="23" spans="1:7" x14ac:dyDescent="0.2">
      <c r="A23" s="1"/>
    </row>
    <row r="24" spans="1:7" x14ac:dyDescent="0.2">
      <c r="A24" s="1"/>
    </row>
    <row r="25" spans="1:7" x14ac:dyDescent="0.2">
      <c r="A25" s="1"/>
    </row>
    <row r="26" spans="1:7" x14ac:dyDescent="0.2">
      <c r="A26" s="1"/>
    </row>
    <row r="27" spans="1:7" x14ac:dyDescent="0.2">
      <c r="A27" s="1"/>
    </row>
    <row r="28" spans="1:7" x14ac:dyDescent="0.2">
      <c r="A28" s="1"/>
    </row>
    <row r="29" spans="1:7" x14ac:dyDescent="0.2">
      <c r="A29" s="1"/>
    </row>
    <row r="30" spans="1:7" x14ac:dyDescent="0.2">
      <c r="A30" s="1"/>
    </row>
    <row r="31" spans="1:7" x14ac:dyDescent="0.2">
      <c r="A31" s="1"/>
    </row>
    <row r="32" spans="1:7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de Datos</vt:lpstr>
      <vt:lpstr>Cálculos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francomansilla</dc:creator>
  <cp:lastModifiedBy>Franco Mansilla IbaÃ±ez</cp:lastModifiedBy>
  <dcterms:modified xsi:type="dcterms:W3CDTF">2024-11-09T11:35:52Z</dcterms:modified>
</cp:coreProperties>
</file>